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6429d2d7b3b45e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vdung/Downloads/"/>
    </mc:Choice>
  </mc:AlternateContent>
  <xr:revisionPtr revIDLastSave="0" documentId="13_ncr:1_{E602A295-C9AE-2641-B785-1964921B6E67}" xr6:coauthVersionLast="47" xr6:coauthVersionMax="47" xr10:uidLastSave="{00000000-0000-0000-0000-000000000000}"/>
  <bookViews>
    <workbookView xWindow="980" yWindow="500" windowWidth="59180" windowHeight="33340" tabRatio="885" activeTab="6" xr2:uid="{D44D9B43-05B1-44CD-8CAA-63EA1D714DB8}"/>
  </bookViews>
  <sheets>
    <sheet name="EIE Drawing List" sheetId="128" state="hidden" r:id="rId1"/>
    <sheet name="Quy tắc tính KL" sheetId="114" state="hidden" r:id="rId2"/>
    <sheet name="BM01" sheetId="71" state="hidden" r:id="rId3"/>
    <sheet name="BM-02" sheetId="73" state="hidden" r:id="rId4"/>
    <sheet name="DM_CKDH" sheetId="42" state="hidden" r:id="rId5"/>
    <sheet name="Matran" sheetId="46" state="hidden" r:id="rId6"/>
    <sheet name="B-1. THKL THEO ID" sheetId="78" r:id="rId7"/>
    <sheet name="B-2.THKL THEO WBS" sheetId="96" r:id="rId8"/>
    <sheet name="B3. THKL THEO CKHD" sheetId="45" r:id="rId9"/>
    <sheet name="SCAN BOQ" sheetId="127" state="hidden" r:id="rId10"/>
    <sheet name="S21.11" sheetId="80" state="hidden" r:id="rId11"/>
    <sheet name="S21.12" sheetId="100" state="hidden" r:id="rId12"/>
    <sheet name="S22.11" sheetId="102" state="hidden" r:id="rId13"/>
    <sheet name="S33.13" sheetId="103" state="hidden" r:id="rId14"/>
    <sheet name="S23.11" sheetId="104" state="hidden" r:id="rId15"/>
    <sheet name="S24.11" sheetId="105" state="hidden" r:id="rId16"/>
    <sheet name="S24.12" sheetId="106" state="hidden" r:id="rId17"/>
    <sheet name="S25.11" sheetId="107" state="hidden" r:id="rId18"/>
    <sheet name="S25.12" sheetId="108" state="hidden" r:id="rId19"/>
    <sheet name="S25.13" sheetId="109" state="hidden" r:id="rId20"/>
    <sheet name="S25.14" sheetId="110" state="hidden" r:id="rId21"/>
    <sheet name="S31.11" sheetId="111" state="hidden" r:id="rId22"/>
    <sheet name="S32.11" sheetId="112" state="hidden" r:id="rId23"/>
    <sheet name="S33.11" sheetId="113" state="hidden" r:id="rId24"/>
    <sheet name="S33.12" sheetId="119" state="hidden" r:id="rId25"/>
    <sheet name="S21.21" sheetId="101" state="hidden" r:id="rId26"/>
    <sheet name="S22.21" sheetId="120" state="hidden" r:id="rId27"/>
    <sheet name="S23.21 " sheetId="121" state="hidden" r:id="rId28"/>
    <sheet name="S24.21" sheetId="122" state="hidden" r:id="rId29"/>
    <sheet name="S25.21" sheetId="124" state="hidden" r:id="rId30"/>
    <sheet name="X11.11" sheetId="115" state="hidden" r:id="rId31"/>
    <sheet name="X11.12" sheetId="126" state="hidden" r:id="rId32"/>
    <sheet name="Dữ liệu đầu vào" sheetId="117" state="hidden" r:id="rId33"/>
  </sheets>
  <definedNames>
    <definedName name="_xlnm._FilterDatabase" localSheetId="6" hidden="1">'B-1. THKL THEO ID'!$A$6:$N$115</definedName>
    <definedName name="_xlnm._FilterDatabase" localSheetId="7" hidden="1">'B-2.THKL THEO WBS'!$B$8:$AA$49</definedName>
    <definedName name="_xlnm._FilterDatabase" localSheetId="8" hidden="1">'B3. THKL THEO CKHD'!$A$3:$L$314</definedName>
    <definedName name="_xlnm._FilterDatabase" localSheetId="3">'BM-02'!$B$5:$J$22</definedName>
    <definedName name="_xlnm._FilterDatabase" localSheetId="4" hidden="1">DM_CKDH!$A$4:$J$43</definedName>
    <definedName name="_xlnm._FilterDatabase" localSheetId="0" hidden="1">'EIE Drawing List'!$A$11:$K$103</definedName>
    <definedName name="_xlnm._FilterDatabase" localSheetId="5" hidden="1">Matran!$A$7:$V$50</definedName>
    <definedName name="_xlnm._FilterDatabase" localSheetId="10" hidden="1">'S21.11'!$B$5:$V$57</definedName>
    <definedName name="_xlnm._FilterDatabase" localSheetId="11" hidden="1">'S21.12'!$B$5:$V$42</definedName>
    <definedName name="_xlnm._FilterDatabase" localSheetId="25" hidden="1">'S21.21'!$B$5:$V$97</definedName>
    <definedName name="_xlnm._FilterDatabase" localSheetId="12" hidden="1">'S22.11'!$B$5:$V$39</definedName>
    <definedName name="_xlnm._FilterDatabase" localSheetId="26" hidden="1">'S22.21'!$B$5:$V$39</definedName>
    <definedName name="_xlnm._FilterDatabase" localSheetId="14" hidden="1">'S23.11'!$B$5:$V$36</definedName>
    <definedName name="_xlnm._FilterDatabase" localSheetId="27" hidden="1">'S23.21 '!$B$5:$V$36</definedName>
    <definedName name="_xlnm._FilterDatabase" localSheetId="15" hidden="1">'S24.11'!$B$5:$V$45</definedName>
    <definedName name="_xlnm._FilterDatabase" localSheetId="16" hidden="1">'S24.12'!$B$5:$V$36</definedName>
    <definedName name="_xlnm._FilterDatabase" localSheetId="28" hidden="1">'S24.21'!$B$5:$V$45</definedName>
    <definedName name="_xlnm._FilterDatabase" localSheetId="17" hidden="1">'S25.11'!$B$5:$V$66</definedName>
    <definedName name="_xlnm._FilterDatabase" localSheetId="18" hidden="1">'S25.12'!$B$5:$V$54</definedName>
    <definedName name="_xlnm._FilterDatabase" localSheetId="19" hidden="1">'S25.13'!$B$5:$V$54</definedName>
    <definedName name="_xlnm._FilterDatabase" localSheetId="20" hidden="1">'S25.14'!$B$5:$V$54</definedName>
    <definedName name="_xlnm._FilterDatabase" localSheetId="29" hidden="1">'S25.21'!$B$5:$V$66</definedName>
    <definedName name="_xlnm._FilterDatabase" localSheetId="21" hidden="1">'S31.11'!$B$5:$V$27</definedName>
    <definedName name="_xlnm._FilterDatabase" localSheetId="22" hidden="1">'S32.11'!$B$5:$V$30</definedName>
    <definedName name="_xlnm._FilterDatabase" localSheetId="23" hidden="1">'S33.11'!$B$5:$V$95</definedName>
    <definedName name="_xlnm._FilterDatabase" localSheetId="24" hidden="1">'S33.12'!$B$5:$V$96</definedName>
    <definedName name="_xlnm._FilterDatabase" localSheetId="13" hidden="1">'S33.13'!$B$5:$V$33</definedName>
    <definedName name="_xlnm._FilterDatabase" localSheetId="9" hidden="1">'SCAN BOQ'!$A$6:$AQ$124</definedName>
    <definedName name="_xlnm._FilterDatabase" localSheetId="30" hidden="1">'X11.11'!$B$5:$V$66</definedName>
    <definedName name="_xlnm._FilterDatabase" localSheetId="31" hidden="1">'X11.12'!$B$5:$V$24</definedName>
    <definedName name="_Start" localSheetId="10">'S21.11'!$R$5</definedName>
    <definedName name="_Start" localSheetId="11">'S21.12'!$R$5</definedName>
    <definedName name="_Start" localSheetId="25">'S21.21'!$R$5</definedName>
    <definedName name="_Start" localSheetId="12">'S22.11'!$R$5</definedName>
    <definedName name="_Start" localSheetId="26">'S22.21'!$R$5</definedName>
    <definedName name="_Start" localSheetId="14">'S23.11'!$R$5</definedName>
    <definedName name="_Start" localSheetId="27">'S23.21 '!$R$5</definedName>
    <definedName name="_Start" localSheetId="15">'S24.11'!$R$5</definedName>
    <definedName name="_Start" localSheetId="16">'S24.12'!$R$5</definedName>
    <definedName name="_Start" localSheetId="28">'S24.21'!$R$5</definedName>
    <definedName name="_Start" localSheetId="17">'S25.11'!$R$5</definedName>
    <definedName name="_Start" localSheetId="18">'S25.12'!$R$5</definedName>
    <definedName name="_Start" localSheetId="19">'S25.13'!$R$5</definedName>
    <definedName name="_Start" localSheetId="20">'S25.14'!$R$5</definedName>
    <definedName name="_Start" localSheetId="29">'S25.21'!$R$5</definedName>
    <definedName name="_Start" localSheetId="21">'S31.11'!$R$5</definedName>
    <definedName name="_Start" localSheetId="22">'S32.11'!$R$5</definedName>
    <definedName name="_Start" localSheetId="23">'S33.11'!$R$5</definedName>
    <definedName name="_Start" localSheetId="24">'S33.12'!$R$5</definedName>
    <definedName name="_Start" localSheetId="13">'S33.13'!$R$5</definedName>
    <definedName name="_Start" localSheetId="30">'X11.11'!$R$5</definedName>
    <definedName name="_Start" localSheetId="31">'X11.12'!$R$5</definedName>
    <definedName name="_WBSMP" localSheetId="5">Matran!$J$9:$V$50</definedName>
    <definedName name="_xlpm.arr" hidden="1" xlm="1">#NAME?</definedName>
    <definedName name="_xlpm.hlk" hidden="1" xlm="1">#NAME?</definedName>
    <definedName name="_xlpm.vlk" hidden="1" xlm="1">#NAME?</definedName>
    <definedName name="diemchen" localSheetId="10">'S21.11'!$B$58</definedName>
    <definedName name="diemchen" localSheetId="11">'S21.12'!$B$43</definedName>
    <definedName name="diemchen" localSheetId="25">'S21.21'!$B$98</definedName>
    <definedName name="diemchen" localSheetId="12">'S22.11'!$B$40</definedName>
    <definedName name="diemchen" localSheetId="26">'S22.21'!$B$40</definedName>
    <definedName name="diemchen" localSheetId="14">'S23.11'!$B$37</definedName>
    <definedName name="diemchen" localSheetId="27">'S23.21 '!$B$37</definedName>
    <definedName name="diemchen" localSheetId="15">'S24.11'!$B$46</definedName>
    <definedName name="diemchen" localSheetId="16">'S24.12'!$B$37</definedName>
    <definedName name="diemchen" localSheetId="28">'S24.21'!$B$46</definedName>
    <definedName name="diemchen" localSheetId="17">'S25.11'!$B$66</definedName>
    <definedName name="diemchen" localSheetId="18">'S25.12'!$B$55</definedName>
    <definedName name="diemchen" localSheetId="19">'S25.13'!$B$55</definedName>
    <definedName name="diemchen" localSheetId="20">'S25.14'!$B$55</definedName>
    <definedName name="diemchen" localSheetId="29">'S25.21'!$B$66</definedName>
    <definedName name="diemchen" localSheetId="21">'S31.11'!$B$28</definedName>
    <definedName name="diemchen" localSheetId="22">'S32.11'!$B$31</definedName>
    <definedName name="diemchen" localSheetId="23">'S33.11'!$B$96</definedName>
    <definedName name="diemchen" localSheetId="24">'S33.12'!$B$97</definedName>
    <definedName name="diemchen" localSheetId="13">'S33.13'!$B$34</definedName>
    <definedName name="diemchen" localSheetId="30">'X11.11'!$B$67</definedName>
    <definedName name="diemchen" localSheetId="31">'X11.12'!$B$25</definedName>
    <definedName name="_xlnm.Print_Area" localSheetId="6">'B-1. THKL THEO ID'!$A$1:$N$126</definedName>
    <definedName name="_xlnm.Print_Area" localSheetId="8">'B3. THKL THEO CKHD'!$A$1:$L$314</definedName>
    <definedName name="_xlnm.Print_Area" localSheetId="3">'BM-02'!$B$1:$J$22</definedName>
    <definedName name="_xlnm.Print_Area" localSheetId="2">'BM01'!$A$1:$H$29</definedName>
    <definedName name="_xlnm.Print_Area" localSheetId="4">DM_CKDH!$A$1:$J$43</definedName>
    <definedName name="_xlnm.Print_Area" localSheetId="0">'EIE Drawing List'!$A$1:$K$103</definedName>
    <definedName name="_xlnm.Print_Area" localSheetId="5">Matran!$A$1:$V$50</definedName>
    <definedName name="_xlnm.Print_Area" localSheetId="1">'Quy tắc tính KL'!$A$1:$G$12</definedName>
    <definedName name="_xlnm.Print_Area" localSheetId="10">'S21.11'!$B$1:$V$59</definedName>
    <definedName name="_xlnm.Print_Area" localSheetId="11">'S21.12'!$B$1:$V$44</definedName>
    <definedName name="_xlnm.Print_Area" localSheetId="25">'S21.21'!$B$1:$V$99</definedName>
    <definedName name="_xlnm.Print_Area" localSheetId="12">'S22.11'!$B$1:$V$41</definedName>
    <definedName name="_xlnm.Print_Area" localSheetId="26">'S22.21'!$B$1:$V$41</definedName>
    <definedName name="_xlnm.Print_Area" localSheetId="14">'S23.11'!$B$1:$V$38</definedName>
    <definedName name="_xlnm.Print_Area" localSheetId="27">'S23.21 '!$B$1:$V$38</definedName>
    <definedName name="_xlnm.Print_Area" localSheetId="15">'S24.11'!$B$1:$V$47</definedName>
    <definedName name="_xlnm.Print_Area" localSheetId="16">'S24.12'!$B$1:$V$38</definedName>
    <definedName name="_xlnm.Print_Area" localSheetId="28">'S24.21'!$B$1:$V$47</definedName>
    <definedName name="_xlnm.Print_Area" localSheetId="17">'S25.11'!$B$1:$V$67</definedName>
    <definedName name="_xlnm.Print_Area" localSheetId="18">'S25.12'!$B$1:$V$56</definedName>
    <definedName name="_xlnm.Print_Area" localSheetId="19">'S25.13'!$B$1:$V$56</definedName>
    <definedName name="_xlnm.Print_Area" localSheetId="20">'S25.14'!$B$1:$V$56</definedName>
    <definedName name="_xlnm.Print_Area" localSheetId="29">'S25.21'!$B$1:$V$67</definedName>
    <definedName name="_xlnm.Print_Area" localSheetId="21">'S31.11'!$B$1:$V$29</definedName>
    <definedName name="_xlnm.Print_Area" localSheetId="22">'S32.11'!$B$1:$V$32</definedName>
    <definedName name="_xlnm.Print_Area" localSheetId="23">'S33.11'!$B$1:$V$97</definedName>
    <definedName name="_xlnm.Print_Area" localSheetId="24">'S33.12'!$B$1:$V$98</definedName>
    <definedName name="_xlnm.Print_Area" localSheetId="13">'S33.13'!$B$1:$V$35</definedName>
    <definedName name="_xlnm.Print_Area" localSheetId="9">'SCAN BOQ'!$A$1:$AQ$138</definedName>
    <definedName name="_xlnm.Print_Area" localSheetId="30">'X11.11'!$B$1:$V$68</definedName>
    <definedName name="_xlnm.Print_Area" localSheetId="31">'X11.12'!$B$1:$V$26</definedName>
    <definedName name="_xlnm.Print_Titles" localSheetId="0">'EIE Drawing List'!$10:$10</definedName>
    <definedName name="_xlnm.Print_Titles" localSheetId="10">'S21.11'!$3:$5</definedName>
    <definedName name="_xlnm.Print_Titles" localSheetId="11">'S21.12'!$3:$5</definedName>
    <definedName name="_xlnm.Print_Titles" localSheetId="25">'S21.21'!$3:$5</definedName>
    <definedName name="_xlnm.Print_Titles" localSheetId="12">'S22.11'!$3:$5</definedName>
    <definedName name="_xlnm.Print_Titles" localSheetId="26">'S22.21'!$3:$5</definedName>
    <definedName name="_xlnm.Print_Titles" localSheetId="14">'S23.11'!$3:$5</definedName>
    <definedName name="_xlnm.Print_Titles" localSheetId="27">'S23.21 '!$3:$5</definedName>
    <definedName name="_xlnm.Print_Titles" localSheetId="15">'S24.11'!$3:$5</definedName>
    <definedName name="_xlnm.Print_Titles" localSheetId="16">'S24.12'!$3:$5</definedName>
    <definedName name="_xlnm.Print_Titles" localSheetId="28">'S24.21'!$3:$5</definedName>
    <definedName name="_xlnm.Print_Titles" localSheetId="17">'S25.11'!$3:$5</definedName>
    <definedName name="_xlnm.Print_Titles" localSheetId="18">'S25.12'!$3:$5</definedName>
    <definedName name="_xlnm.Print_Titles" localSheetId="19">'S25.13'!$3:$5</definedName>
    <definedName name="_xlnm.Print_Titles" localSheetId="20">'S25.14'!$3:$5</definedName>
    <definedName name="_xlnm.Print_Titles" localSheetId="29">'S25.21'!$3:$5</definedName>
    <definedName name="_xlnm.Print_Titles" localSheetId="21">'S31.11'!$3:$5</definedName>
    <definedName name="_xlnm.Print_Titles" localSheetId="22">'S32.11'!$3:$5</definedName>
    <definedName name="_xlnm.Print_Titles" localSheetId="23">'S33.11'!$3:$5</definedName>
    <definedName name="_xlnm.Print_Titles" localSheetId="24">'S33.12'!$3:$5</definedName>
    <definedName name="_xlnm.Print_Titles" localSheetId="13">'S33.13'!$3:$5</definedName>
    <definedName name="_xlnm.Print_Titles" localSheetId="30">'X11.11'!$3:$5</definedName>
    <definedName name="_xlnm.Print_Titles" localSheetId="31">'X11.12'!$3:$5</definedName>
    <definedName name="VHLookup_Lambda">_xlfn.LAMBDA(_xlpm.arr,_xlpm.vlk,_xlpm.hlk,INDEX(_xlpm.arr,MATCH(_xlpm.vlk,OFFSET(_xlpm.arr,,,,1),0),MATCH(_xlpm.hlk,OFFSET(_xlpm.arr,,,1,),0)))</definedName>
  </definedNames>
  <calcPr calcId="191028" calcOnSave="0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08" i="45" l="1"/>
  <c r="A309" i="45"/>
  <c r="A310" i="45"/>
  <c r="A311" i="45"/>
  <c r="A312" i="45"/>
  <c r="A313" i="45"/>
  <c r="B313" i="45"/>
  <c r="B312" i="45"/>
  <c r="B311" i="45"/>
  <c r="B310" i="45"/>
  <c r="B309" i="45"/>
  <c r="B308" i="45"/>
  <c r="A288" i="45"/>
  <c r="A289" i="45"/>
  <c r="A290" i="45"/>
  <c r="A291" i="45"/>
  <c r="A292" i="45"/>
  <c r="A293" i="45"/>
  <c r="A294" i="45"/>
  <c r="A295" i="45"/>
  <c r="A296" i="45"/>
  <c r="A297" i="45"/>
  <c r="A298" i="45"/>
  <c r="A299" i="45"/>
  <c r="A300" i="45"/>
  <c r="A301" i="45"/>
  <c r="A302" i="45"/>
  <c r="A303" i="45"/>
  <c r="A304" i="45"/>
  <c r="A305" i="45"/>
  <c r="A306" i="45"/>
  <c r="A307" i="45"/>
  <c r="B307" i="45"/>
  <c r="B306" i="45"/>
  <c r="B305" i="45"/>
  <c r="B304" i="45"/>
  <c r="B303" i="45"/>
  <c r="B302" i="45"/>
  <c r="B301" i="45"/>
  <c r="B300" i="45"/>
  <c r="B299" i="45"/>
  <c r="B298" i="45"/>
  <c r="B297" i="45"/>
  <c r="B296" i="45"/>
  <c r="B295" i="45"/>
  <c r="B294" i="45"/>
  <c r="B293" i="45"/>
  <c r="B292" i="45"/>
  <c r="B291" i="45"/>
  <c r="B290" i="45"/>
  <c r="B289" i="45"/>
  <c r="B288" i="45"/>
  <c r="A272" i="45"/>
  <c r="A273" i="45"/>
  <c r="A274" i="45"/>
  <c r="A275" i="45"/>
  <c r="A276" i="45"/>
  <c r="A277" i="45"/>
  <c r="A278" i="45"/>
  <c r="A279" i="45"/>
  <c r="A280" i="45"/>
  <c r="A281" i="45"/>
  <c r="A282" i="45"/>
  <c r="A283" i="45"/>
  <c r="A284" i="45"/>
  <c r="A285" i="45"/>
  <c r="A286" i="45"/>
  <c r="A287" i="45"/>
  <c r="B287" i="45"/>
  <c r="B286" i="45"/>
  <c r="B285" i="45"/>
  <c r="B284" i="45"/>
  <c r="B283" i="45"/>
  <c r="B282" i="45"/>
  <c r="B281" i="45"/>
  <c r="B280" i="45"/>
  <c r="B279" i="45"/>
  <c r="B278" i="45"/>
  <c r="B277" i="45"/>
  <c r="B276" i="45"/>
  <c r="B275" i="45"/>
  <c r="B274" i="45"/>
  <c r="B273" i="45"/>
  <c r="B272" i="45"/>
  <c r="A259" i="45"/>
  <c r="A260" i="45"/>
  <c r="A261" i="45"/>
  <c r="A262" i="45"/>
  <c r="A263" i="45"/>
  <c r="A264" i="45"/>
  <c r="A265" i="45"/>
  <c r="A266" i="45"/>
  <c r="A267" i="45"/>
  <c r="A268" i="45"/>
  <c r="A269" i="45"/>
  <c r="A270" i="45"/>
  <c r="A271" i="45"/>
  <c r="B271" i="45"/>
  <c r="B270" i="45"/>
  <c r="B269" i="45"/>
  <c r="B268" i="45"/>
  <c r="B267" i="45"/>
  <c r="B266" i="45"/>
  <c r="B265" i="45"/>
  <c r="B264" i="45"/>
  <c r="B263" i="45"/>
  <c r="B262" i="45"/>
  <c r="B261" i="45"/>
  <c r="B260" i="45"/>
  <c r="B259" i="45"/>
  <c r="A249" i="45"/>
  <c r="A250" i="45"/>
  <c r="A251" i="45"/>
  <c r="A252" i="45"/>
  <c r="A253" i="45"/>
  <c r="A254" i="45"/>
  <c r="A255" i="45"/>
  <c r="A256" i="45"/>
  <c r="A257" i="45"/>
  <c r="A258" i="45"/>
  <c r="B258" i="45"/>
  <c r="B257" i="45"/>
  <c r="B256" i="45"/>
  <c r="B255" i="45"/>
  <c r="B254" i="45"/>
  <c r="B253" i="45"/>
  <c r="B252" i="45"/>
  <c r="B251" i="45"/>
  <c r="B250" i="45"/>
  <c r="B249" i="45"/>
  <c r="A238" i="45"/>
  <c r="A239" i="45"/>
  <c r="A240" i="45"/>
  <c r="A241" i="45"/>
  <c r="A242" i="45"/>
  <c r="A243" i="45"/>
  <c r="A244" i="45"/>
  <c r="A245" i="45"/>
  <c r="A246" i="45"/>
  <c r="A247" i="45"/>
  <c r="A248" i="45"/>
  <c r="B248" i="45"/>
  <c r="B247" i="45"/>
  <c r="B246" i="45"/>
  <c r="B245" i="45"/>
  <c r="B244" i="45"/>
  <c r="B243" i="45"/>
  <c r="B242" i="45"/>
  <c r="B241" i="45"/>
  <c r="B240" i="45"/>
  <c r="B239" i="45"/>
  <c r="B238" i="45"/>
  <c r="A220" i="45"/>
  <c r="A221" i="45"/>
  <c r="A222" i="45"/>
  <c r="A223" i="45"/>
  <c r="A224" i="45"/>
  <c r="A225" i="45"/>
  <c r="A226" i="45"/>
  <c r="A227" i="45"/>
  <c r="A228" i="45"/>
  <c r="A229" i="45"/>
  <c r="A230" i="45"/>
  <c r="A231" i="45"/>
  <c r="A232" i="45"/>
  <c r="A233" i="45"/>
  <c r="A234" i="45"/>
  <c r="A235" i="45"/>
  <c r="A236" i="45"/>
  <c r="A237" i="45"/>
  <c r="B237" i="45"/>
  <c r="B236" i="45"/>
  <c r="B235" i="45"/>
  <c r="B234" i="45"/>
  <c r="B233" i="45"/>
  <c r="B232" i="45"/>
  <c r="B231" i="45"/>
  <c r="B230" i="45"/>
  <c r="B229" i="45"/>
  <c r="B228" i="45"/>
  <c r="B227" i="45"/>
  <c r="B226" i="45"/>
  <c r="E225" i="45"/>
  <c r="B225" i="45"/>
  <c r="E224" i="45"/>
  <c r="B224" i="45"/>
  <c r="E223" i="45"/>
  <c r="B223" i="45"/>
  <c r="E222" i="45"/>
  <c r="B222" i="45"/>
  <c r="E221" i="45"/>
  <c r="B221" i="45"/>
  <c r="E220" i="45"/>
  <c r="B220" i="45"/>
  <c r="A190" i="45"/>
  <c r="A191" i="45"/>
  <c r="A192" i="45"/>
  <c r="A193" i="45"/>
  <c r="A194" i="45"/>
  <c r="A195" i="45"/>
  <c r="A196" i="45"/>
  <c r="A197" i="45"/>
  <c r="A198" i="45"/>
  <c r="A199" i="45"/>
  <c r="A200" i="45"/>
  <c r="A201" i="45"/>
  <c r="A202" i="45"/>
  <c r="A203" i="45"/>
  <c r="A204" i="45"/>
  <c r="A205" i="45"/>
  <c r="A206" i="45"/>
  <c r="A207" i="45"/>
  <c r="A208" i="45"/>
  <c r="A209" i="45"/>
  <c r="A210" i="45"/>
  <c r="A211" i="45"/>
  <c r="A212" i="45"/>
  <c r="A213" i="45"/>
  <c r="A214" i="45"/>
  <c r="A215" i="45"/>
  <c r="A216" i="45"/>
  <c r="A217" i="45"/>
  <c r="A218" i="45"/>
  <c r="A219" i="45"/>
  <c r="B219" i="45"/>
  <c r="B218" i="45"/>
  <c r="B217" i="45"/>
  <c r="B216" i="45"/>
  <c r="B215" i="45"/>
  <c r="B214" i="45"/>
  <c r="B213" i="45"/>
  <c r="B212" i="45"/>
  <c r="B211" i="45"/>
  <c r="B210" i="45"/>
  <c r="B209" i="45"/>
  <c r="B208" i="45"/>
  <c r="B207" i="45"/>
  <c r="B206" i="45"/>
  <c r="B205" i="45"/>
  <c r="B204" i="45"/>
  <c r="B203" i="45"/>
  <c r="B202" i="45"/>
  <c r="B201" i="45"/>
  <c r="B200" i="45"/>
  <c r="B199" i="45"/>
  <c r="B198" i="45"/>
  <c r="B197" i="45"/>
  <c r="B196" i="45"/>
  <c r="B195" i="45"/>
  <c r="B194" i="45"/>
  <c r="B193" i="45"/>
  <c r="B192" i="45"/>
  <c r="B191" i="45"/>
  <c r="B190" i="45"/>
  <c r="A160" i="45"/>
  <c r="A161" i="45"/>
  <c r="A162" i="45"/>
  <c r="A163" i="45"/>
  <c r="A164" i="45"/>
  <c r="A165" i="45"/>
  <c r="A166" i="45"/>
  <c r="A167" i="45"/>
  <c r="A168" i="45"/>
  <c r="A169" i="45"/>
  <c r="A170" i="45"/>
  <c r="A171" i="45"/>
  <c r="A172" i="45"/>
  <c r="A173" i="45"/>
  <c r="A174" i="45"/>
  <c r="A175" i="45"/>
  <c r="A176" i="45"/>
  <c r="A177" i="45"/>
  <c r="A178" i="45"/>
  <c r="A179" i="45"/>
  <c r="A180" i="45"/>
  <c r="A181" i="45"/>
  <c r="A182" i="45"/>
  <c r="A183" i="45"/>
  <c r="A184" i="45"/>
  <c r="A185" i="45"/>
  <c r="A186" i="45"/>
  <c r="A187" i="45"/>
  <c r="A188" i="45"/>
  <c r="A189" i="45"/>
  <c r="B189" i="45"/>
  <c r="B188" i="45"/>
  <c r="B187" i="45"/>
  <c r="B186" i="45"/>
  <c r="B185" i="45"/>
  <c r="B184" i="45"/>
  <c r="B183" i="45"/>
  <c r="B182" i="45"/>
  <c r="B181" i="45"/>
  <c r="B180" i="45"/>
  <c r="B179" i="45"/>
  <c r="B178" i="45"/>
  <c r="B177" i="45"/>
  <c r="B176" i="45"/>
  <c r="B175" i="45"/>
  <c r="B174" i="45"/>
  <c r="B173" i="45"/>
  <c r="B172" i="45"/>
  <c r="B171" i="45"/>
  <c r="B170" i="45"/>
  <c r="B169" i="45"/>
  <c r="B168" i="45"/>
  <c r="B167" i="45"/>
  <c r="B166" i="45"/>
  <c r="B165" i="45"/>
  <c r="B164" i="45"/>
  <c r="B163" i="45"/>
  <c r="B162" i="45"/>
  <c r="B161" i="45"/>
  <c r="B160" i="45"/>
  <c r="A152" i="45"/>
  <c r="A153" i="45"/>
  <c r="A154" i="45"/>
  <c r="A155" i="45"/>
  <c r="A156" i="45"/>
  <c r="A157" i="45"/>
  <c r="A158" i="45"/>
  <c r="A159" i="45"/>
  <c r="B159" i="45"/>
  <c r="B158" i="45"/>
  <c r="B157" i="45"/>
  <c r="B156" i="45"/>
  <c r="B155" i="45"/>
  <c r="B154" i="45"/>
  <c r="B153" i="45"/>
  <c r="B152" i="45"/>
  <c r="A145" i="45"/>
  <c r="A146" i="45"/>
  <c r="A147" i="45"/>
  <c r="A148" i="45"/>
  <c r="A149" i="45"/>
  <c r="A150" i="45"/>
  <c r="A151" i="45"/>
  <c r="B151" i="45"/>
  <c r="B150" i="45"/>
  <c r="B149" i="45"/>
  <c r="B148" i="45"/>
  <c r="B147" i="45"/>
  <c r="B146" i="45"/>
  <c r="B145" i="45"/>
  <c r="A129" i="45"/>
  <c r="A130" i="45"/>
  <c r="A131" i="45"/>
  <c r="A132" i="45"/>
  <c r="A133" i="45"/>
  <c r="A134" i="45"/>
  <c r="A135" i="45"/>
  <c r="A136" i="45"/>
  <c r="A137" i="45"/>
  <c r="A138" i="45"/>
  <c r="A139" i="45"/>
  <c r="A140" i="45"/>
  <c r="A141" i="45"/>
  <c r="A142" i="45"/>
  <c r="A143" i="45"/>
  <c r="A144" i="45"/>
  <c r="B144" i="45"/>
  <c r="B143" i="45"/>
  <c r="B142" i="45"/>
  <c r="B141" i="45"/>
  <c r="B140" i="45"/>
  <c r="B139" i="45"/>
  <c r="B138" i="45"/>
  <c r="B137" i="45"/>
  <c r="B136" i="45"/>
  <c r="B135" i="45"/>
  <c r="B134" i="45"/>
  <c r="B133" i="45"/>
  <c r="B132" i="45"/>
  <c r="B131" i="45"/>
  <c r="B130" i="45"/>
  <c r="B129" i="45"/>
  <c r="A113" i="45"/>
  <c r="A114" i="45"/>
  <c r="A115" i="45"/>
  <c r="A116" i="45"/>
  <c r="A117" i="45"/>
  <c r="A118" i="45"/>
  <c r="A119" i="45"/>
  <c r="A120" i="45"/>
  <c r="A121" i="45"/>
  <c r="A122" i="45"/>
  <c r="A123" i="45"/>
  <c r="A124" i="45"/>
  <c r="A125" i="45"/>
  <c r="A126" i="45"/>
  <c r="A127" i="45"/>
  <c r="A128" i="45"/>
  <c r="B128" i="45"/>
  <c r="B127" i="45"/>
  <c r="B126" i="45"/>
  <c r="B125" i="45"/>
  <c r="B124" i="45"/>
  <c r="B123" i="45"/>
  <c r="B122" i="45"/>
  <c r="B121" i="45"/>
  <c r="B120" i="45"/>
  <c r="B119" i="45"/>
  <c r="B118" i="45"/>
  <c r="B117" i="45"/>
  <c r="B116" i="45"/>
  <c r="B115" i="45"/>
  <c r="B114" i="45"/>
  <c r="B113" i="45"/>
  <c r="A97" i="45"/>
  <c r="A98" i="45"/>
  <c r="A99" i="45"/>
  <c r="A100" i="45"/>
  <c r="A101" i="45"/>
  <c r="A102" i="45"/>
  <c r="A103" i="45"/>
  <c r="A104" i="45"/>
  <c r="A105" i="45"/>
  <c r="A106" i="45"/>
  <c r="A107" i="45"/>
  <c r="A108" i="45"/>
  <c r="A109" i="45"/>
  <c r="A110" i="45"/>
  <c r="A111" i="45"/>
  <c r="A112" i="45"/>
  <c r="B112" i="45"/>
  <c r="B111" i="45"/>
  <c r="B110" i="45"/>
  <c r="B109" i="45"/>
  <c r="B108" i="45"/>
  <c r="B107" i="45"/>
  <c r="B106" i="45"/>
  <c r="B105" i="45"/>
  <c r="B104" i="45"/>
  <c r="B103" i="45"/>
  <c r="B102" i="45"/>
  <c r="B101" i="45"/>
  <c r="B100" i="45"/>
  <c r="B99" i="45"/>
  <c r="B98" i="45"/>
  <c r="B97" i="45"/>
  <c r="A81" i="45"/>
  <c r="A82" i="45"/>
  <c r="A83" i="45"/>
  <c r="A84" i="45"/>
  <c r="A85" i="45"/>
  <c r="A86" i="45"/>
  <c r="A87" i="45"/>
  <c r="A88" i="45"/>
  <c r="A89" i="45"/>
  <c r="A90" i="45"/>
  <c r="A91" i="45"/>
  <c r="A92" i="45"/>
  <c r="A93" i="45"/>
  <c r="A94" i="45"/>
  <c r="A95" i="45"/>
  <c r="A96" i="45"/>
  <c r="B96" i="45"/>
  <c r="B95" i="45"/>
  <c r="B94" i="45"/>
  <c r="B93" i="45"/>
  <c r="B92" i="45"/>
  <c r="B91" i="45"/>
  <c r="B90" i="45"/>
  <c r="B89" i="45"/>
  <c r="B88" i="45"/>
  <c r="B87" i="45"/>
  <c r="B86" i="45"/>
  <c r="B85" i="45"/>
  <c r="B84" i="45"/>
  <c r="B83" i="45"/>
  <c r="B82" i="45"/>
  <c r="B81" i="45"/>
  <c r="A71" i="45"/>
  <c r="A72" i="45"/>
  <c r="A73" i="45"/>
  <c r="A74" i="45"/>
  <c r="A75" i="45"/>
  <c r="A76" i="45"/>
  <c r="A77" i="45"/>
  <c r="A78" i="45"/>
  <c r="A79" i="45"/>
  <c r="A80" i="45"/>
  <c r="B80" i="45"/>
  <c r="B79" i="45"/>
  <c r="B78" i="45"/>
  <c r="B77" i="45"/>
  <c r="B76" i="45"/>
  <c r="B75" i="45"/>
  <c r="B74" i="45"/>
  <c r="B73" i="45"/>
  <c r="B72" i="45"/>
  <c r="B71" i="45"/>
  <c r="A58" i="45"/>
  <c r="A59" i="45"/>
  <c r="A60" i="45"/>
  <c r="A61" i="45"/>
  <c r="A62" i="45"/>
  <c r="A63" i="45"/>
  <c r="A64" i="45"/>
  <c r="A65" i="45"/>
  <c r="A66" i="45"/>
  <c r="A67" i="45"/>
  <c r="A68" i="45"/>
  <c r="A69" i="45"/>
  <c r="A70" i="45"/>
  <c r="B70" i="45"/>
  <c r="B69" i="45"/>
  <c r="B68" i="45"/>
  <c r="B67" i="45"/>
  <c r="B66" i="45"/>
  <c r="B65" i="45"/>
  <c r="B64" i="45"/>
  <c r="B63" i="45"/>
  <c r="B62" i="45"/>
  <c r="B61" i="45"/>
  <c r="B60" i="45"/>
  <c r="B59" i="45"/>
  <c r="B58" i="45"/>
  <c r="A48" i="45"/>
  <c r="A49" i="45"/>
  <c r="A50" i="45"/>
  <c r="A51" i="45"/>
  <c r="A52" i="45"/>
  <c r="A53" i="45"/>
  <c r="A54" i="45"/>
  <c r="A55" i="45"/>
  <c r="A56" i="45"/>
  <c r="A57" i="45"/>
  <c r="B57" i="45"/>
  <c r="B56" i="45"/>
  <c r="B55" i="45"/>
  <c r="B54" i="45"/>
  <c r="B53" i="45"/>
  <c r="B52" i="45"/>
  <c r="B51" i="45"/>
  <c r="B50" i="45"/>
  <c r="B49" i="45"/>
  <c r="B48" i="45"/>
  <c r="A39" i="45"/>
  <c r="A40" i="45"/>
  <c r="A41" i="45"/>
  <c r="A42" i="45"/>
  <c r="A43" i="45"/>
  <c r="A44" i="45"/>
  <c r="A45" i="45"/>
  <c r="A46" i="45"/>
  <c r="A47" i="45"/>
  <c r="B47" i="45"/>
  <c r="B46" i="45"/>
  <c r="B45" i="45"/>
  <c r="B44" i="45"/>
  <c r="B43" i="45"/>
  <c r="B42" i="45"/>
  <c r="B41" i="45"/>
  <c r="B40" i="45"/>
  <c r="B39" i="45"/>
  <c r="A28" i="45"/>
  <c r="A29" i="45"/>
  <c r="A30" i="45"/>
  <c r="A31" i="45"/>
  <c r="A32" i="45"/>
  <c r="A33" i="45"/>
  <c r="A34" i="45"/>
  <c r="A35" i="45"/>
  <c r="A36" i="45"/>
  <c r="A37" i="45"/>
  <c r="A38" i="45"/>
  <c r="B38" i="45"/>
  <c r="B37" i="45"/>
  <c r="B36" i="45"/>
  <c r="B35" i="45"/>
  <c r="B34" i="45"/>
  <c r="B33" i="45"/>
  <c r="B32" i="45"/>
  <c r="B31" i="45"/>
  <c r="B30" i="45"/>
  <c r="B29" i="45"/>
  <c r="B28" i="45"/>
  <c r="A16" i="45"/>
  <c r="A17" i="45"/>
  <c r="A18" i="45"/>
  <c r="A19" i="45"/>
  <c r="A20" i="45"/>
  <c r="A21" i="45"/>
  <c r="A22" i="45"/>
  <c r="A23" i="45"/>
  <c r="A24" i="45"/>
  <c r="A25" i="45"/>
  <c r="A26" i="45"/>
  <c r="A27" i="45"/>
  <c r="B27" i="45"/>
  <c r="B26" i="45"/>
  <c r="B25" i="45"/>
  <c r="B24" i="45"/>
  <c r="B23" i="45"/>
  <c r="B22" i="45"/>
  <c r="B21" i="45"/>
  <c r="B20" i="45"/>
  <c r="B19" i="45"/>
  <c r="B18" i="45"/>
  <c r="B17" i="45"/>
  <c r="B16" i="45"/>
  <c r="A4" i="45"/>
  <c r="A5" i="45"/>
  <c r="A6" i="45"/>
  <c r="A7" i="45"/>
  <c r="A8" i="45"/>
  <c r="A9" i="45"/>
  <c r="A10" i="45"/>
  <c r="A11" i="45"/>
  <c r="A12" i="45"/>
  <c r="A13" i="45"/>
  <c r="A14" i="45"/>
  <c r="A15" i="45"/>
  <c r="B15" i="45"/>
  <c r="C14" i="45"/>
  <c r="B14" i="45"/>
  <c r="B13" i="45"/>
  <c r="B12" i="45"/>
  <c r="B11" i="45"/>
  <c r="B10" i="45"/>
  <c r="B9" i="45"/>
  <c r="B8" i="45"/>
  <c r="B7" i="45"/>
  <c r="B6" i="45"/>
  <c r="B5" i="45"/>
  <c r="B4" i="45"/>
  <c r="H45" i="46"/>
  <c r="H43" i="46"/>
  <c r="H41" i="46"/>
  <c r="H39" i="46"/>
  <c r="H38" i="46"/>
  <c r="O7" i="46"/>
  <c r="E45" i="46"/>
  <c r="C45" i="46"/>
  <c r="E43" i="46"/>
  <c r="C43" i="46"/>
  <c r="E41" i="46"/>
  <c r="C41" i="46"/>
  <c r="C38" i="46"/>
  <c r="C39" i="46"/>
  <c r="E38" i="46"/>
  <c r="E39" i="46"/>
  <c r="H37" i="46"/>
  <c r="C37" i="46"/>
  <c r="T5" i="46"/>
  <c r="U5" i="46" s="1"/>
  <c r="H26" i="42" l="1"/>
  <c r="H33" i="42"/>
  <c r="H30" i="42"/>
  <c r="H29" i="42"/>
  <c r="L56" i="45"/>
  <c r="L63" i="45"/>
  <c r="L78" i="45"/>
  <c r="L96" i="45"/>
  <c r="L105" i="45"/>
  <c r="L97" i="45"/>
  <c r="L129" i="45"/>
  <c r="L48" i="45"/>
  <c r="H25" i="42"/>
  <c r="L113" i="45"/>
  <c r="H39" i="42"/>
  <c r="H24" i="42"/>
  <c r="L8" i="45"/>
  <c r="L24" i="45"/>
  <c r="L16" i="45"/>
  <c r="L31" i="45"/>
  <c r="L43" i="45"/>
  <c r="L54" i="45"/>
  <c r="L69" i="45"/>
  <c r="L61" i="45"/>
  <c r="L76" i="45"/>
  <c r="L94" i="45"/>
  <c r="L189" i="45"/>
  <c r="L181" i="45"/>
  <c r="L173" i="45"/>
  <c r="L17" i="45"/>
  <c r="L44" i="45"/>
  <c r="L62" i="45"/>
  <c r="L77" i="45"/>
  <c r="L95" i="45"/>
  <c r="L137" i="45"/>
  <c r="H23" i="42"/>
  <c r="L15" i="45"/>
  <c r="L7" i="45"/>
  <c r="L23" i="45"/>
  <c r="L38" i="45"/>
  <c r="L30" i="45"/>
  <c r="L42" i="45"/>
  <c r="L53" i="45"/>
  <c r="L68" i="45"/>
  <c r="L60" i="45"/>
  <c r="L75" i="45"/>
  <c r="L93" i="45"/>
  <c r="L70" i="45"/>
  <c r="H22" i="42"/>
  <c r="L14" i="45"/>
  <c r="L6" i="45"/>
  <c r="L22" i="45"/>
  <c r="L37" i="45"/>
  <c r="L29" i="45"/>
  <c r="L41" i="45"/>
  <c r="L52" i="45"/>
  <c r="L67" i="45"/>
  <c r="L59" i="45"/>
  <c r="L74" i="45"/>
  <c r="L92" i="45"/>
  <c r="L18" i="45"/>
  <c r="L25" i="45"/>
  <c r="L55" i="45"/>
  <c r="H28" i="42"/>
  <c r="L13" i="45"/>
  <c r="L5" i="45"/>
  <c r="L21" i="45"/>
  <c r="L36" i="45"/>
  <c r="L28" i="45"/>
  <c r="L40" i="45"/>
  <c r="L51" i="45"/>
  <c r="L66" i="45"/>
  <c r="L58" i="45"/>
  <c r="L73" i="45"/>
  <c r="L91" i="45"/>
  <c r="L83" i="45"/>
  <c r="L33" i="45"/>
  <c r="L45" i="45"/>
  <c r="L32" i="45"/>
  <c r="L12" i="45"/>
  <c r="L20" i="45"/>
  <c r="L35" i="45"/>
  <c r="L47" i="45"/>
  <c r="L39" i="45"/>
  <c r="L50" i="45"/>
  <c r="L65" i="45"/>
  <c r="L80" i="45"/>
  <c r="L72" i="45"/>
  <c r="L90" i="45"/>
  <c r="L82" i="45"/>
  <c r="L107" i="45"/>
  <c r="L99" i="45"/>
  <c r="L10" i="45"/>
  <c r="L26" i="45"/>
  <c r="L9" i="45"/>
  <c r="L121" i="45"/>
  <c r="H36" i="42"/>
  <c r="L11" i="45"/>
  <c r="L27" i="45"/>
  <c r="L19" i="45"/>
  <c r="L34" i="45"/>
  <c r="L46" i="45"/>
  <c r="L57" i="45"/>
  <c r="L49" i="45"/>
  <c r="L64" i="45"/>
  <c r="L79" i="45"/>
  <c r="L71" i="45"/>
  <c r="L89" i="45"/>
  <c r="L81" i="45"/>
  <c r="L165" i="45"/>
  <c r="L88" i="45"/>
  <c r="L112" i="45"/>
  <c r="L104" i="45"/>
  <c r="L128" i="45"/>
  <c r="L120" i="45"/>
  <c r="L144" i="45"/>
  <c r="L136" i="45"/>
  <c r="L151" i="45"/>
  <c r="L157" i="45"/>
  <c r="L87" i="45"/>
  <c r="L111" i="45"/>
  <c r="L103" i="45"/>
  <c r="L127" i="45"/>
  <c r="L119" i="45"/>
  <c r="L143" i="45"/>
  <c r="L135" i="45"/>
  <c r="L150" i="45"/>
  <c r="L86" i="45"/>
  <c r="L110" i="45"/>
  <c r="L102" i="45"/>
  <c r="L126" i="45"/>
  <c r="L118" i="45"/>
  <c r="L142" i="45"/>
  <c r="L134" i="45"/>
  <c r="L149" i="45"/>
  <c r="L85" i="45"/>
  <c r="L109" i="45"/>
  <c r="L101" i="45"/>
  <c r="L125" i="45"/>
  <c r="L117" i="45"/>
  <c r="L141" i="45"/>
  <c r="L133" i="45"/>
  <c r="L148" i="45"/>
  <c r="L84" i="45"/>
  <c r="L108" i="45"/>
  <c r="L100" i="45"/>
  <c r="L124" i="45"/>
  <c r="L116" i="45"/>
  <c r="L140" i="45"/>
  <c r="L132" i="45"/>
  <c r="L147" i="45"/>
  <c r="L123" i="45"/>
  <c r="L115" i="45"/>
  <c r="L139" i="45"/>
  <c r="L131" i="45"/>
  <c r="L146" i="45"/>
  <c r="L152" i="45"/>
  <c r="L303" i="45"/>
  <c r="L295" i="45"/>
  <c r="L106" i="45"/>
  <c r="L98" i="45"/>
  <c r="L122" i="45"/>
  <c r="L114" i="45"/>
  <c r="L138" i="45"/>
  <c r="L130" i="45"/>
  <c r="L145" i="45"/>
  <c r="L159" i="45"/>
  <c r="L182" i="45"/>
  <c r="L174" i="45"/>
  <c r="L166" i="45"/>
  <c r="L153" i="45"/>
  <c r="L183" i="45"/>
  <c r="L175" i="45"/>
  <c r="L167" i="45"/>
  <c r="L158" i="45"/>
  <c r="L188" i="45"/>
  <c r="L180" i="45"/>
  <c r="L172" i="45"/>
  <c r="L164" i="45"/>
  <c r="L257" i="45"/>
  <c r="L249" i="45"/>
  <c r="L302" i="45"/>
  <c r="L294" i="45"/>
  <c r="L187" i="45"/>
  <c r="L179" i="45"/>
  <c r="L171" i="45"/>
  <c r="L163" i="45"/>
  <c r="L231" i="45"/>
  <c r="L223" i="45"/>
  <c r="L256" i="45"/>
  <c r="L156" i="45"/>
  <c r="L186" i="45"/>
  <c r="L178" i="45"/>
  <c r="L170" i="45"/>
  <c r="L162" i="45"/>
  <c r="L216" i="45"/>
  <c r="L208" i="45"/>
  <c r="L230" i="45"/>
  <c r="L222" i="45"/>
  <c r="L244" i="45"/>
  <c r="L264" i="45"/>
  <c r="L155" i="45"/>
  <c r="L185" i="45"/>
  <c r="L177" i="45"/>
  <c r="L169" i="45"/>
  <c r="L161" i="45"/>
  <c r="L215" i="45"/>
  <c r="L207" i="45"/>
  <c r="L199" i="45"/>
  <c r="L191" i="45"/>
  <c r="L243" i="45"/>
  <c r="L271" i="45"/>
  <c r="L263" i="45"/>
  <c r="L154" i="45"/>
  <c r="L184" i="45"/>
  <c r="L176" i="45"/>
  <c r="L168" i="45"/>
  <c r="L160" i="45"/>
  <c r="L214" i="45"/>
  <c r="L206" i="45"/>
  <c r="L198" i="45"/>
  <c r="L190" i="45"/>
  <c r="L213" i="45"/>
  <c r="L205" i="45"/>
  <c r="L197" i="45"/>
  <c r="L237" i="45"/>
  <c r="L229" i="45"/>
  <c r="L221" i="45"/>
  <c r="L242" i="45"/>
  <c r="L255" i="45"/>
  <c r="L270" i="45"/>
  <c r="L262" i="45"/>
  <c r="L212" i="45"/>
  <c r="L204" i="45"/>
  <c r="L196" i="45"/>
  <c r="L236" i="45"/>
  <c r="L228" i="45"/>
  <c r="L220" i="45"/>
  <c r="L241" i="45"/>
  <c r="L254" i="45"/>
  <c r="L269" i="45"/>
  <c r="L261" i="45"/>
  <c r="L219" i="45"/>
  <c r="L211" i="45"/>
  <c r="L203" i="45"/>
  <c r="L195" i="45"/>
  <c r="L235" i="45"/>
  <c r="L227" i="45"/>
  <c r="L248" i="45"/>
  <c r="L240" i="45"/>
  <c r="L253" i="45"/>
  <c r="L268" i="45"/>
  <c r="L260" i="45"/>
  <c r="L283" i="45"/>
  <c r="L275" i="45"/>
  <c r="L313" i="45"/>
  <c r="J313" i="45"/>
  <c r="L218" i="45"/>
  <c r="L210" i="45"/>
  <c r="L202" i="45"/>
  <c r="L194" i="45"/>
  <c r="L234" i="45"/>
  <c r="L226" i="45"/>
  <c r="L247" i="45"/>
  <c r="L239" i="45"/>
  <c r="L252" i="45"/>
  <c r="L267" i="45"/>
  <c r="L259" i="45"/>
  <c r="L282" i="45"/>
  <c r="L274" i="45"/>
  <c r="J312" i="45"/>
  <c r="L312" i="45"/>
  <c r="L217" i="45"/>
  <c r="L209" i="45"/>
  <c r="L201" i="45"/>
  <c r="L193" i="45"/>
  <c r="L233" i="45"/>
  <c r="L225" i="45"/>
  <c r="L246" i="45"/>
  <c r="L238" i="45"/>
  <c r="L251" i="45"/>
  <c r="L266" i="45"/>
  <c r="L200" i="45"/>
  <c r="L192" i="45"/>
  <c r="L232" i="45"/>
  <c r="L224" i="45"/>
  <c r="L245" i="45"/>
  <c r="L258" i="45"/>
  <c r="L250" i="45"/>
  <c r="L265" i="45"/>
  <c r="L284" i="45"/>
  <c r="L276" i="45"/>
  <c r="L304" i="45"/>
  <c r="L296" i="45"/>
  <c r="L288" i="45"/>
  <c r="L281" i="45"/>
  <c r="L273" i="45"/>
  <c r="L301" i="45"/>
  <c r="L293" i="45"/>
  <c r="L311" i="45"/>
  <c r="J311" i="45"/>
  <c r="L280" i="45"/>
  <c r="L272" i="45"/>
  <c r="L300" i="45"/>
  <c r="L292" i="45"/>
  <c r="J310" i="45"/>
  <c r="L310" i="45"/>
  <c r="L287" i="45"/>
  <c r="L279" i="45"/>
  <c r="L307" i="45"/>
  <c r="L299" i="45"/>
  <c r="L291" i="45"/>
  <c r="L309" i="45"/>
  <c r="J309" i="45"/>
  <c r="L286" i="45"/>
  <c r="L278" i="45"/>
  <c r="L306" i="45"/>
  <c r="L298" i="45"/>
  <c r="L290" i="45"/>
  <c r="J308" i="45"/>
  <c r="L308" i="45"/>
  <c r="L285" i="45"/>
  <c r="L277" i="45"/>
  <c r="L305" i="45"/>
  <c r="L297" i="45"/>
  <c r="L289" i="45"/>
  <c r="P7" i="46"/>
  <c r="Q7" i="46" s="1"/>
  <c r="E37" i="46"/>
  <c r="H50" i="128"/>
  <c r="R6" i="80"/>
  <c r="I4" i="45" s="1"/>
  <c r="R39" i="100"/>
  <c r="I27" i="45" s="1"/>
  <c r="U6" i="80"/>
  <c r="R7" i="46" l="1"/>
  <c r="S7" i="46" l="1"/>
  <c r="T7" i="46" s="1"/>
  <c r="H48" i="128"/>
  <c r="H47" i="128"/>
  <c r="H46" i="128"/>
  <c r="H45" i="128"/>
  <c r="H44" i="128"/>
  <c r="H43" i="128"/>
  <c r="H42" i="128"/>
  <c r="H41" i="128"/>
  <c r="H40" i="128"/>
  <c r="H39" i="128"/>
  <c r="H38" i="128"/>
  <c r="H37" i="128"/>
  <c r="H36" i="128"/>
  <c r="H35" i="128"/>
  <c r="H28" i="128"/>
  <c r="H27" i="128"/>
  <c r="H25" i="128"/>
  <c r="H24" i="128"/>
  <c r="H34" i="128"/>
  <c r="K11" i="128"/>
  <c r="J11" i="128"/>
  <c r="I11" i="128"/>
  <c r="H11" i="128"/>
  <c r="F11" i="128"/>
  <c r="E11" i="128"/>
  <c r="D11" i="128"/>
  <c r="C11" i="128"/>
  <c r="B11" i="128"/>
  <c r="G11" i="128"/>
  <c r="A11" i="128"/>
  <c r="C10" i="127"/>
  <c r="C12" i="127"/>
  <c r="C16" i="127"/>
  <c r="C18" i="127"/>
  <c r="C19" i="127"/>
  <c r="C20" i="127"/>
  <c r="C21" i="127"/>
  <c r="C23" i="127"/>
  <c r="C24" i="127"/>
  <c r="C25" i="127"/>
  <c r="C29" i="127"/>
  <c r="C30" i="127"/>
  <c r="C31" i="127"/>
  <c r="C33" i="127"/>
  <c r="C35" i="127"/>
  <c r="C36" i="127"/>
  <c r="C38" i="127"/>
  <c r="C39" i="127"/>
  <c r="C42" i="127"/>
  <c r="C44" i="127"/>
  <c r="C45" i="127"/>
  <c r="C46" i="127"/>
  <c r="C48" i="127"/>
  <c r="C52" i="127"/>
  <c r="C53" i="127"/>
  <c r="C54" i="127"/>
  <c r="C55" i="127"/>
  <c r="C56" i="127"/>
  <c r="C57" i="127"/>
  <c r="C58" i="127"/>
  <c r="C60" i="127"/>
  <c r="C64" i="127"/>
  <c r="C65" i="127"/>
  <c r="C66" i="127"/>
  <c r="C67" i="127"/>
  <c r="C69" i="127"/>
  <c r="C73" i="127"/>
  <c r="C75" i="127"/>
  <c r="C77" i="127"/>
  <c r="C80" i="127"/>
  <c r="C82" i="127"/>
  <c r="C84" i="127"/>
  <c r="C87" i="127"/>
  <c r="C89" i="127"/>
  <c r="C90" i="127"/>
  <c r="C92" i="127"/>
  <c r="C93" i="127"/>
  <c r="C94" i="127"/>
  <c r="C95" i="127"/>
  <c r="C96" i="127"/>
  <c r="C97" i="127"/>
  <c r="C98" i="127"/>
  <c r="C99" i="127"/>
  <c r="C101" i="127"/>
  <c r="C102" i="127"/>
  <c r="C103" i="127"/>
  <c r="C104" i="127"/>
  <c r="C105" i="127"/>
  <c r="C107" i="127"/>
  <c r="C108" i="127"/>
  <c r="C109" i="127"/>
  <c r="C113" i="127"/>
  <c r="C114" i="127"/>
  <c r="C115" i="127"/>
  <c r="C116" i="127"/>
  <c r="C117" i="127"/>
  <c r="C118" i="127"/>
  <c r="C119" i="127"/>
  <c r="C120" i="127"/>
  <c r="C121" i="127"/>
  <c r="C122" i="127"/>
  <c r="C123" i="127"/>
  <c r="C127" i="127"/>
  <c r="U7" i="46" l="1"/>
  <c r="U21" i="126"/>
  <c r="R21" i="126"/>
  <c r="I313" i="45" s="1"/>
  <c r="K313" i="45" s="1"/>
  <c r="B127" i="127"/>
  <c r="B62" i="127"/>
  <c r="B71" i="127"/>
  <c r="B79" i="127"/>
  <c r="B86" i="127"/>
  <c r="B90" i="127"/>
  <c r="B50" i="127" l="1"/>
  <c r="B39" i="127"/>
  <c r="B41" i="127"/>
  <c r="B45" i="127"/>
  <c r="B19" i="127"/>
  <c r="B24" i="127"/>
  <c r="B27" i="127"/>
  <c r="B36" i="127"/>
  <c r="AA5" i="127"/>
  <c r="Z5" i="127"/>
  <c r="Y5" i="127"/>
  <c r="X5" i="127"/>
  <c r="W5" i="127"/>
  <c r="V5" i="127"/>
  <c r="U5" i="127"/>
  <c r="T5" i="127"/>
  <c r="S5" i="127"/>
  <c r="R5" i="127"/>
  <c r="Q5" i="127"/>
  <c r="P5" i="127"/>
  <c r="O5" i="127"/>
  <c r="N5" i="127"/>
  <c r="M5" i="127"/>
  <c r="L5" i="127"/>
  <c r="K5" i="127"/>
  <c r="J5" i="127"/>
  <c r="I5" i="127"/>
  <c r="H5" i="127"/>
  <c r="G5" i="127"/>
  <c r="F5" i="127"/>
  <c r="AJ127" i="127"/>
  <c r="AJ126" i="127" s="1"/>
  <c r="AJ125" i="127" s="1"/>
  <c r="AJ123" i="127"/>
  <c r="AJ122" i="127"/>
  <c r="AJ121" i="127"/>
  <c r="AJ120" i="127"/>
  <c r="AJ119" i="127"/>
  <c r="AJ118" i="127"/>
  <c r="AJ117" i="127"/>
  <c r="AJ116" i="127"/>
  <c r="AJ115" i="127"/>
  <c r="AJ114" i="127"/>
  <c r="AJ113" i="127"/>
  <c r="AJ109" i="127"/>
  <c r="AJ108" i="127"/>
  <c r="AJ107" i="127"/>
  <c r="AJ105" i="127"/>
  <c r="AJ104" i="127"/>
  <c r="AJ103" i="127"/>
  <c r="AJ102" i="127"/>
  <c r="AE102" i="127"/>
  <c r="AE103" i="127" s="1"/>
  <c r="AE104" i="127" s="1"/>
  <c r="AE105" i="127" s="1"/>
  <c r="AJ101" i="127"/>
  <c r="AJ99" i="127"/>
  <c r="AJ98" i="127"/>
  <c r="AJ97" i="127"/>
  <c r="AJ96" i="127"/>
  <c r="AJ95" i="127"/>
  <c r="AJ94" i="127"/>
  <c r="AJ93" i="127"/>
  <c r="AE93" i="127"/>
  <c r="AE94" i="127" s="1"/>
  <c r="AE95" i="127" s="1"/>
  <c r="AE96" i="127" s="1"/>
  <c r="AE97" i="127" s="1"/>
  <c r="AE98" i="127" s="1"/>
  <c r="AE99" i="127" s="1"/>
  <c r="AJ92" i="127"/>
  <c r="AJ88" i="127"/>
  <c r="AJ86" i="127"/>
  <c r="AJ85" i="127"/>
  <c r="AJ83" i="127"/>
  <c r="AJ81" i="127"/>
  <c r="AJ79" i="127"/>
  <c r="AJ78" i="127"/>
  <c r="AJ76" i="127"/>
  <c r="AJ74" i="127"/>
  <c r="AJ72" i="127"/>
  <c r="AJ71" i="127"/>
  <c r="AJ70" i="127"/>
  <c r="AJ68" i="127"/>
  <c r="AJ67" i="127"/>
  <c r="AJ63" i="127"/>
  <c r="AJ62" i="127"/>
  <c r="AJ61" i="127"/>
  <c r="AJ59" i="127"/>
  <c r="AJ58" i="127"/>
  <c r="AJ51" i="127"/>
  <c r="AJ50" i="127"/>
  <c r="AJ49" i="127"/>
  <c r="AJ47" i="127"/>
  <c r="AJ46" i="127"/>
  <c r="AJ43" i="127"/>
  <c r="AJ41" i="127"/>
  <c r="AJ40" i="127"/>
  <c r="AJ37" i="127"/>
  <c r="AJ34" i="127"/>
  <c r="AJ32" i="127"/>
  <c r="AJ31" i="127"/>
  <c r="AJ30" i="127"/>
  <c r="AJ28" i="127"/>
  <c r="AJ27" i="127"/>
  <c r="AJ26" i="127"/>
  <c r="AJ22" i="127"/>
  <c r="AJ21" i="127"/>
  <c r="AJ17" i="127"/>
  <c r="AJ15" i="127"/>
  <c r="AJ14" i="127"/>
  <c r="AJ13" i="127"/>
  <c r="AJ11" i="127"/>
  <c r="AJ9" i="127"/>
  <c r="AQ8" i="127"/>
  <c r="AP8" i="127"/>
  <c r="AO8" i="127"/>
  <c r="AJ8" i="127"/>
  <c r="B6" i="127"/>
  <c r="AJ106" i="127" l="1"/>
  <c r="AJ112" i="127"/>
  <c r="AJ111" i="127" s="1"/>
  <c r="AJ100" i="127"/>
  <c r="C6" i="127"/>
  <c r="D6" i="127" s="1"/>
  <c r="AJ91" i="127"/>
  <c r="AJ7" i="127" s="1"/>
  <c r="E6" i="127" l="1"/>
  <c r="D9" i="127"/>
  <c r="AB6" i="127"/>
  <c r="D61" i="124"/>
  <c r="C287" i="45" s="1"/>
  <c r="D57" i="124"/>
  <c r="C286" i="45" s="1"/>
  <c r="D54" i="124"/>
  <c r="C285" i="45" s="1"/>
  <c r="D51" i="124"/>
  <c r="C284" i="45" s="1"/>
  <c r="D48" i="124"/>
  <c r="C283" i="45" s="1"/>
  <c r="D45" i="124"/>
  <c r="C282" i="45" s="1"/>
  <c r="D40" i="124"/>
  <c r="C281" i="45" s="1"/>
  <c r="D37" i="124"/>
  <c r="C280" i="45" s="1"/>
  <c r="D31" i="124"/>
  <c r="C279" i="45" s="1"/>
  <c r="D28" i="124"/>
  <c r="C278" i="45" s="1"/>
  <c r="D25" i="124"/>
  <c r="C277" i="45" s="1"/>
  <c r="D22" i="124"/>
  <c r="C276" i="45" s="1"/>
  <c r="D19" i="124"/>
  <c r="C275" i="45" s="1"/>
  <c r="D16" i="124"/>
  <c r="C274" i="45" s="1"/>
  <c r="D9" i="124"/>
  <c r="C273" i="45" s="1"/>
  <c r="D6" i="124"/>
  <c r="C272" i="45" s="1"/>
  <c r="D61" i="107"/>
  <c r="C96" i="45" s="1"/>
  <c r="D57" i="107"/>
  <c r="C95" i="45" s="1"/>
  <c r="D54" i="107"/>
  <c r="C94" i="45" s="1"/>
  <c r="D51" i="107"/>
  <c r="C93" i="45" s="1"/>
  <c r="D48" i="107"/>
  <c r="C92" i="45" s="1"/>
  <c r="D45" i="107"/>
  <c r="C91" i="45" s="1"/>
  <c r="D40" i="107"/>
  <c r="C90" i="45" s="1"/>
  <c r="D37" i="107"/>
  <c r="C89" i="45" s="1"/>
  <c r="D31" i="107"/>
  <c r="C88" i="45" s="1"/>
  <c r="D28" i="107"/>
  <c r="C87" i="45" s="1"/>
  <c r="D25" i="107"/>
  <c r="C86" i="45" s="1"/>
  <c r="D22" i="107"/>
  <c r="C85" i="45" s="1"/>
  <c r="D19" i="107"/>
  <c r="C84" i="45" s="1"/>
  <c r="D16" i="107"/>
  <c r="C83" i="45" s="1"/>
  <c r="D9" i="107"/>
  <c r="C82" i="45" s="1"/>
  <c r="D6" i="107"/>
  <c r="C81" i="45" s="1"/>
  <c r="D11" i="127" l="1"/>
  <c r="AD6" i="127"/>
  <c r="AC6" i="127"/>
  <c r="AE6" i="127" s="1"/>
  <c r="U63" i="115"/>
  <c r="R63" i="115"/>
  <c r="I307" i="45" s="1"/>
  <c r="U60" i="115"/>
  <c r="R60" i="115"/>
  <c r="I306" i="45" s="1"/>
  <c r="U57" i="115"/>
  <c r="R57" i="115"/>
  <c r="I305" i="45" s="1"/>
  <c r="U54" i="115"/>
  <c r="R54" i="115"/>
  <c r="I304" i="45" s="1"/>
  <c r="U51" i="115"/>
  <c r="R51" i="115"/>
  <c r="I303" i="45" s="1"/>
  <c r="U48" i="115"/>
  <c r="R48" i="115"/>
  <c r="I302" i="45" s="1"/>
  <c r="U45" i="115"/>
  <c r="R45" i="115"/>
  <c r="I301" i="45" s="1"/>
  <c r="U42" i="115"/>
  <c r="R42" i="115"/>
  <c r="I300" i="45" s="1"/>
  <c r="U39" i="115"/>
  <c r="R39" i="115"/>
  <c r="I299" i="45" s="1"/>
  <c r="U36" i="115"/>
  <c r="R36" i="115"/>
  <c r="I298" i="45" s="1"/>
  <c r="U33" i="115"/>
  <c r="R33" i="115"/>
  <c r="I297" i="45" s="1"/>
  <c r="U30" i="115"/>
  <c r="R30" i="115"/>
  <c r="I296" i="45" s="1"/>
  <c r="U27" i="115"/>
  <c r="R27" i="115"/>
  <c r="I295" i="45" s="1"/>
  <c r="U24" i="115"/>
  <c r="R24" i="115"/>
  <c r="I294" i="45" s="1"/>
  <c r="U21" i="115"/>
  <c r="R21" i="115"/>
  <c r="I293" i="45" s="1"/>
  <c r="U18" i="115"/>
  <c r="R18" i="115"/>
  <c r="I292" i="45" s="1"/>
  <c r="U15" i="115"/>
  <c r="R15" i="115"/>
  <c r="I291" i="45" s="1"/>
  <c r="U18" i="126"/>
  <c r="R18" i="126"/>
  <c r="I312" i="45" s="1"/>
  <c r="K312" i="45" s="1"/>
  <c r="U15" i="126"/>
  <c r="R15" i="126"/>
  <c r="I311" i="45" s="1"/>
  <c r="K311" i="45" s="1"/>
  <c r="B1" i="126"/>
  <c r="C30" i="126"/>
  <c r="U12" i="126"/>
  <c r="R12" i="126"/>
  <c r="I310" i="45" s="1"/>
  <c r="K310" i="45" s="1"/>
  <c r="U9" i="126"/>
  <c r="R9" i="126"/>
  <c r="I309" i="45" s="1"/>
  <c r="K309" i="45" s="1"/>
  <c r="U6" i="126"/>
  <c r="R6" i="126"/>
  <c r="I308" i="45" s="1"/>
  <c r="K308" i="45" s="1"/>
  <c r="D6" i="126"/>
  <c r="C308" i="45" s="1"/>
  <c r="B5" i="126"/>
  <c r="B46" i="127"/>
  <c r="R34" i="80"/>
  <c r="R33" i="80"/>
  <c r="R32" i="80"/>
  <c r="R31" i="80"/>
  <c r="H34" i="80"/>
  <c r="H31" i="80"/>
  <c r="H32" i="80"/>
  <c r="H33" i="80"/>
  <c r="H30" i="80"/>
  <c r="H20" i="80"/>
  <c r="M20" i="80" s="1"/>
  <c r="H21" i="80"/>
  <c r="M21" i="80" s="1"/>
  <c r="H22" i="80"/>
  <c r="N22" i="80" s="1"/>
  <c r="H23" i="80"/>
  <c r="M23" i="80" s="1"/>
  <c r="H19" i="80"/>
  <c r="N19" i="80" s="1"/>
  <c r="U9" i="80"/>
  <c r="H11" i="80"/>
  <c r="C9" i="117"/>
  <c r="H12" i="80"/>
  <c r="K12" i="80" s="1"/>
  <c r="H13" i="80"/>
  <c r="M13" i="80" s="1"/>
  <c r="H14" i="80"/>
  <c r="M14" i="80" s="1"/>
  <c r="H15" i="80"/>
  <c r="K15" i="80" s="1"/>
  <c r="B9" i="127" l="1"/>
  <c r="C31" i="126"/>
  <c r="N21" i="80"/>
  <c r="R21" i="80" s="1"/>
  <c r="D15" i="127"/>
  <c r="AF6" i="127"/>
  <c r="AG6" i="127" s="1"/>
  <c r="D9" i="126"/>
  <c r="C309" i="45" s="1"/>
  <c r="C5" i="126"/>
  <c r="B10" i="127"/>
  <c r="R30" i="80"/>
  <c r="N23" i="80"/>
  <c r="R23" i="80" s="1"/>
  <c r="N20" i="80"/>
  <c r="R20" i="80" s="1"/>
  <c r="M19" i="80"/>
  <c r="R19" i="80" s="1"/>
  <c r="M22" i="80"/>
  <c r="R22" i="80" s="1"/>
  <c r="M11" i="80"/>
  <c r="K11" i="80"/>
  <c r="M15" i="80"/>
  <c r="R15" i="80" s="1"/>
  <c r="K14" i="80"/>
  <c r="R14" i="80" s="1"/>
  <c r="M12" i="80"/>
  <c r="R12" i="80" s="1"/>
  <c r="K13" i="80"/>
  <c r="R13" i="80" s="1"/>
  <c r="R68" i="101"/>
  <c r="R69" i="101"/>
  <c r="C32" i="126" l="1"/>
  <c r="D12" i="126"/>
  <c r="C310" i="45" s="1"/>
  <c r="AH6" i="127"/>
  <c r="D17" i="127"/>
  <c r="E9" i="126" a="1"/>
  <c r="D15" i="126"/>
  <c r="C311" i="45" s="1"/>
  <c r="D5" i="126"/>
  <c r="B11" i="127"/>
  <c r="R11" i="80"/>
  <c r="R9" i="80" s="1"/>
  <c r="I5" i="45" s="1"/>
  <c r="I27" i="101"/>
  <c r="I28" i="101"/>
  <c r="I29" i="101"/>
  <c r="I30" i="101"/>
  <c r="U9" i="101"/>
  <c r="E309" i="45" l="1"/>
  <c r="C33" i="126"/>
  <c r="AJ6" i="127"/>
  <c r="AK6" i="127" s="1"/>
  <c r="AL6" i="127" s="1"/>
  <c r="AM6" i="127" s="1"/>
  <c r="AI6" i="127"/>
  <c r="D21" i="127"/>
  <c r="E9" i="126"/>
  <c r="D309" i="45" s="1"/>
  <c r="E5" i="126"/>
  <c r="R12" i="107"/>
  <c r="D18" i="126" l="1"/>
  <c r="C312" i="45" s="1"/>
  <c r="C34" i="126"/>
  <c r="C35" i="126" s="1"/>
  <c r="C36" i="126" s="1"/>
  <c r="C37" i="126" s="1"/>
  <c r="C38" i="126" s="1"/>
  <c r="C39" i="126" s="1"/>
  <c r="C40" i="126" s="1"/>
  <c r="C41" i="126" s="1"/>
  <c r="C42" i="126" s="1"/>
  <c r="C43" i="126" s="1"/>
  <c r="C44" i="126" s="1"/>
  <c r="C45" i="126" s="1"/>
  <c r="C46" i="126" s="1"/>
  <c r="C47" i="126" s="1"/>
  <c r="E15" i="126" a="1"/>
  <c r="B15" i="127"/>
  <c r="B12" i="127"/>
  <c r="AN6" i="127"/>
  <c r="AO6" i="127" s="1"/>
  <c r="AP6" i="127" s="1"/>
  <c r="AQ6" i="127" s="1"/>
  <c r="D22" i="127"/>
  <c r="F5" i="126"/>
  <c r="G5" i="126" s="1"/>
  <c r="H11" i="101"/>
  <c r="J11" i="101" s="1"/>
  <c r="H12" i="101"/>
  <c r="J12" i="101" s="1"/>
  <c r="H14" i="101"/>
  <c r="H10" i="101"/>
  <c r="J10" i="101" s="1"/>
  <c r="N91" i="101"/>
  <c r="N18" i="101" s="1"/>
  <c r="N90" i="101"/>
  <c r="N17" i="101" s="1"/>
  <c r="H85" i="101"/>
  <c r="H28" i="101" s="1"/>
  <c r="H86" i="101"/>
  <c r="H87" i="101"/>
  <c r="H84" i="101"/>
  <c r="R66" i="101"/>
  <c r="R67" i="101"/>
  <c r="H63" i="101"/>
  <c r="J63" i="101" s="1"/>
  <c r="H64" i="101"/>
  <c r="J64" i="101" s="1"/>
  <c r="H65" i="101"/>
  <c r="J65" i="101" s="1"/>
  <c r="H62" i="101"/>
  <c r="K62" i="101" s="1"/>
  <c r="N56" i="101"/>
  <c r="N55" i="101"/>
  <c r="H52" i="101"/>
  <c r="N52" i="101" s="1"/>
  <c r="H53" i="101"/>
  <c r="N53" i="101" s="1"/>
  <c r="H54" i="101"/>
  <c r="M54" i="101" s="1"/>
  <c r="H51" i="101"/>
  <c r="M51" i="101" s="1"/>
  <c r="H47" i="101"/>
  <c r="M47" i="101" s="1"/>
  <c r="H48" i="101"/>
  <c r="H46" i="101"/>
  <c r="J46" i="101" s="1"/>
  <c r="H44" i="101"/>
  <c r="K44" i="101" s="1"/>
  <c r="W55" i="117"/>
  <c r="V55" i="117"/>
  <c r="U55" i="117"/>
  <c r="T55" i="117"/>
  <c r="S55" i="117"/>
  <c r="R55" i="117"/>
  <c r="Q55" i="117"/>
  <c r="P55" i="117"/>
  <c r="L55" i="117"/>
  <c r="K55" i="117"/>
  <c r="R54" i="117"/>
  <c r="Q54" i="117"/>
  <c r="P54" i="117"/>
  <c r="T54" i="117" s="1"/>
  <c r="W53" i="117"/>
  <c r="V53" i="117"/>
  <c r="U53" i="117"/>
  <c r="Y53" i="117" s="1"/>
  <c r="T53" i="117"/>
  <c r="S53" i="117"/>
  <c r="R53" i="117"/>
  <c r="Q53" i="117"/>
  <c r="P53" i="117"/>
  <c r="L53" i="117"/>
  <c r="K53" i="117"/>
  <c r="O53" i="117" s="1"/>
  <c r="T52" i="117"/>
  <c r="R52" i="117"/>
  <c r="Q52" i="117"/>
  <c r="P52" i="117"/>
  <c r="S52" i="117" s="1"/>
  <c r="W51" i="117"/>
  <c r="V51" i="117"/>
  <c r="Y51" i="117" s="1"/>
  <c r="U51" i="117"/>
  <c r="R51" i="117"/>
  <c r="Q51" i="117"/>
  <c r="P51" i="117"/>
  <c r="T51" i="117" s="1"/>
  <c r="O51" i="117"/>
  <c r="N51" i="117"/>
  <c r="L51" i="117"/>
  <c r="K51" i="117"/>
  <c r="W50" i="117"/>
  <c r="V50" i="117"/>
  <c r="U50" i="117"/>
  <c r="Y50" i="117" s="1"/>
  <c r="T50" i="117"/>
  <c r="R50" i="117"/>
  <c r="Q50" i="117"/>
  <c r="P50" i="117"/>
  <c r="S50" i="117" s="1"/>
  <c r="L50" i="117"/>
  <c r="K50" i="117"/>
  <c r="O50" i="117" s="1"/>
  <c r="W49" i="117"/>
  <c r="V49" i="117"/>
  <c r="U49" i="117"/>
  <c r="Y49" i="117" s="1"/>
  <c r="T49" i="117"/>
  <c r="S49" i="117"/>
  <c r="R49" i="117"/>
  <c r="Q49" i="117"/>
  <c r="P49" i="117"/>
  <c r="L49" i="117"/>
  <c r="K49" i="117"/>
  <c r="O49" i="117" s="1"/>
  <c r="Y48" i="117"/>
  <c r="W48" i="117"/>
  <c r="V48" i="117"/>
  <c r="U48" i="117"/>
  <c r="R48" i="117"/>
  <c r="Q48" i="117"/>
  <c r="P48" i="117"/>
  <c r="T48" i="117" s="1"/>
  <c r="N48" i="117"/>
  <c r="L48" i="117"/>
  <c r="O48" i="117" s="1"/>
  <c r="K48" i="117"/>
  <c r="W47" i="117"/>
  <c r="V47" i="117"/>
  <c r="Y47" i="117" s="1"/>
  <c r="U47" i="117"/>
  <c r="R47" i="117"/>
  <c r="Q47" i="117"/>
  <c r="P47" i="117"/>
  <c r="T47" i="117" s="1"/>
  <c r="O47" i="117"/>
  <c r="N47" i="117"/>
  <c r="L47" i="117"/>
  <c r="K47" i="117"/>
  <c r="T46" i="117"/>
  <c r="S46" i="117"/>
  <c r="R46" i="117"/>
  <c r="T45" i="117"/>
  <c r="S45" i="117"/>
  <c r="R45" i="117"/>
  <c r="R44" i="117"/>
  <c r="Q44" i="117"/>
  <c r="P44" i="117"/>
  <c r="T44" i="117" s="1"/>
  <c r="W43" i="117"/>
  <c r="V43" i="117"/>
  <c r="U43" i="117"/>
  <c r="Y43" i="117" s="1"/>
  <c r="T43" i="117"/>
  <c r="S43" i="117"/>
  <c r="R43" i="117"/>
  <c r="Q43" i="117"/>
  <c r="P43" i="117"/>
  <c r="L43" i="117"/>
  <c r="K43" i="117"/>
  <c r="O43" i="117" s="1"/>
  <c r="Y42" i="117"/>
  <c r="W42" i="117"/>
  <c r="V42" i="117"/>
  <c r="U42" i="117"/>
  <c r="R42" i="117"/>
  <c r="Q42" i="117"/>
  <c r="P42" i="117"/>
  <c r="T42" i="117" s="1"/>
  <c r="N42" i="117"/>
  <c r="L42" i="117"/>
  <c r="O42" i="117" s="1"/>
  <c r="K42" i="117"/>
  <c r="W41" i="117"/>
  <c r="V41" i="117"/>
  <c r="Y41" i="117" s="1"/>
  <c r="U41" i="117"/>
  <c r="R41" i="117"/>
  <c r="Q41" i="117"/>
  <c r="P41" i="117"/>
  <c r="T41" i="117" s="1"/>
  <c r="O41" i="117"/>
  <c r="N41" i="117"/>
  <c r="L41" i="117"/>
  <c r="K41" i="117"/>
  <c r="W40" i="117"/>
  <c r="V40" i="117"/>
  <c r="U40" i="117"/>
  <c r="Y40" i="117" s="1"/>
  <c r="T40" i="117"/>
  <c r="R40" i="117"/>
  <c r="Q40" i="117"/>
  <c r="P40" i="117"/>
  <c r="S40" i="117" s="1"/>
  <c r="L40" i="117"/>
  <c r="K40" i="117"/>
  <c r="O40" i="117" s="1"/>
  <c r="W39" i="117"/>
  <c r="V39" i="117"/>
  <c r="U39" i="117"/>
  <c r="Y39" i="117" s="1"/>
  <c r="T39" i="117"/>
  <c r="S39" i="117"/>
  <c r="R39" i="117"/>
  <c r="Q39" i="117"/>
  <c r="P39" i="117"/>
  <c r="L39" i="117"/>
  <c r="K39" i="117"/>
  <c r="O39" i="117" s="1"/>
  <c r="A39" i="117"/>
  <c r="A40" i="117" s="1"/>
  <c r="A41" i="117" s="1"/>
  <c r="A42" i="117" s="1"/>
  <c r="A43" i="117" s="1"/>
  <c r="A44" i="117" s="1"/>
  <c r="A45" i="117" s="1"/>
  <c r="A46" i="117" s="1"/>
  <c r="A47" i="117" s="1"/>
  <c r="A48" i="117" s="1"/>
  <c r="A49" i="117" s="1"/>
  <c r="A50" i="117" s="1"/>
  <c r="A51" i="117" s="1"/>
  <c r="A52" i="117" s="1"/>
  <c r="A53" i="117" s="1"/>
  <c r="A54" i="117" s="1"/>
  <c r="A55" i="117" s="1"/>
  <c r="Y38" i="117"/>
  <c r="W38" i="117"/>
  <c r="V38" i="117"/>
  <c r="U38" i="117"/>
  <c r="R38" i="117"/>
  <c r="Q38" i="117"/>
  <c r="P38" i="117"/>
  <c r="T38" i="117" s="1"/>
  <c r="N38" i="117"/>
  <c r="L38" i="117"/>
  <c r="K38" i="117"/>
  <c r="O38" i="117" s="1"/>
  <c r="A38" i="117"/>
  <c r="W37" i="117"/>
  <c r="V37" i="117"/>
  <c r="Y37" i="117" s="1"/>
  <c r="U37" i="117"/>
  <c r="R37" i="117"/>
  <c r="Q37" i="117"/>
  <c r="P37" i="117"/>
  <c r="T37" i="117" s="1"/>
  <c r="O37" i="117"/>
  <c r="N37" i="117"/>
  <c r="L37" i="117"/>
  <c r="K37" i="117"/>
  <c r="A37" i="117"/>
  <c r="W36" i="117"/>
  <c r="V36" i="117"/>
  <c r="U36" i="117"/>
  <c r="Y36" i="117" s="1"/>
  <c r="T36" i="117"/>
  <c r="S36" i="117"/>
  <c r="R36" i="117"/>
  <c r="Q36" i="117"/>
  <c r="P36" i="117"/>
  <c r="L36" i="117"/>
  <c r="K36" i="117"/>
  <c r="O36" i="117" s="1"/>
  <c r="C35" i="117"/>
  <c r="W34" i="117"/>
  <c r="V34" i="117"/>
  <c r="U34" i="117"/>
  <c r="T34" i="117"/>
  <c r="S34" i="117"/>
  <c r="R34" i="117"/>
  <c r="Q34" i="117"/>
  <c r="P34" i="117"/>
  <c r="L34" i="117"/>
  <c r="K34" i="117"/>
  <c r="W33" i="117"/>
  <c r="V33" i="117"/>
  <c r="U33" i="117"/>
  <c r="T33" i="117"/>
  <c r="S33" i="117"/>
  <c r="R33" i="117"/>
  <c r="Q33" i="117"/>
  <c r="P33" i="117"/>
  <c r="L33" i="117"/>
  <c r="K33" i="117"/>
  <c r="A33" i="117"/>
  <c r="A34" i="117" s="1"/>
  <c r="Y32" i="117"/>
  <c r="W32" i="117"/>
  <c r="V32" i="117"/>
  <c r="U32" i="117"/>
  <c r="R32" i="117"/>
  <c r="Q32" i="117"/>
  <c r="P32" i="117"/>
  <c r="T32" i="117" s="1"/>
  <c r="O32" i="117"/>
  <c r="L32" i="117"/>
  <c r="K32" i="117"/>
  <c r="N32" i="117" s="1"/>
  <c r="A32" i="117"/>
  <c r="W31" i="117"/>
  <c r="V31" i="117"/>
  <c r="Y31" i="117" s="1"/>
  <c r="U31" i="117"/>
  <c r="R31" i="117"/>
  <c r="Q31" i="117"/>
  <c r="P31" i="117"/>
  <c r="T31" i="117" s="1"/>
  <c r="O31" i="117"/>
  <c r="N31" i="117"/>
  <c r="L31" i="117"/>
  <c r="K31" i="117"/>
  <c r="C30" i="117"/>
  <c r="R29" i="117"/>
  <c r="Q29" i="117"/>
  <c r="P29" i="117"/>
  <c r="T29" i="117" s="1"/>
  <c r="W28" i="117"/>
  <c r="V28" i="117"/>
  <c r="U28" i="117"/>
  <c r="Y28" i="117" s="1"/>
  <c r="T28" i="117"/>
  <c r="S28" i="117"/>
  <c r="R28" i="117"/>
  <c r="Q28" i="117"/>
  <c r="P28" i="117"/>
  <c r="L28" i="117"/>
  <c r="K28" i="117"/>
  <c r="O28" i="117" s="1"/>
  <c r="Y27" i="117"/>
  <c r="W27" i="117"/>
  <c r="V27" i="117"/>
  <c r="U27" i="117"/>
  <c r="R27" i="117"/>
  <c r="Q27" i="117"/>
  <c r="P27" i="117"/>
  <c r="T27" i="117" s="1"/>
  <c r="O27" i="117"/>
  <c r="L27" i="117"/>
  <c r="K27" i="117"/>
  <c r="N27" i="117" s="1"/>
  <c r="W26" i="117"/>
  <c r="V26" i="117"/>
  <c r="Y26" i="117" s="1"/>
  <c r="U26" i="117"/>
  <c r="R26" i="117"/>
  <c r="Q26" i="117"/>
  <c r="P26" i="117"/>
  <c r="T26" i="117" s="1"/>
  <c r="O26" i="117"/>
  <c r="N26" i="117"/>
  <c r="L26" i="117"/>
  <c r="K26" i="117"/>
  <c r="A26" i="117"/>
  <c r="A27" i="117" s="1"/>
  <c r="A28" i="117" s="1"/>
  <c r="A29" i="117" s="1"/>
  <c r="R25" i="117"/>
  <c r="Q25" i="117"/>
  <c r="P25" i="117"/>
  <c r="T25" i="117" s="1"/>
  <c r="G25" i="117"/>
  <c r="A25" i="117"/>
  <c r="W24" i="117"/>
  <c r="V24" i="117"/>
  <c r="U24" i="117"/>
  <c r="Y24" i="117" s="1"/>
  <c r="T24" i="117"/>
  <c r="S24" i="117"/>
  <c r="R24" i="117"/>
  <c r="Q24" i="117"/>
  <c r="P24" i="117"/>
  <c r="L24" i="117"/>
  <c r="K24" i="117"/>
  <c r="O24" i="117" s="1"/>
  <c r="C23" i="117"/>
  <c r="Y22" i="117"/>
  <c r="W22" i="117"/>
  <c r="V22" i="117"/>
  <c r="U22" i="117"/>
  <c r="R22" i="117"/>
  <c r="Q22" i="117"/>
  <c r="S22" i="117" s="1"/>
  <c r="P22" i="117"/>
  <c r="T22" i="117" s="1"/>
  <c r="N22" i="117"/>
  <c r="L22" i="117"/>
  <c r="K22" i="117"/>
  <c r="O22" i="117" s="1"/>
  <c r="T20" i="117"/>
  <c r="S20" i="117"/>
  <c r="R20" i="117"/>
  <c r="Q20" i="117"/>
  <c r="P20" i="117"/>
  <c r="W19" i="117"/>
  <c r="V19" i="117"/>
  <c r="Y19" i="117" s="1"/>
  <c r="U19" i="117"/>
  <c r="R19" i="117"/>
  <c r="Q19" i="117"/>
  <c r="P19" i="117"/>
  <c r="T19" i="117" s="1"/>
  <c r="O19" i="117"/>
  <c r="N19" i="117"/>
  <c r="L19" i="117"/>
  <c r="K19" i="117"/>
  <c r="R18" i="117"/>
  <c r="Q18" i="117"/>
  <c r="P18" i="117"/>
  <c r="T18" i="117" s="1"/>
  <c r="W17" i="117"/>
  <c r="V17" i="117"/>
  <c r="U17" i="117"/>
  <c r="Y17" i="117" s="1"/>
  <c r="T17" i="117"/>
  <c r="S17" i="117"/>
  <c r="R17" i="117"/>
  <c r="Q17" i="117"/>
  <c r="P17" i="117"/>
  <c r="L17" i="117"/>
  <c r="K17" i="117"/>
  <c r="O17" i="117" s="1"/>
  <c r="A17" i="117"/>
  <c r="A18" i="117" s="1"/>
  <c r="A19" i="117" s="1"/>
  <c r="A20" i="117" s="1"/>
  <c r="A21" i="117" s="1"/>
  <c r="A22" i="117" s="1"/>
  <c r="Y16" i="117"/>
  <c r="W16" i="117"/>
  <c r="V16" i="117"/>
  <c r="U16" i="117"/>
  <c r="R16" i="117"/>
  <c r="Q16" i="117"/>
  <c r="P16" i="117"/>
  <c r="T16" i="117" s="1"/>
  <c r="O16" i="117"/>
  <c r="N16" i="117"/>
  <c r="L16" i="117"/>
  <c r="K16" i="117"/>
  <c r="C15" i="117"/>
  <c r="Y14" i="117"/>
  <c r="W14" i="117"/>
  <c r="T14" i="117"/>
  <c r="S14" i="117"/>
  <c r="R14" i="117"/>
  <c r="Q14" i="117"/>
  <c r="P14" i="117"/>
  <c r="L14" i="117"/>
  <c r="K14" i="117"/>
  <c r="T13" i="117"/>
  <c r="S13" i="117"/>
  <c r="R13" i="117"/>
  <c r="Q13" i="117"/>
  <c r="P13" i="117"/>
  <c r="T12" i="117"/>
  <c r="S12" i="117"/>
  <c r="R12" i="117"/>
  <c r="Q12" i="117"/>
  <c r="P12" i="117"/>
  <c r="R11" i="117"/>
  <c r="Q11" i="117"/>
  <c r="P11" i="117"/>
  <c r="T11" i="117" s="1"/>
  <c r="A11" i="117"/>
  <c r="A12" i="117" s="1"/>
  <c r="A13" i="117" s="1"/>
  <c r="A14" i="117" s="1"/>
  <c r="V10" i="117"/>
  <c r="Y10" i="117" s="1"/>
  <c r="U10" i="117"/>
  <c r="R10" i="117"/>
  <c r="Q10" i="117"/>
  <c r="T10" i="117" s="1"/>
  <c r="P10" i="117"/>
  <c r="L10" i="117"/>
  <c r="K10" i="117"/>
  <c r="O10" i="117" s="1"/>
  <c r="C7" i="117"/>
  <c r="D7" i="117" s="1"/>
  <c r="E7" i="117" s="1"/>
  <c r="F7" i="117" s="1"/>
  <c r="G7" i="117" s="1"/>
  <c r="H7" i="117" s="1"/>
  <c r="I7" i="117" s="1"/>
  <c r="J7" i="117" s="1"/>
  <c r="K7" i="117" s="1"/>
  <c r="L7" i="117" s="1"/>
  <c r="M7" i="117" s="1"/>
  <c r="N7" i="117" s="1"/>
  <c r="O7" i="117" s="1"/>
  <c r="P7" i="117" s="1"/>
  <c r="Q7" i="117" s="1"/>
  <c r="R7" i="117" s="1"/>
  <c r="S7" i="117" s="1"/>
  <c r="T7" i="117" s="1"/>
  <c r="U7" i="117" s="1"/>
  <c r="V7" i="117" s="1"/>
  <c r="W7" i="117" s="1"/>
  <c r="X7" i="117" s="1"/>
  <c r="Y7" i="117" s="1"/>
  <c r="Z7" i="117" s="1"/>
  <c r="B1" i="115"/>
  <c r="B1" i="124"/>
  <c r="U61" i="124"/>
  <c r="R59" i="124"/>
  <c r="R58" i="124"/>
  <c r="U57" i="124"/>
  <c r="U54" i="124"/>
  <c r="U51" i="124"/>
  <c r="R51" i="124"/>
  <c r="I284" i="45" s="1"/>
  <c r="U48" i="124"/>
  <c r="R48" i="124"/>
  <c r="I283" i="45" s="1"/>
  <c r="U45" i="124"/>
  <c r="R45" i="124"/>
  <c r="I282" i="45" s="1"/>
  <c r="R43" i="124"/>
  <c r="N42" i="124"/>
  <c r="R42" i="124" s="1"/>
  <c r="R41" i="124"/>
  <c r="U40" i="124"/>
  <c r="U37" i="124"/>
  <c r="R35" i="124"/>
  <c r="R34" i="124"/>
  <c r="R33" i="124"/>
  <c r="R32" i="124"/>
  <c r="U31" i="124"/>
  <c r="U28" i="124"/>
  <c r="U25" i="124"/>
  <c r="R25" i="124"/>
  <c r="I277" i="45" s="1"/>
  <c r="U22" i="124"/>
  <c r="R22" i="124"/>
  <c r="I276" i="45" s="1"/>
  <c r="U19" i="124"/>
  <c r="R19" i="124"/>
  <c r="I275" i="45" s="1"/>
  <c r="U16" i="124"/>
  <c r="R16" i="124"/>
  <c r="I274" i="45" s="1"/>
  <c r="R14" i="124"/>
  <c r="R13" i="124"/>
  <c r="R12" i="124"/>
  <c r="R11" i="124"/>
  <c r="R10" i="124"/>
  <c r="U9" i="124"/>
  <c r="U6" i="124"/>
  <c r="B5" i="124"/>
  <c r="B1" i="122"/>
  <c r="B1" i="121"/>
  <c r="U42" i="122"/>
  <c r="R42" i="122"/>
  <c r="I271" i="45" s="1"/>
  <c r="D42" i="122"/>
  <c r="C271" i="45" s="1"/>
  <c r="U39" i="122"/>
  <c r="R39" i="122"/>
  <c r="I270" i="45" s="1"/>
  <c r="D39" i="122"/>
  <c r="C270" i="45" s="1"/>
  <c r="U36" i="122"/>
  <c r="R36" i="122"/>
  <c r="I269" i="45" s="1"/>
  <c r="D36" i="122"/>
  <c r="C269" i="45" s="1"/>
  <c r="U33" i="122"/>
  <c r="R33" i="122"/>
  <c r="I268" i="45" s="1"/>
  <c r="D33" i="122"/>
  <c r="C268" i="45" s="1"/>
  <c r="U30" i="122"/>
  <c r="R30" i="122"/>
  <c r="I267" i="45" s="1"/>
  <c r="D30" i="122"/>
  <c r="C267" i="45" s="1"/>
  <c r="U27" i="122"/>
  <c r="R27" i="122"/>
  <c r="I266" i="45" s="1"/>
  <c r="D27" i="122"/>
  <c r="C266" i="45" s="1"/>
  <c r="U24" i="122"/>
  <c r="R24" i="122"/>
  <c r="I265" i="45" s="1"/>
  <c r="D24" i="122"/>
  <c r="C265" i="45" s="1"/>
  <c r="U21" i="122"/>
  <c r="R21" i="122"/>
  <c r="I264" i="45" s="1"/>
  <c r="D21" i="122"/>
  <c r="C264" i="45" s="1"/>
  <c r="U18" i="122"/>
  <c r="R18" i="122"/>
  <c r="I263" i="45" s="1"/>
  <c r="D18" i="122"/>
  <c r="C263" i="45" s="1"/>
  <c r="U15" i="122"/>
  <c r="R15" i="122"/>
  <c r="I262" i="45" s="1"/>
  <c r="D15" i="122"/>
  <c r="C262" i="45" s="1"/>
  <c r="U12" i="122"/>
  <c r="R12" i="122"/>
  <c r="I261" i="45" s="1"/>
  <c r="D12" i="122"/>
  <c r="C261" i="45" s="1"/>
  <c r="U9" i="122"/>
  <c r="R9" i="122"/>
  <c r="I260" i="45" s="1"/>
  <c r="D9" i="122"/>
  <c r="C260" i="45" s="1"/>
  <c r="U6" i="122"/>
  <c r="R6" i="122"/>
  <c r="I259" i="45" s="1"/>
  <c r="D6" i="122"/>
  <c r="C259" i="45" s="1"/>
  <c r="B5" i="122"/>
  <c r="C42" i="121"/>
  <c r="C43" i="121" s="1"/>
  <c r="U33" i="121"/>
  <c r="R33" i="121"/>
  <c r="I258" i="45" s="1"/>
  <c r="U30" i="121"/>
  <c r="R30" i="121"/>
  <c r="I257" i="45" s="1"/>
  <c r="U27" i="121"/>
  <c r="R27" i="121"/>
  <c r="I256" i="45" s="1"/>
  <c r="U24" i="121"/>
  <c r="R24" i="121"/>
  <c r="I255" i="45" s="1"/>
  <c r="U21" i="121"/>
  <c r="R21" i="121"/>
  <c r="I254" i="45" s="1"/>
  <c r="U18" i="121"/>
  <c r="R18" i="121"/>
  <c r="I253" i="45" s="1"/>
  <c r="U15" i="121"/>
  <c r="R15" i="121"/>
  <c r="I252" i="45" s="1"/>
  <c r="U12" i="121"/>
  <c r="R12" i="121"/>
  <c r="I251" i="45" s="1"/>
  <c r="U9" i="121"/>
  <c r="R9" i="121"/>
  <c r="I250" i="45" s="1"/>
  <c r="U6" i="121"/>
  <c r="R6" i="121"/>
  <c r="I249" i="45" s="1"/>
  <c r="D6" i="121"/>
  <c r="C249" i="45" s="1"/>
  <c r="B5" i="121"/>
  <c r="B1" i="120"/>
  <c r="U36" i="120"/>
  <c r="R36" i="120"/>
  <c r="I248" i="45" s="1"/>
  <c r="D36" i="120"/>
  <c r="C248" i="45" s="1"/>
  <c r="U33" i="120"/>
  <c r="R33" i="120"/>
  <c r="I247" i="45" s="1"/>
  <c r="D33" i="120"/>
  <c r="C247" i="45" s="1"/>
  <c r="U30" i="120"/>
  <c r="R30" i="120"/>
  <c r="I246" i="45" s="1"/>
  <c r="D30" i="120"/>
  <c r="C246" i="45" s="1"/>
  <c r="U27" i="120"/>
  <c r="R27" i="120"/>
  <c r="I245" i="45" s="1"/>
  <c r="D27" i="120"/>
  <c r="C245" i="45" s="1"/>
  <c r="U24" i="120"/>
  <c r="R24" i="120"/>
  <c r="I244" i="45" s="1"/>
  <c r="D24" i="120"/>
  <c r="C244" i="45" s="1"/>
  <c r="U21" i="120"/>
  <c r="R21" i="120"/>
  <c r="I243" i="45" s="1"/>
  <c r="D21" i="120"/>
  <c r="C243" i="45" s="1"/>
  <c r="U18" i="120"/>
  <c r="R18" i="120"/>
  <c r="I242" i="45" s="1"/>
  <c r="D18" i="120"/>
  <c r="C242" i="45" s="1"/>
  <c r="U15" i="120"/>
  <c r="R15" i="120"/>
  <c r="I241" i="45" s="1"/>
  <c r="D15" i="120"/>
  <c r="C241" i="45" s="1"/>
  <c r="U12" i="120"/>
  <c r="R12" i="120"/>
  <c r="I240" i="45" s="1"/>
  <c r="D12" i="120"/>
  <c r="C240" i="45" s="1"/>
  <c r="U9" i="120"/>
  <c r="R9" i="120"/>
  <c r="I239" i="45" s="1"/>
  <c r="D9" i="120"/>
  <c r="C239" i="45" s="1"/>
  <c r="U6" i="120"/>
  <c r="R6" i="120"/>
  <c r="I238" i="45" s="1"/>
  <c r="D6" i="120"/>
  <c r="C238" i="45" s="1"/>
  <c r="B5" i="120"/>
  <c r="U93" i="119"/>
  <c r="R93" i="119"/>
  <c r="I219" i="45" s="1"/>
  <c r="D93" i="119"/>
  <c r="C219" i="45" s="1"/>
  <c r="U90" i="119"/>
  <c r="R90" i="119"/>
  <c r="I218" i="45" s="1"/>
  <c r="D90" i="119"/>
  <c r="C218" i="45" s="1"/>
  <c r="U87" i="119"/>
  <c r="R87" i="119"/>
  <c r="I217" i="45" s="1"/>
  <c r="D87" i="119"/>
  <c r="C217" i="45" s="1"/>
  <c r="U84" i="119"/>
  <c r="R84" i="119"/>
  <c r="I216" i="45" s="1"/>
  <c r="D84" i="119"/>
  <c r="C216" i="45" s="1"/>
  <c r="U81" i="119"/>
  <c r="R81" i="119"/>
  <c r="I215" i="45" s="1"/>
  <c r="D81" i="119"/>
  <c r="C215" i="45" s="1"/>
  <c r="U78" i="119"/>
  <c r="R78" i="119"/>
  <c r="I214" i="45" s="1"/>
  <c r="D78" i="119"/>
  <c r="C214" i="45" s="1"/>
  <c r="U75" i="119"/>
  <c r="R75" i="119"/>
  <c r="I213" i="45" s="1"/>
  <c r="D75" i="119"/>
  <c r="C213" i="45" s="1"/>
  <c r="U72" i="119"/>
  <c r="R72" i="119"/>
  <c r="I212" i="45" s="1"/>
  <c r="D72" i="119"/>
  <c r="C212" i="45" s="1"/>
  <c r="U69" i="119"/>
  <c r="R69" i="119"/>
  <c r="I211" i="45" s="1"/>
  <c r="D69" i="119"/>
  <c r="C211" i="45" s="1"/>
  <c r="U66" i="119"/>
  <c r="R66" i="119"/>
  <c r="I210" i="45" s="1"/>
  <c r="D66" i="119"/>
  <c r="C210" i="45" s="1"/>
  <c r="U63" i="119"/>
  <c r="R63" i="119"/>
  <c r="I209" i="45" s="1"/>
  <c r="D63" i="119"/>
  <c r="C209" i="45" s="1"/>
  <c r="U60" i="119"/>
  <c r="R60" i="119"/>
  <c r="I208" i="45" s="1"/>
  <c r="D60" i="119"/>
  <c r="C208" i="45" s="1"/>
  <c r="U57" i="119"/>
  <c r="R57" i="119"/>
  <c r="I207" i="45" s="1"/>
  <c r="D57" i="119"/>
  <c r="C207" i="45" s="1"/>
  <c r="U54" i="119"/>
  <c r="R54" i="119"/>
  <c r="I206" i="45" s="1"/>
  <c r="D54" i="119"/>
  <c r="C206" i="45" s="1"/>
  <c r="U51" i="119"/>
  <c r="R51" i="119"/>
  <c r="I205" i="45" s="1"/>
  <c r="D51" i="119"/>
  <c r="C205" i="45" s="1"/>
  <c r="U48" i="119"/>
  <c r="R48" i="119"/>
  <c r="I204" i="45" s="1"/>
  <c r="D48" i="119"/>
  <c r="C204" i="45" s="1"/>
  <c r="U45" i="119"/>
  <c r="R45" i="119"/>
  <c r="I203" i="45" s="1"/>
  <c r="D45" i="119"/>
  <c r="C203" i="45" s="1"/>
  <c r="U42" i="119"/>
  <c r="R42" i="119"/>
  <c r="I202" i="45" s="1"/>
  <c r="D42" i="119"/>
  <c r="C202" i="45" s="1"/>
  <c r="U39" i="119"/>
  <c r="R39" i="119"/>
  <c r="I201" i="45" s="1"/>
  <c r="D39" i="119"/>
  <c r="C201" i="45" s="1"/>
  <c r="U36" i="119"/>
  <c r="R36" i="119"/>
  <c r="I200" i="45" s="1"/>
  <c r="D36" i="119"/>
  <c r="C200" i="45" s="1"/>
  <c r="U33" i="119"/>
  <c r="R33" i="119"/>
  <c r="I199" i="45" s="1"/>
  <c r="D33" i="119"/>
  <c r="C199" i="45" s="1"/>
  <c r="U30" i="119"/>
  <c r="R30" i="119"/>
  <c r="I198" i="45" s="1"/>
  <c r="D30" i="119"/>
  <c r="C198" i="45" s="1"/>
  <c r="U27" i="119"/>
  <c r="R27" i="119"/>
  <c r="I197" i="45" s="1"/>
  <c r="D27" i="119"/>
  <c r="C197" i="45" s="1"/>
  <c r="U24" i="119"/>
  <c r="R24" i="119"/>
  <c r="I196" i="45" s="1"/>
  <c r="D24" i="119"/>
  <c r="C196" i="45" s="1"/>
  <c r="U21" i="119"/>
  <c r="R21" i="119"/>
  <c r="I195" i="45" s="1"/>
  <c r="D21" i="119"/>
  <c r="C195" i="45" s="1"/>
  <c r="U18" i="119"/>
  <c r="R18" i="119"/>
  <c r="I194" i="45" s="1"/>
  <c r="D18" i="119"/>
  <c r="C194" i="45" s="1"/>
  <c r="U15" i="119"/>
  <c r="R15" i="119"/>
  <c r="I193" i="45" s="1"/>
  <c r="D15" i="119"/>
  <c r="C193" i="45" s="1"/>
  <c r="U12" i="119"/>
  <c r="R12" i="119"/>
  <c r="I192" i="45" s="1"/>
  <c r="D12" i="119"/>
  <c r="C192" i="45" s="1"/>
  <c r="U9" i="119"/>
  <c r="R9" i="119"/>
  <c r="I191" i="45" s="1"/>
  <c r="D9" i="119"/>
  <c r="C191" i="45" s="1"/>
  <c r="U6" i="119"/>
  <c r="R6" i="119"/>
  <c r="I190" i="45" s="1"/>
  <c r="D6" i="119"/>
  <c r="C190" i="45" s="1"/>
  <c r="B5" i="119"/>
  <c r="C5" i="119" s="1"/>
  <c r="B1" i="119"/>
  <c r="D93" i="113"/>
  <c r="C189" i="45" s="1"/>
  <c r="D90" i="113"/>
  <c r="C188" i="45" s="1"/>
  <c r="D87" i="113"/>
  <c r="C187" i="45" s="1"/>
  <c r="D84" i="113"/>
  <c r="C186" i="45" s="1"/>
  <c r="D81" i="113"/>
  <c r="C185" i="45" s="1"/>
  <c r="D78" i="113"/>
  <c r="C184" i="45" s="1"/>
  <c r="D75" i="113"/>
  <c r="C183" i="45" s="1"/>
  <c r="D72" i="113"/>
  <c r="C182" i="45" s="1"/>
  <c r="D69" i="113"/>
  <c r="C181" i="45" s="1"/>
  <c r="D66" i="113"/>
  <c r="C180" i="45" s="1"/>
  <c r="D63" i="113"/>
  <c r="C179" i="45" s="1"/>
  <c r="D60" i="113"/>
  <c r="C178" i="45" s="1"/>
  <c r="D57" i="113"/>
  <c r="C177" i="45" s="1"/>
  <c r="D54" i="113"/>
  <c r="C176" i="45" s="1"/>
  <c r="D51" i="113"/>
  <c r="C175" i="45" s="1"/>
  <c r="D48" i="113"/>
  <c r="C174" i="45" s="1"/>
  <c r="D45" i="113"/>
  <c r="C173" i="45" s="1"/>
  <c r="D42" i="113"/>
  <c r="C172" i="45" s="1"/>
  <c r="D39" i="113"/>
  <c r="C171" i="45" s="1"/>
  <c r="D36" i="113"/>
  <c r="C170" i="45" s="1"/>
  <c r="D33" i="113"/>
  <c r="C169" i="45" s="1"/>
  <c r="D30" i="113"/>
  <c r="C168" i="45" s="1"/>
  <c r="D27" i="113"/>
  <c r="C167" i="45" s="1"/>
  <c r="D24" i="113"/>
  <c r="C166" i="45" s="1"/>
  <c r="D21" i="113"/>
  <c r="C165" i="45" s="1"/>
  <c r="D18" i="113"/>
  <c r="C164" i="45" s="1"/>
  <c r="D15" i="113"/>
  <c r="C163" i="45" s="1"/>
  <c r="U93" i="113"/>
  <c r="R93" i="113"/>
  <c r="I189" i="45" s="1"/>
  <c r="U90" i="113"/>
  <c r="R90" i="113"/>
  <c r="I188" i="45" s="1"/>
  <c r="U87" i="113"/>
  <c r="R87" i="113"/>
  <c r="I187" i="45" s="1"/>
  <c r="U84" i="113"/>
  <c r="R84" i="113"/>
  <c r="I186" i="45" s="1"/>
  <c r="U81" i="113"/>
  <c r="R81" i="113"/>
  <c r="I185" i="45" s="1"/>
  <c r="U78" i="113"/>
  <c r="R78" i="113"/>
  <c r="I184" i="45" s="1"/>
  <c r="U75" i="113"/>
  <c r="R75" i="113"/>
  <c r="I183" i="45" s="1"/>
  <c r="U72" i="113"/>
  <c r="R72" i="113"/>
  <c r="I182" i="45" s="1"/>
  <c r="U69" i="113"/>
  <c r="R69" i="113"/>
  <c r="I181" i="45" s="1"/>
  <c r="U66" i="113"/>
  <c r="R66" i="113"/>
  <c r="I180" i="45" s="1"/>
  <c r="U63" i="113"/>
  <c r="R63" i="113"/>
  <c r="I179" i="45" s="1"/>
  <c r="U60" i="113"/>
  <c r="R60" i="113"/>
  <c r="I178" i="45" s="1"/>
  <c r="U57" i="113"/>
  <c r="R57" i="113"/>
  <c r="I177" i="45" s="1"/>
  <c r="U54" i="113"/>
  <c r="R54" i="113"/>
  <c r="I176" i="45" s="1"/>
  <c r="U51" i="113"/>
  <c r="R51" i="113"/>
  <c r="I175" i="45" s="1"/>
  <c r="U48" i="113"/>
  <c r="R48" i="113"/>
  <c r="I174" i="45" s="1"/>
  <c r="U45" i="113"/>
  <c r="R45" i="113"/>
  <c r="I173" i="45" s="1"/>
  <c r="U42" i="113"/>
  <c r="R42" i="113"/>
  <c r="I172" i="45" s="1"/>
  <c r="U39" i="113"/>
  <c r="R39" i="113"/>
  <c r="I171" i="45" s="1"/>
  <c r="U36" i="113"/>
  <c r="R36" i="113"/>
  <c r="I170" i="45" s="1"/>
  <c r="U33" i="113"/>
  <c r="R33" i="113"/>
  <c r="I169" i="45" s="1"/>
  <c r="U30" i="113"/>
  <c r="R30" i="113"/>
  <c r="I168" i="45" s="1"/>
  <c r="U27" i="113"/>
  <c r="R27" i="113"/>
  <c r="I167" i="45" s="1"/>
  <c r="U24" i="113"/>
  <c r="R24" i="113"/>
  <c r="I166" i="45" s="1"/>
  <c r="U21" i="113"/>
  <c r="R21" i="113"/>
  <c r="I165" i="45" s="1"/>
  <c r="U18" i="113"/>
  <c r="R18" i="113"/>
  <c r="I164" i="45" s="1"/>
  <c r="U15" i="113"/>
  <c r="R15" i="113"/>
  <c r="I163" i="45" s="1"/>
  <c r="B1" i="101"/>
  <c r="F11" i="46"/>
  <c r="F12" i="46"/>
  <c r="F10" i="46"/>
  <c r="F49" i="46"/>
  <c r="E49" i="46" s="1"/>
  <c r="H49" i="46"/>
  <c r="H34" i="46"/>
  <c r="H33" i="46"/>
  <c r="H32" i="46"/>
  <c r="H30" i="46"/>
  <c r="H29" i="46"/>
  <c r="H11" i="46"/>
  <c r="H12" i="46"/>
  <c r="H13" i="46"/>
  <c r="H15" i="46"/>
  <c r="H16" i="46"/>
  <c r="H18" i="46"/>
  <c r="H19" i="46"/>
  <c r="H20" i="46"/>
  <c r="H21" i="46"/>
  <c r="H22" i="46"/>
  <c r="H23" i="46"/>
  <c r="H24" i="46"/>
  <c r="H25" i="46"/>
  <c r="H26" i="46"/>
  <c r="H10" i="46"/>
  <c r="F33" i="46"/>
  <c r="E33" i="46" s="1"/>
  <c r="F34" i="46"/>
  <c r="E34" i="46" s="1"/>
  <c r="F32" i="46"/>
  <c r="E32" i="46" s="1"/>
  <c r="F30" i="46"/>
  <c r="E30" i="46" s="1"/>
  <c r="F29" i="46"/>
  <c r="E29" i="46" s="1"/>
  <c r="F16" i="46"/>
  <c r="E16" i="46" s="1"/>
  <c r="E311" i="45" l="1"/>
  <c r="E15" i="126"/>
  <c r="D311" i="45" s="1"/>
  <c r="D21" i="126"/>
  <c r="C313" i="45" s="1"/>
  <c r="D26" i="127"/>
  <c r="D27" i="127" s="1"/>
  <c r="D28" i="127" s="1"/>
  <c r="D30" i="127" s="1"/>
  <c r="D31" i="127" s="1"/>
  <c r="D32" i="127" s="1"/>
  <c r="D34" i="127" s="1"/>
  <c r="D37" i="127" s="1"/>
  <c r="D40" i="127" s="1"/>
  <c r="D41" i="127" s="1"/>
  <c r="D43" i="127" s="1"/>
  <c r="D46" i="127" s="1"/>
  <c r="D47" i="127" s="1"/>
  <c r="D49" i="127" s="1"/>
  <c r="D50" i="127" s="1"/>
  <c r="D51" i="127" s="1"/>
  <c r="D58" i="127" s="1"/>
  <c r="D59" i="127" s="1"/>
  <c r="D61" i="127" s="1"/>
  <c r="D62" i="127" s="1"/>
  <c r="D63" i="127" s="1"/>
  <c r="D67" i="127" s="1"/>
  <c r="D68" i="127" s="1"/>
  <c r="D70" i="127" s="1"/>
  <c r="D71" i="127" s="1"/>
  <c r="D72" i="127" s="1"/>
  <c r="D74" i="127" s="1"/>
  <c r="D76" i="127" s="1"/>
  <c r="D78" i="127" s="1"/>
  <c r="D79" i="127" s="1"/>
  <c r="D81" i="127" s="1"/>
  <c r="D83" i="127" s="1"/>
  <c r="D85" i="127" s="1"/>
  <c r="D86" i="127" s="1"/>
  <c r="D88" i="127" s="1"/>
  <c r="D92" i="127" s="1"/>
  <c r="D93" i="127" s="1"/>
  <c r="D94" i="127" s="1"/>
  <c r="D95" i="127" s="1"/>
  <c r="D96" i="127" s="1"/>
  <c r="D97" i="127" s="1"/>
  <c r="D98" i="127" s="1"/>
  <c r="D99" i="127" s="1"/>
  <c r="D101" i="127" s="1"/>
  <c r="D102" i="127" s="1"/>
  <c r="D103" i="127" s="1"/>
  <c r="D104" i="127" s="1"/>
  <c r="D105" i="127" s="1"/>
  <c r="D107" i="127" s="1"/>
  <c r="D108" i="127" s="1"/>
  <c r="D109" i="127" s="1"/>
  <c r="D113" i="127" s="1"/>
  <c r="D114" i="127" s="1"/>
  <c r="D115" i="127" s="1"/>
  <c r="D116" i="127" s="1"/>
  <c r="D117" i="127" s="1"/>
  <c r="D118" i="127" s="1"/>
  <c r="D119" i="127" s="1"/>
  <c r="D120" i="127" s="1"/>
  <c r="D121" i="127" s="1"/>
  <c r="D122" i="127" s="1"/>
  <c r="D123" i="127" s="1"/>
  <c r="R57" i="124"/>
  <c r="I286" i="45" s="1"/>
  <c r="D9" i="121"/>
  <c r="C250" i="45" s="1"/>
  <c r="H5" i="126"/>
  <c r="J86" i="101"/>
  <c r="J29" i="101" s="1"/>
  <c r="H29" i="101"/>
  <c r="N84" i="101"/>
  <c r="N27" i="101" s="1"/>
  <c r="H27" i="101"/>
  <c r="M87" i="101"/>
  <c r="M30" i="101" s="1"/>
  <c r="H30" i="101"/>
  <c r="N85" i="101"/>
  <c r="N28" i="101" s="1"/>
  <c r="J85" i="101"/>
  <c r="J28" i="101" s="1"/>
  <c r="J14" i="101"/>
  <c r="N15" i="101"/>
  <c r="N14" i="101"/>
  <c r="N13" i="101"/>
  <c r="N12" i="101"/>
  <c r="M10" i="101"/>
  <c r="L10" i="101"/>
  <c r="K10" i="101"/>
  <c r="M14" i="101"/>
  <c r="K14" i="101"/>
  <c r="L14" i="101"/>
  <c r="M12" i="101"/>
  <c r="K12" i="101"/>
  <c r="L12" i="101"/>
  <c r="M11" i="101"/>
  <c r="L11" i="101"/>
  <c r="K11" i="101"/>
  <c r="M86" i="101"/>
  <c r="M29" i="101" s="1"/>
  <c r="J84" i="101"/>
  <c r="J27" i="101" s="1"/>
  <c r="M84" i="101"/>
  <c r="M27" i="101" s="1"/>
  <c r="N87" i="101"/>
  <c r="N30" i="101" s="1"/>
  <c r="M85" i="101"/>
  <c r="M28" i="101" s="1"/>
  <c r="N86" i="101"/>
  <c r="N29" i="101" s="1"/>
  <c r="J87" i="101"/>
  <c r="J30" i="101" s="1"/>
  <c r="K65" i="101"/>
  <c r="K63" i="101"/>
  <c r="K64" i="101"/>
  <c r="M62" i="101"/>
  <c r="M65" i="101"/>
  <c r="M64" i="101"/>
  <c r="J62" i="101"/>
  <c r="M63" i="101"/>
  <c r="M53" i="101"/>
  <c r="M52" i="101"/>
  <c r="J52" i="101"/>
  <c r="J51" i="101"/>
  <c r="N51" i="101"/>
  <c r="N54" i="101"/>
  <c r="J53" i="101"/>
  <c r="J54" i="101"/>
  <c r="J44" i="101"/>
  <c r="M44" i="101"/>
  <c r="U44" i="101"/>
  <c r="U43" i="101" s="1"/>
  <c r="K46" i="101"/>
  <c r="M46" i="101"/>
  <c r="U46" i="101"/>
  <c r="J48" i="101"/>
  <c r="K48" i="101"/>
  <c r="J47" i="101"/>
  <c r="M48" i="101"/>
  <c r="K47" i="101"/>
  <c r="S10" i="117"/>
  <c r="N36" i="117"/>
  <c r="N40" i="117"/>
  <c r="N50" i="117"/>
  <c r="S11" i="117"/>
  <c r="S16" i="117"/>
  <c r="S18" i="117"/>
  <c r="N24" i="117"/>
  <c r="S25" i="117"/>
  <c r="S27" i="117"/>
  <c r="S29" i="117"/>
  <c r="S32" i="117"/>
  <c r="S38" i="117"/>
  <c r="S42" i="117"/>
  <c r="S44" i="117"/>
  <c r="S48" i="117"/>
  <c r="S54" i="117"/>
  <c r="N17" i="117"/>
  <c r="N28" i="117"/>
  <c r="N39" i="117"/>
  <c r="N43" i="117"/>
  <c r="N49" i="117"/>
  <c r="N53" i="117"/>
  <c r="N10" i="117"/>
  <c r="S19" i="117"/>
  <c r="S26" i="117"/>
  <c r="S31" i="117"/>
  <c r="S37" i="117"/>
  <c r="S41" i="117"/>
  <c r="S47" i="117"/>
  <c r="S51" i="117"/>
  <c r="D12" i="121"/>
  <c r="C251" i="45" s="1"/>
  <c r="R31" i="124"/>
  <c r="I279" i="45" s="1"/>
  <c r="R40" i="124"/>
  <c r="I281" i="45" s="1"/>
  <c r="R40" i="120"/>
  <c r="R37" i="121"/>
  <c r="R97" i="119"/>
  <c r="R46" i="122"/>
  <c r="R9" i="124"/>
  <c r="I273" i="45" s="1"/>
  <c r="C5" i="124"/>
  <c r="D5" i="124" s="1"/>
  <c r="C5" i="122"/>
  <c r="C5" i="121"/>
  <c r="C44" i="121"/>
  <c r="D15" i="121" s="1"/>
  <c r="C252" i="45" s="1"/>
  <c r="C5" i="120"/>
  <c r="D5" i="119"/>
  <c r="C32" i="46"/>
  <c r="C33" i="46"/>
  <c r="C34" i="46"/>
  <c r="C30" i="46"/>
  <c r="C29" i="46"/>
  <c r="C49" i="46"/>
  <c r="R11" i="101" a="1"/>
  <c r="R10" i="101" a="1"/>
  <c r="R54" i="124" l="1"/>
  <c r="I285" i="45" s="1"/>
  <c r="E21" i="126" a="1"/>
  <c r="B16" i="127"/>
  <c r="B17" i="127"/>
  <c r="N63" i="124"/>
  <c r="R63" i="124" s="1"/>
  <c r="R37" i="124"/>
  <c r="I280" i="45" s="1"/>
  <c r="I5" i="126"/>
  <c r="J5" i="126" s="1"/>
  <c r="R27" i="101"/>
  <c r="R6" i="124"/>
  <c r="I272" i="45" s="1"/>
  <c r="J94" i="101"/>
  <c r="R94" i="101" s="1"/>
  <c r="J17" i="101"/>
  <c r="R17" i="101" s="1"/>
  <c r="R30" i="101"/>
  <c r="R28" i="101"/>
  <c r="R29" i="101"/>
  <c r="R12" i="101"/>
  <c r="R14" i="101"/>
  <c r="R86" i="101"/>
  <c r="R11" i="101"/>
  <c r="R10" i="101"/>
  <c r="J55" i="101"/>
  <c r="R55" i="101" s="1"/>
  <c r="J90" i="101"/>
  <c r="R90" i="101" s="1"/>
  <c r="R87" i="101"/>
  <c r="R84" i="101"/>
  <c r="R85" i="101"/>
  <c r="R62" i="101"/>
  <c r="R65" i="101"/>
  <c r="R53" i="101"/>
  <c r="R64" i="101"/>
  <c r="R63" i="101"/>
  <c r="R52" i="101"/>
  <c r="R54" i="101"/>
  <c r="R51" i="101"/>
  <c r="R46" i="101"/>
  <c r="R47" i="101"/>
  <c r="R44" i="101"/>
  <c r="R48" i="101"/>
  <c r="U47" i="101"/>
  <c r="U48" i="101"/>
  <c r="R28" i="124"/>
  <c r="I278" i="45" s="1"/>
  <c r="N62" i="124"/>
  <c r="R62" i="124" s="1"/>
  <c r="R61" i="124" s="1"/>
  <c r="I287" i="45" s="1"/>
  <c r="E5" i="124"/>
  <c r="D5" i="122"/>
  <c r="E5" i="122" s="1"/>
  <c r="C45" i="121"/>
  <c r="D18" i="121" s="1"/>
  <c r="C253" i="45" s="1"/>
  <c r="D5" i="121"/>
  <c r="D5" i="120"/>
  <c r="E5" i="119"/>
  <c r="E313" i="45" l="1"/>
  <c r="E21" i="126"/>
  <c r="D313" i="45" s="1"/>
  <c r="B18" i="127"/>
  <c r="K5" i="126"/>
  <c r="U45" i="101"/>
  <c r="F5" i="124"/>
  <c r="F5" i="122"/>
  <c r="E5" i="121"/>
  <c r="C46" i="121"/>
  <c r="D21" i="121" s="1"/>
  <c r="C254" i="45" s="1"/>
  <c r="E5" i="120"/>
  <c r="F5" i="119"/>
  <c r="G5" i="119" s="1"/>
  <c r="B20" i="127" l="1"/>
  <c r="L5" i="126"/>
  <c r="M5" i="126" s="1"/>
  <c r="O5" i="126" s="1"/>
  <c r="N5" i="126"/>
  <c r="J95" i="101"/>
  <c r="R95" i="101" s="1"/>
  <c r="J18" i="101"/>
  <c r="R18" i="101" s="1"/>
  <c r="J56" i="101"/>
  <c r="R56" i="101" s="1"/>
  <c r="J91" i="101"/>
  <c r="R91" i="101" s="1"/>
  <c r="L4" i="45"/>
  <c r="G5" i="124"/>
  <c r="G5" i="122"/>
  <c r="F5" i="121"/>
  <c r="G5" i="121" s="1"/>
  <c r="C47" i="121"/>
  <c r="C48" i="121" s="1"/>
  <c r="C49" i="121" s="1"/>
  <c r="C50" i="121" s="1"/>
  <c r="F5" i="120"/>
  <c r="H5" i="119"/>
  <c r="H9" i="42"/>
  <c r="H42" i="42"/>
  <c r="H20" i="42"/>
  <c r="C72" i="115"/>
  <c r="C42" i="104"/>
  <c r="C43" i="104" s="1"/>
  <c r="C44" i="104" s="1"/>
  <c r="C45" i="104" s="1"/>
  <c r="C46" i="104" s="1"/>
  <c r="C47" i="104" s="1"/>
  <c r="C48" i="104" s="1"/>
  <c r="C49" i="104" s="1"/>
  <c r="C50" i="104" s="1"/>
  <c r="U12" i="115"/>
  <c r="R12" i="115"/>
  <c r="I290" i="45" s="1"/>
  <c r="U9" i="115"/>
  <c r="R9" i="115"/>
  <c r="I289" i="45" s="1"/>
  <c r="U6" i="115"/>
  <c r="R6" i="115"/>
  <c r="I288" i="45" s="1"/>
  <c r="B5" i="115"/>
  <c r="P5" i="126" l="1"/>
  <c r="Q5" i="126" s="1"/>
  <c r="R5" i="126" s="1"/>
  <c r="S5" i="126" s="1"/>
  <c r="U5" i="126" s="1"/>
  <c r="V5" i="126" s="1"/>
  <c r="B21" i="127"/>
  <c r="B22" i="127"/>
  <c r="H5" i="124"/>
  <c r="I5" i="124" s="1"/>
  <c r="H5" i="122"/>
  <c r="H5" i="121"/>
  <c r="I5" i="121" s="1"/>
  <c r="J5" i="121" s="1"/>
  <c r="D30" i="121"/>
  <c r="C257" i="45" s="1"/>
  <c r="D33" i="121"/>
  <c r="C258" i="45" s="1"/>
  <c r="D27" i="121"/>
  <c r="C256" i="45" s="1"/>
  <c r="D24" i="121"/>
  <c r="C255" i="45" s="1"/>
  <c r="G5" i="120"/>
  <c r="I5" i="119"/>
  <c r="C73" i="115"/>
  <c r="R67" i="115"/>
  <c r="C5" i="115"/>
  <c r="D5" i="115" s="1"/>
  <c r="J5" i="124" l="1"/>
  <c r="K5" i="124" s="1"/>
  <c r="N5" i="124" s="1"/>
  <c r="I5" i="122"/>
  <c r="J5" i="122" s="1"/>
  <c r="K5" i="121"/>
  <c r="H5" i="120"/>
  <c r="J5" i="119"/>
  <c r="K5" i="119" s="1"/>
  <c r="N5" i="119" s="1"/>
  <c r="C74" i="115"/>
  <c r="E5" i="115"/>
  <c r="F5" i="115" s="1"/>
  <c r="B23" i="127" l="1"/>
  <c r="D15" i="115"/>
  <c r="C291" i="45" s="1"/>
  <c r="L5" i="124"/>
  <c r="M5" i="124" s="1"/>
  <c r="O5" i="124" s="1"/>
  <c r="P5" i="124" s="1"/>
  <c r="Q5" i="124" s="1"/>
  <c r="R5" i="124" s="1"/>
  <c r="S5" i="124" s="1"/>
  <c r="U5" i="124" s="1"/>
  <c r="V5" i="124" s="1"/>
  <c r="K5" i="122"/>
  <c r="N5" i="122" s="1"/>
  <c r="N5" i="121"/>
  <c r="L5" i="121"/>
  <c r="M5" i="121" s="1"/>
  <c r="O5" i="121" s="1"/>
  <c r="P5" i="121" s="1"/>
  <c r="Q5" i="121" s="1"/>
  <c r="R5" i="121" s="1"/>
  <c r="S5" i="121" s="1"/>
  <c r="U5" i="121" s="1"/>
  <c r="V5" i="121" s="1"/>
  <c r="I5" i="120"/>
  <c r="J5" i="120" s="1"/>
  <c r="K5" i="120" s="1"/>
  <c r="L5" i="120" s="1"/>
  <c r="M5" i="120" s="1"/>
  <c r="O5" i="120" s="1"/>
  <c r="L5" i="119"/>
  <c r="M5" i="119" s="1"/>
  <c r="O5" i="119" s="1"/>
  <c r="P5" i="119" s="1"/>
  <c r="Q5" i="119" s="1"/>
  <c r="R5" i="119" s="1"/>
  <c r="S5" i="119" s="1"/>
  <c r="U5" i="119" s="1"/>
  <c r="V5" i="119" s="1"/>
  <c r="C75" i="115"/>
  <c r="G5" i="115"/>
  <c r="B26" i="127" l="1"/>
  <c r="B25" i="127"/>
  <c r="D18" i="115"/>
  <c r="C292" i="45" s="1"/>
  <c r="L5" i="122"/>
  <c r="M5" i="122" s="1"/>
  <c r="O5" i="122" s="1"/>
  <c r="P5" i="122" s="1"/>
  <c r="Q5" i="122" s="1"/>
  <c r="R5" i="122" s="1"/>
  <c r="S5" i="122" s="1"/>
  <c r="U5" i="122" s="1"/>
  <c r="V5" i="122" s="1"/>
  <c r="N5" i="120"/>
  <c r="P5" i="120" s="1"/>
  <c r="Q5" i="120" s="1"/>
  <c r="R5" i="120" s="1"/>
  <c r="S5" i="120" s="1"/>
  <c r="U5" i="120" s="1"/>
  <c r="V5" i="120" s="1"/>
  <c r="C76" i="115"/>
  <c r="H5" i="115"/>
  <c r="I5" i="115" s="1"/>
  <c r="B1" i="113"/>
  <c r="B1" i="112"/>
  <c r="B1" i="111"/>
  <c r="B1" i="110"/>
  <c r="B1" i="109"/>
  <c r="B1" i="108"/>
  <c r="B1" i="107"/>
  <c r="B1" i="106"/>
  <c r="B1" i="105"/>
  <c r="B1" i="104"/>
  <c r="B1" i="103"/>
  <c r="B1" i="102"/>
  <c r="B1" i="100"/>
  <c r="R59" i="107"/>
  <c r="R58" i="107"/>
  <c r="B28" i="127" l="1"/>
  <c r="D21" i="115"/>
  <c r="C293" i="45" s="1"/>
  <c r="C77" i="115"/>
  <c r="D6" i="115"/>
  <c r="C288" i="45" s="1"/>
  <c r="J5" i="115"/>
  <c r="K5" i="115" s="1"/>
  <c r="L5" i="115" s="1"/>
  <c r="M5" i="115" s="1"/>
  <c r="O5" i="115" s="1"/>
  <c r="N42" i="107"/>
  <c r="R42" i="107" s="1"/>
  <c r="R43" i="107"/>
  <c r="R41" i="107"/>
  <c r="R35" i="107"/>
  <c r="R34" i="107"/>
  <c r="R33" i="107"/>
  <c r="R32" i="107"/>
  <c r="R13" i="107"/>
  <c r="R14" i="107"/>
  <c r="R11" i="107"/>
  <c r="R10" i="107"/>
  <c r="A5" i="114"/>
  <c r="A6" i="114" s="1"/>
  <c r="A7" i="114" s="1"/>
  <c r="A8" i="114" s="1"/>
  <c r="A9" i="114" s="1"/>
  <c r="A10" i="114" s="1"/>
  <c r="A11" i="114" s="1"/>
  <c r="A12" i="114" s="1"/>
  <c r="B29" i="127" l="1"/>
  <c r="D24" i="115"/>
  <c r="C294" i="45" s="1"/>
  <c r="C78" i="115"/>
  <c r="D27" i="115" s="1"/>
  <c r="C295" i="45" s="1"/>
  <c r="D9" i="115"/>
  <c r="C289" i="45" s="1"/>
  <c r="N5" i="115"/>
  <c r="P5" i="115" s="1"/>
  <c r="Q5" i="115" s="1"/>
  <c r="R5" i="115" s="1"/>
  <c r="S5" i="115" s="1"/>
  <c r="U5" i="115" s="1"/>
  <c r="V5" i="115" s="1"/>
  <c r="U12" i="113"/>
  <c r="R12" i="113"/>
  <c r="I162" i="45" s="1"/>
  <c r="D12" i="113"/>
  <c r="C162" i="45" s="1"/>
  <c r="U9" i="113"/>
  <c r="R9" i="113"/>
  <c r="I161" i="45" s="1"/>
  <c r="D9" i="113"/>
  <c r="C161" i="45" s="1"/>
  <c r="U6" i="113"/>
  <c r="R6" i="113"/>
  <c r="I160" i="45" s="1"/>
  <c r="D6" i="113"/>
  <c r="C160" i="45" s="1"/>
  <c r="B5" i="113"/>
  <c r="U27" i="112"/>
  <c r="R27" i="112"/>
  <c r="I159" i="45" s="1"/>
  <c r="D27" i="112"/>
  <c r="C159" i="45" s="1"/>
  <c r="U24" i="112"/>
  <c r="R24" i="112"/>
  <c r="I158" i="45" s="1"/>
  <c r="D24" i="112"/>
  <c r="C158" i="45" s="1"/>
  <c r="U21" i="112"/>
  <c r="R21" i="112"/>
  <c r="I157" i="45" s="1"/>
  <c r="D21" i="112"/>
  <c r="C157" i="45" s="1"/>
  <c r="U18" i="112"/>
  <c r="R18" i="112"/>
  <c r="I156" i="45" s="1"/>
  <c r="D18" i="112"/>
  <c r="C156" i="45" s="1"/>
  <c r="U15" i="112"/>
  <c r="R15" i="112"/>
  <c r="I155" i="45" s="1"/>
  <c r="D15" i="112"/>
  <c r="C155" i="45" s="1"/>
  <c r="U12" i="112"/>
  <c r="R12" i="112"/>
  <c r="I154" i="45" s="1"/>
  <c r="D12" i="112"/>
  <c r="C154" i="45" s="1"/>
  <c r="U9" i="112"/>
  <c r="R9" i="112"/>
  <c r="I153" i="45" s="1"/>
  <c r="D9" i="112"/>
  <c r="C153" i="45" s="1"/>
  <c r="U6" i="112"/>
  <c r="R6" i="112"/>
  <c r="I152" i="45" s="1"/>
  <c r="D6" i="112"/>
  <c r="C152" i="45" s="1"/>
  <c r="B5" i="112"/>
  <c r="U24" i="111"/>
  <c r="R24" i="111"/>
  <c r="I151" i="45" s="1"/>
  <c r="U21" i="111"/>
  <c r="R21" i="111"/>
  <c r="I150" i="45" s="1"/>
  <c r="U18" i="111"/>
  <c r="R18" i="111"/>
  <c r="I149" i="45" s="1"/>
  <c r="U15" i="111"/>
  <c r="R15" i="111"/>
  <c r="I148" i="45" s="1"/>
  <c r="U12" i="111"/>
  <c r="R12" i="111"/>
  <c r="I147" i="45" s="1"/>
  <c r="U9" i="111"/>
  <c r="R9" i="111"/>
  <c r="I146" i="45" s="1"/>
  <c r="U6" i="111"/>
  <c r="R6" i="111"/>
  <c r="I145" i="45" s="1"/>
  <c r="B5" i="111"/>
  <c r="U51" i="110"/>
  <c r="R51" i="110"/>
  <c r="I144" i="45" s="1"/>
  <c r="D51" i="110"/>
  <c r="C144" i="45" s="1"/>
  <c r="U48" i="110"/>
  <c r="R48" i="110"/>
  <c r="I143" i="45" s="1"/>
  <c r="D48" i="110"/>
  <c r="C143" i="45" s="1"/>
  <c r="U45" i="110"/>
  <c r="R45" i="110"/>
  <c r="I142" i="45" s="1"/>
  <c r="D45" i="110"/>
  <c r="C142" i="45" s="1"/>
  <c r="U42" i="110"/>
  <c r="R42" i="110"/>
  <c r="I141" i="45" s="1"/>
  <c r="D42" i="110"/>
  <c r="C141" i="45" s="1"/>
  <c r="U39" i="110"/>
  <c r="R39" i="110"/>
  <c r="I140" i="45" s="1"/>
  <c r="D39" i="110"/>
  <c r="C140" i="45" s="1"/>
  <c r="U36" i="110"/>
  <c r="R36" i="110"/>
  <c r="I139" i="45" s="1"/>
  <c r="D36" i="110"/>
  <c r="C139" i="45" s="1"/>
  <c r="U33" i="110"/>
  <c r="R33" i="110"/>
  <c r="I138" i="45" s="1"/>
  <c r="D33" i="110"/>
  <c r="C138" i="45" s="1"/>
  <c r="U30" i="110"/>
  <c r="R30" i="110"/>
  <c r="I137" i="45" s="1"/>
  <c r="D30" i="110"/>
  <c r="C137" i="45" s="1"/>
  <c r="U27" i="110"/>
  <c r="R27" i="110"/>
  <c r="I136" i="45" s="1"/>
  <c r="D27" i="110"/>
  <c r="C136" i="45" s="1"/>
  <c r="U24" i="110"/>
  <c r="R24" i="110"/>
  <c r="I135" i="45" s="1"/>
  <c r="D24" i="110"/>
  <c r="C135" i="45" s="1"/>
  <c r="U21" i="110"/>
  <c r="R21" i="110"/>
  <c r="I134" i="45" s="1"/>
  <c r="D21" i="110"/>
  <c r="C134" i="45" s="1"/>
  <c r="U18" i="110"/>
  <c r="R18" i="110"/>
  <c r="I133" i="45" s="1"/>
  <c r="D18" i="110"/>
  <c r="C133" i="45" s="1"/>
  <c r="U15" i="110"/>
  <c r="R15" i="110"/>
  <c r="I132" i="45" s="1"/>
  <c r="D15" i="110"/>
  <c r="C132" i="45" s="1"/>
  <c r="U12" i="110"/>
  <c r="R12" i="110"/>
  <c r="I131" i="45" s="1"/>
  <c r="D12" i="110"/>
  <c r="C131" i="45" s="1"/>
  <c r="U9" i="110"/>
  <c r="R9" i="110"/>
  <c r="I130" i="45" s="1"/>
  <c r="D9" i="110"/>
  <c r="C130" i="45" s="1"/>
  <c r="U6" i="110"/>
  <c r="R6" i="110"/>
  <c r="I129" i="45" s="1"/>
  <c r="D6" i="110"/>
  <c r="C129" i="45" s="1"/>
  <c r="B5" i="110"/>
  <c r="U51" i="109"/>
  <c r="R51" i="109"/>
  <c r="I128" i="45" s="1"/>
  <c r="D51" i="109"/>
  <c r="C128" i="45" s="1"/>
  <c r="U48" i="109"/>
  <c r="R48" i="109"/>
  <c r="I127" i="45" s="1"/>
  <c r="D48" i="109"/>
  <c r="C127" i="45" s="1"/>
  <c r="U45" i="109"/>
  <c r="R45" i="109"/>
  <c r="I126" i="45" s="1"/>
  <c r="D45" i="109"/>
  <c r="C126" i="45" s="1"/>
  <c r="U42" i="109"/>
  <c r="R42" i="109"/>
  <c r="I125" i="45" s="1"/>
  <c r="D42" i="109"/>
  <c r="C125" i="45" s="1"/>
  <c r="U39" i="109"/>
  <c r="R39" i="109"/>
  <c r="I124" i="45" s="1"/>
  <c r="D39" i="109"/>
  <c r="C124" i="45" s="1"/>
  <c r="U36" i="109"/>
  <c r="R36" i="109"/>
  <c r="I123" i="45" s="1"/>
  <c r="D36" i="109"/>
  <c r="C123" i="45" s="1"/>
  <c r="U33" i="109"/>
  <c r="R33" i="109"/>
  <c r="I122" i="45" s="1"/>
  <c r="D33" i="109"/>
  <c r="C122" i="45" s="1"/>
  <c r="U30" i="109"/>
  <c r="R30" i="109"/>
  <c r="I121" i="45" s="1"/>
  <c r="D30" i="109"/>
  <c r="C121" i="45" s="1"/>
  <c r="U27" i="109"/>
  <c r="R27" i="109"/>
  <c r="I120" i="45" s="1"/>
  <c r="D27" i="109"/>
  <c r="C120" i="45" s="1"/>
  <c r="U24" i="109"/>
  <c r="R24" i="109"/>
  <c r="I119" i="45" s="1"/>
  <c r="D24" i="109"/>
  <c r="C119" i="45" s="1"/>
  <c r="U21" i="109"/>
  <c r="R21" i="109"/>
  <c r="I118" i="45" s="1"/>
  <c r="D21" i="109"/>
  <c r="C118" i="45" s="1"/>
  <c r="U18" i="109"/>
  <c r="R18" i="109"/>
  <c r="I117" i="45" s="1"/>
  <c r="D18" i="109"/>
  <c r="C117" i="45" s="1"/>
  <c r="U15" i="109"/>
  <c r="R15" i="109"/>
  <c r="I116" i="45" s="1"/>
  <c r="D15" i="109"/>
  <c r="C116" i="45" s="1"/>
  <c r="U12" i="109"/>
  <c r="R12" i="109"/>
  <c r="I115" i="45" s="1"/>
  <c r="D12" i="109"/>
  <c r="C115" i="45" s="1"/>
  <c r="U9" i="109"/>
  <c r="R9" i="109"/>
  <c r="I114" i="45" s="1"/>
  <c r="D9" i="109"/>
  <c r="C114" i="45" s="1"/>
  <c r="U6" i="109"/>
  <c r="R6" i="109"/>
  <c r="I113" i="45" s="1"/>
  <c r="D6" i="109"/>
  <c r="C113" i="45" s="1"/>
  <c r="B5" i="109"/>
  <c r="C5" i="109" s="1"/>
  <c r="U51" i="108"/>
  <c r="R51" i="108"/>
  <c r="I112" i="45" s="1"/>
  <c r="D51" i="108"/>
  <c r="C112" i="45" s="1"/>
  <c r="U48" i="108"/>
  <c r="R48" i="108"/>
  <c r="I111" i="45" s="1"/>
  <c r="D48" i="108"/>
  <c r="C111" i="45" s="1"/>
  <c r="U45" i="108"/>
  <c r="R45" i="108"/>
  <c r="I110" i="45" s="1"/>
  <c r="D45" i="108"/>
  <c r="C110" i="45" s="1"/>
  <c r="U42" i="108"/>
  <c r="R42" i="108"/>
  <c r="I109" i="45" s="1"/>
  <c r="D42" i="108"/>
  <c r="C109" i="45" s="1"/>
  <c r="U39" i="108"/>
  <c r="R39" i="108"/>
  <c r="I108" i="45" s="1"/>
  <c r="D39" i="108"/>
  <c r="C108" i="45" s="1"/>
  <c r="U36" i="108"/>
  <c r="R36" i="108"/>
  <c r="I107" i="45" s="1"/>
  <c r="D36" i="108"/>
  <c r="C107" i="45" s="1"/>
  <c r="U33" i="108"/>
  <c r="R33" i="108"/>
  <c r="I106" i="45" s="1"/>
  <c r="D33" i="108"/>
  <c r="C106" i="45" s="1"/>
  <c r="U30" i="108"/>
  <c r="R30" i="108"/>
  <c r="I105" i="45" s="1"/>
  <c r="D30" i="108"/>
  <c r="C105" i="45" s="1"/>
  <c r="U27" i="108"/>
  <c r="R27" i="108"/>
  <c r="I104" i="45" s="1"/>
  <c r="D27" i="108"/>
  <c r="C104" i="45" s="1"/>
  <c r="U24" i="108"/>
  <c r="R24" i="108"/>
  <c r="I103" i="45" s="1"/>
  <c r="D24" i="108"/>
  <c r="C103" i="45" s="1"/>
  <c r="U21" i="108"/>
  <c r="R21" i="108"/>
  <c r="I102" i="45" s="1"/>
  <c r="D21" i="108"/>
  <c r="C102" i="45" s="1"/>
  <c r="U18" i="108"/>
  <c r="R18" i="108"/>
  <c r="I101" i="45" s="1"/>
  <c r="D18" i="108"/>
  <c r="C101" i="45" s="1"/>
  <c r="U15" i="108"/>
  <c r="R15" i="108"/>
  <c r="I100" i="45" s="1"/>
  <c r="D15" i="108"/>
  <c r="C100" i="45" s="1"/>
  <c r="U12" i="108"/>
  <c r="R12" i="108"/>
  <c r="I99" i="45" s="1"/>
  <c r="D12" i="108"/>
  <c r="C99" i="45" s="1"/>
  <c r="U9" i="108"/>
  <c r="R9" i="108"/>
  <c r="I98" i="45" s="1"/>
  <c r="D9" i="108"/>
  <c r="C98" i="45" s="1"/>
  <c r="U6" i="108"/>
  <c r="R6" i="108"/>
  <c r="I97" i="45" s="1"/>
  <c r="D6" i="108"/>
  <c r="C97" i="45" s="1"/>
  <c r="B5" i="108"/>
  <c r="U61" i="107"/>
  <c r="U57" i="107"/>
  <c r="R57" i="107"/>
  <c r="I95" i="45" s="1"/>
  <c r="U54" i="107"/>
  <c r="U51" i="107"/>
  <c r="R51" i="107"/>
  <c r="I93" i="45" s="1"/>
  <c r="U48" i="107"/>
  <c r="R48" i="107"/>
  <c r="I92" i="45" s="1"/>
  <c r="U45" i="107"/>
  <c r="R45" i="107"/>
  <c r="I91" i="45" s="1"/>
  <c r="U40" i="107"/>
  <c r="R40" i="107"/>
  <c r="I90" i="45" s="1"/>
  <c r="U37" i="107"/>
  <c r="U31" i="107"/>
  <c r="R31" i="107"/>
  <c r="I88" i="45" s="1"/>
  <c r="U28" i="107"/>
  <c r="U25" i="107"/>
  <c r="R25" i="107"/>
  <c r="I86" i="45" s="1"/>
  <c r="U22" i="107"/>
  <c r="R22" i="107"/>
  <c r="I85" i="45" s="1"/>
  <c r="U19" i="107"/>
  <c r="R19" i="107"/>
  <c r="I84" i="45" s="1"/>
  <c r="U16" i="107"/>
  <c r="R16" i="107"/>
  <c r="I83" i="45" s="1"/>
  <c r="U9" i="107"/>
  <c r="R9" i="107"/>
  <c r="I82" i="45" s="1"/>
  <c r="U6" i="107"/>
  <c r="B5" i="107"/>
  <c r="C5" i="107" s="1"/>
  <c r="U33" i="106"/>
  <c r="R33" i="106"/>
  <c r="I80" i="45" s="1"/>
  <c r="D33" i="106"/>
  <c r="C80" i="45" s="1"/>
  <c r="U30" i="106"/>
  <c r="R30" i="106"/>
  <c r="I79" i="45" s="1"/>
  <c r="D30" i="106"/>
  <c r="C79" i="45" s="1"/>
  <c r="U27" i="106"/>
  <c r="R27" i="106"/>
  <c r="I78" i="45" s="1"/>
  <c r="D27" i="106"/>
  <c r="C78" i="45" s="1"/>
  <c r="U24" i="106"/>
  <c r="R24" i="106"/>
  <c r="I77" i="45" s="1"/>
  <c r="D24" i="106"/>
  <c r="C77" i="45" s="1"/>
  <c r="U21" i="106"/>
  <c r="R21" i="106"/>
  <c r="I76" i="45" s="1"/>
  <c r="D21" i="106"/>
  <c r="C76" i="45" s="1"/>
  <c r="U18" i="106"/>
  <c r="R18" i="106"/>
  <c r="I75" i="45" s="1"/>
  <c r="D18" i="106"/>
  <c r="C75" i="45" s="1"/>
  <c r="U15" i="106"/>
  <c r="R15" i="106"/>
  <c r="I74" i="45" s="1"/>
  <c r="D15" i="106"/>
  <c r="C74" i="45" s="1"/>
  <c r="U12" i="106"/>
  <c r="R12" i="106"/>
  <c r="I73" i="45" s="1"/>
  <c r="D12" i="106"/>
  <c r="C73" i="45" s="1"/>
  <c r="U9" i="106"/>
  <c r="R9" i="106"/>
  <c r="I72" i="45" s="1"/>
  <c r="D9" i="106"/>
  <c r="C72" i="45" s="1"/>
  <c r="U6" i="106"/>
  <c r="R6" i="106"/>
  <c r="I71" i="45" s="1"/>
  <c r="D6" i="106"/>
  <c r="C71" i="45" s="1"/>
  <c r="B5" i="106"/>
  <c r="U42" i="105"/>
  <c r="R42" i="105"/>
  <c r="I70" i="45" s="1"/>
  <c r="D42" i="105"/>
  <c r="C70" i="45" s="1"/>
  <c r="U39" i="105"/>
  <c r="R39" i="105"/>
  <c r="I69" i="45" s="1"/>
  <c r="D39" i="105"/>
  <c r="C69" i="45" s="1"/>
  <c r="U36" i="105"/>
  <c r="R36" i="105"/>
  <c r="I68" i="45" s="1"/>
  <c r="D36" i="105"/>
  <c r="C68" i="45" s="1"/>
  <c r="U33" i="105"/>
  <c r="R33" i="105"/>
  <c r="I67" i="45" s="1"/>
  <c r="D33" i="105"/>
  <c r="C67" i="45" s="1"/>
  <c r="U30" i="105"/>
  <c r="R30" i="105"/>
  <c r="I66" i="45" s="1"/>
  <c r="D30" i="105"/>
  <c r="C66" i="45" s="1"/>
  <c r="U27" i="105"/>
  <c r="R27" i="105"/>
  <c r="I65" i="45" s="1"/>
  <c r="D27" i="105"/>
  <c r="C65" i="45" s="1"/>
  <c r="U24" i="105"/>
  <c r="R24" i="105"/>
  <c r="I64" i="45" s="1"/>
  <c r="D24" i="105"/>
  <c r="C64" i="45" s="1"/>
  <c r="U21" i="105"/>
  <c r="R21" i="105"/>
  <c r="I63" i="45" s="1"/>
  <c r="D21" i="105"/>
  <c r="C63" i="45" s="1"/>
  <c r="U18" i="105"/>
  <c r="R18" i="105"/>
  <c r="I62" i="45" s="1"/>
  <c r="D18" i="105"/>
  <c r="C62" i="45" s="1"/>
  <c r="U15" i="105"/>
  <c r="R15" i="105"/>
  <c r="I61" i="45" s="1"/>
  <c r="D15" i="105"/>
  <c r="C61" i="45" s="1"/>
  <c r="U12" i="105"/>
  <c r="R12" i="105"/>
  <c r="I60" i="45" s="1"/>
  <c r="D12" i="105"/>
  <c r="C60" i="45" s="1"/>
  <c r="U9" i="105"/>
  <c r="R9" i="105"/>
  <c r="I59" i="45" s="1"/>
  <c r="D9" i="105"/>
  <c r="C59" i="45" s="1"/>
  <c r="U6" i="105"/>
  <c r="R6" i="105"/>
  <c r="I58" i="45" s="1"/>
  <c r="D6" i="105"/>
  <c r="C58" i="45" s="1"/>
  <c r="B5" i="105"/>
  <c r="C5" i="105" s="1"/>
  <c r="U33" i="104"/>
  <c r="R33" i="104"/>
  <c r="I57" i="45" s="1"/>
  <c r="D33" i="104"/>
  <c r="C57" i="45" s="1"/>
  <c r="U30" i="104"/>
  <c r="R30" i="104"/>
  <c r="I56" i="45" s="1"/>
  <c r="D30" i="104"/>
  <c r="C56" i="45" s="1"/>
  <c r="U27" i="104"/>
  <c r="R27" i="104"/>
  <c r="I55" i="45" s="1"/>
  <c r="D27" i="104"/>
  <c r="C55" i="45" s="1"/>
  <c r="U24" i="104"/>
  <c r="R24" i="104"/>
  <c r="I54" i="45" s="1"/>
  <c r="D24" i="104"/>
  <c r="C54" i="45" s="1"/>
  <c r="U21" i="104"/>
  <c r="R21" i="104"/>
  <c r="I53" i="45" s="1"/>
  <c r="D21" i="104"/>
  <c r="C53" i="45" s="1"/>
  <c r="U18" i="104"/>
  <c r="R18" i="104"/>
  <c r="I52" i="45" s="1"/>
  <c r="D18" i="104"/>
  <c r="C52" i="45" s="1"/>
  <c r="U15" i="104"/>
  <c r="R15" i="104"/>
  <c r="I51" i="45" s="1"/>
  <c r="D15" i="104"/>
  <c r="C51" i="45" s="1"/>
  <c r="U12" i="104"/>
  <c r="R12" i="104"/>
  <c r="I50" i="45" s="1"/>
  <c r="D12" i="104"/>
  <c r="C50" i="45" s="1"/>
  <c r="U9" i="104"/>
  <c r="R9" i="104"/>
  <c r="I49" i="45" s="1"/>
  <c r="D9" i="104"/>
  <c r="C49" i="45" s="1"/>
  <c r="U6" i="104"/>
  <c r="R6" i="104"/>
  <c r="I48" i="45" s="1"/>
  <c r="D6" i="104"/>
  <c r="C48" i="45" s="1"/>
  <c r="B5" i="104"/>
  <c r="U30" i="103"/>
  <c r="R30" i="103"/>
  <c r="I47" i="45" s="1"/>
  <c r="D30" i="103"/>
  <c r="C47" i="45" s="1"/>
  <c r="U27" i="103"/>
  <c r="R27" i="103"/>
  <c r="I46" i="45" s="1"/>
  <c r="D27" i="103"/>
  <c r="C46" i="45" s="1"/>
  <c r="U24" i="103"/>
  <c r="R24" i="103"/>
  <c r="I45" i="45" s="1"/>
  <c r="D24" i="103"/>
  <c r="C45" i="45" s="1"/>
  <c r="U21" i="103"/>
  <c r="R21" i="103"/>
  <c r="I44" i="45" s="1"/>
  <c r="D21" i="103"/>
  <c r="C44" i="45" s="1"/>
  <c r="U18" i="103"/>
  <c r="R18" i="103"/>
  <c r="I43" i="45" s="1"/>
  <c r="D18" i="103"/>
  <c r="C43" i="45" s="1"/>
  <c r="U15" i="103"/>
  <c r="R15" i="103"/>
  <c r="I42" i="45" s="1"/>
  <c r="D15" i="103"/>
  <c r="C42" i="45" s="1"/>
  <c r="U12" i="103"/>
  <c r="R12" i="103"/>
  <c r="I41" i="45" s="1"/>
  <c r="D12" i="103"/>
  <c r="C41" i="45" s="1"/>
  <c r="U9" i="103"/>
  <c r="R9" i="103"/>
  <c r="I40" i="45" s="1"/>
  <c r="D9" i="103"/>
  <c r="C40" i="45" s="1"/>
  <c r="U6" i="103"/>
  <c r="R6" i="103"/>
  <c r="I39" i="45" s="1"/>
  <c r="D6" i="103"/>
  <c r="C39" i="45" s="1"/>
  <c r="B5" i="103"/>
  <c r="U36" i="102"/>
  <c r="R36" i="102"/>
  <c r="I38" i="45" s="1"/>
  <c r="D36" i="102"/>
  <c r="C38" i="45" s="1"/>
  <c r="U33" i="102"/>
  <c r="R33" i="102"/>
  <c r="I37" i="45" s="1"/>
  <c r="D33" i="102"/>
  <c r="C37" i="45" s="1"/>
  <c r="U30" i="102"/>
  <c r="R30" i="102"/>
  <c r="I36" i="45" s="1"/>
  <c r="D30" i="102"/>
  <c r="C36" i="45" s="1"/>
  <c r="U27" i="102"/>
  <c r="R27" i="102"/>
  <c r="I35" i="45" s="1"/>
  <c r="D27" i="102"/>
  <c r="C35" i="45" s="1"/>
  <c r="U24" i="102"/>
  <c r="R24" i="102"/>
  <c r="I34" i="45" s="1"/>
  <c r="D24" i="102"/>
  <c r="C34" i="45" s="1"/>
  <c r="U21" i="102"/>
  <c r="R21" i="102"/>
  <c r="I33" i="45" s="1"/>
  <c r="D21" i="102"/>
  <c r="C33" i="45" s="1"/>
  <c r="U18" i="102"/>
  <c r="R18" i="102"/>
  <c r="I32" i="45" s="1"/>
  <c r="D18" i="102"/>
  <c r="C32" i="45" s="1"/>
  <c r="U15" i="102"/>
  <c r="R15" i="102"/>
  <c r="I31" i="45" s="1"/>
  <c r="D15" i="102"/>
  <c r="C31" i="45" s="1"/>
  <c r="U12" i="102"/>
  <c r="R12" i="102"/>
  <c r="I30" i="45" s="1"/>
  <c r="D12" i="102"/>
  <c r="C30" i="45" s="1"/>
  <c r="U9" i="102"/>
  <c r="R9" i="102"/>
  <c r="I29" i="45" s="1"/>
  <c r="D9" i="102"/>
  <c r="C29" i="45" s="1"/>
  <c r="U6" i="102"/>
  <c r="R6" i="102"/>
  <c r="I28" i="45" s="1"/>
  <c r="D6" i="102"/>
  <c r="C28" i="45" s="1"/>
  <c r="B5" i="102"/>
  <c r="U93" i="101"/>
  <c r="R93" i="101"/>
  <c r="I237" i="45" s="1"/>
  <c r="D93" i="101"/>
  <c r="C237" i="45" s="1"/>
  <c r="U89" i="101"/>
  <c r="R89" i="101"/>
  <c r="I236" i="45" s="1"/>
  <c r="D89" i="101"/>
  <c r="C236" i="45" s="1"/>
  <c r="U83" i="101"/>
  <c r="R83" i="101"/>
  <c r="I235" i="45" s="1"/>
  <c r="D83" i="101"/>
  <c r="C235" i="45" s="1"/>
  <c r="U80" i="101"/>
  <c r="R80" i="101"/>
  <c r="I234" i="45" s="1"/>
  <c r="D80" i="101"/>
  <c r="C234" i="45" s="1"/>
  <c r="U77" i="101"/>
  <c r="R77" i="101"/>
  <c r="I233" i="45" s="1"/>
  <c r="D77" i="101"/>
  <c r="C233" i="45" s="1"/>
  <c r="U74" i="101"/>
  <c r="R74" i="101"/>
  <c r="I232" i="45" s="1"/>
  <c r="D74" i="101"/>
  <c r="C232" i="45" s="1"/>
  <c r="U71" i="101"/>
  <c r="R71" i="101"/>
  <c r="I231" i="45" s="1"/>
  <c r="D71" i="101"/>
  <c r="C231" i="45" s="1"/>
  <c r="U61" i="101"/>
  <c r="R61" i="101"/>
  <c r="I230" i="45" s="1"/>
  <c r="D61" i="101"/>
  <c r="C230" i="45" s="1"/>
  <c r="U58" i="101"/>
  <c r="D58" i="101"/>
  <c r="C229" i="45" s="1"/>
  <c r="U50" i="101"/>
  <c r="R50" i="101"/>
  <c r="I228" i="45" s="1"/>
  <c r="D50" i="101"/>
  <c r="C228" i="45" s="1"/>
  <c r="R43" i="101"/>
  <c r="I227" i="45" s="1"/>
  <c r="D43" i="101"/>
  <c r="C227" i="45" s="1"/>
  <c r="D40" i="101"/>
  <c r="C226" i="45" s="1"/>
  <c r="U36" i="101"/>
  <c r="D36" i="101"/>
  <c r="C225" i="45" s="1"/>
  <c r="U33" i="101"/>
  <c r="D33" i="101"/>
  <c r="C224" i="45" s="1"/>
  <c r="U23" i="101"/>
  <c r="D23" i="101"/>
  <c r="C223" i="45" s="1"/>
  <c r="U20" i="101"/>
  <c r="D20" i="101"/>
  <c r="C222" i="45" s="1"/>
  <c r="R9" i="101"/>
  <c r="I221" i="45" s="1"/>
  <c r="D9" i="101"/>
  <c r="C221" i="45" s="1"/>
  <c r="U6" i="101"/>
  <c r="D6" i="101"/>
  <c r="C220" i="45" s="1"/>
  <c r="B5" i="101"/>
  <c r="U39" i="100"/>
  <c r="D39" i="100"/>
  <c r="C27" i="45" s="1"/>
  <c r="U36" i="100"/>
  <c r="R36" i="100"/>
  <c r="I26" i="45" s="1"/>
  <c r="D36" i="100"/>
  <c r="C26" i="45" s="1"/>
  <c r="U33" i="100"/>
  <c r="R33" i="100"/>
  <c r="I25" i="45" s="1"/>
  <c r="D33" i="100"/>
  <c r="C25" i="45" s="1"/>
  <c r="U30" i="100"/>
  <c r="R30" i="100"/>
  <c r="I24" i="45" s="1"/>
  <c r="D30" i="100"/>
  <c r="C24" i="45" s="1"/>
  <c r="U27" i="100"/>
  <c r="R27" i="100"/>
  <c r="I23" i="45" s="1"/>
  <c r="D27" i="100"/>
  <c r="C23" i="45" s="1"/>
  <c r="U24" i="100"/>
  <c r="R24" i="100"/>
  <c r="I22" i="45" s="1"/>
  <c r="D24" i="100"/>
  <c r="C22" i="45" s="1"/>
  <c r="U21" i="100"/>
  <c r="R21" i="100"/>
  <c r="I21" i="45" s="1"/>
  <c r="D21" i="100"/>
  <c r="C21" i="45" s="1"/>
  <c r="U18" i="100"/>
  <c r="R18" i="100"/>
  <c r="I20" i="45" s="1"/>
  <c r="D18" i="100"/>
  <c r="C20" i="45" s="1"/>
  <c r="U15" i="100"/>
  <c r="R15" i="100"/>
  <c r="I19" i="45" s="1"/>
  <c r="D15" i="100"/>
  <c r="C19" i="45" s="1"/>
  <c r="U12" i="100"/>
  <c r="R12" i="100"/>
  <c r="I18" i="45" s="1"/>
  <c r="D12" i="100"/>
  <c r="C18" i="45" s="1"/>
  <c r="U9" i="100"/>
  <c r="R9" i="100"/>
  <c r="I17" i="45" s="1"/>
  <c r="D9" i="100"/>
  <c r="C17" i="45" s="1"/>
  <c r="U6" i="100"/>
  <c r="R6" i="100"/>
  <c r="I16" i="45" s="1"/>
  <c r="D6" i="100"/>
  <c r="C16" i="45" s="1"/>
  <c r="B5" i="100"/>
  <c r="C5" i="100" s="1"/>
  <c r="D54" i="80"/>
  <c r="C15" i="45" s="1"/>
  <c r="D48" i="80"/>
  <c r="C13" i="45" s="1"/>
  <c r="D45" i="80"/>
  <c r="C12" i="45" s="1"/>
  <c r="D42" i="80"/>
  <c r="C11" i="45" s="1"/>
  <c r="D39" i="80"/>
  <c r="C10" i="45" s="1"/>
  <c r="D36" i="80"/>
  <c r="C9" i="45" s="1"/>
  <c r="D28" i="80"/>
  <c r="C8" i="45" s="1"/>
  <c r="D25" i="80"/>
  <c r="C7" i="45" s="1"/>
  <c r="D17" i="80"/>
  <c r="C6" i="45" s="1"/>
  <c r="D9" i="80"/>
  <c r="C5" i="45" s="1"/>
  <c r="D6" i="80"/>
  <c r="C4" i="45" s="1"/>
  <c r="E56" i="80"/>
  <c r="U54" i="80"/>
  <c r="R54" i="80"/>
  <c r="I15" i="45" s="1"/>
  <c r="U51" i="80"/>
  <c r="R51" i="80"/>
  <c r="I14" i="45" s="1"/>
  <c r="E50" i="80"/>
  <c r="U48" i="80"/>
  <c r="R48" i="80"/>
  <c r="I13" i="45" s="1"/>
  <c r="E47" i="80"/>
  <c r="U45" i="80"/>
  <c r="R45" i="80"/>
  <c r="I12" i="45" s="1"/>
  <c r="U42" i="80"/>
  <c r="R42" i="80"/>
  <c r="I11" i="45" s="1"/>
  <c r="E41" i="80"/>
  <c r="U39" i="80"/>
  <c r="R39" i="80"/>
  <c r="I10" i="45" s="1"/>
  <c r="E38" i="80"/>
  <c r="U36" i="80"/>
  <c r="R36" i="80"/>
  <c r="I9" i="45" s="1"/>
  <c r="U28" i="80"/>
  <c r="R28" i="80"/>
  <c r="I8" i="45" s="1"/>
  <c r="E27" i="80"/>
  <c r="U25" i="80"/>
  <c r="R25" i="80"/>
  <c r="I7" i="45" s="1"/>
  <c r="E24" i="80"/>
  <c r="U17" i="80"/>
  <c r="R17" i="80"/>
  <c r="I6" i="45" s="1"/>
  <c r="E8" i="80"/>
  <c r="B30" i="127" l="1"/>
  <c r="C79" i="115"/>
  <c r="D30" i="115" s="1"/>
  <c r="C296" i="45" s="1"/>
  <c r="R24" i="101"/>
  <c r="R37" i="101"/>
  <c r="R25" i="101"/>
  <c r="R6" i="101"/>
  <c r="I220" i="45" s="1"/>
  <c r="R58" i="101"/>
  <c r="I229" i="45" s="1"/>
  <c r="R40" i="101"/>
  <c r="I226" i="45" s="1"/>
  <c r="D12" i="115"/>
  <c r="C290" i="45" s="1"/>
  <c r="R28" i="107"/>
  <c r="I87" i="45" s="1"/>
  <c r="R54" i="107"/>
  <c r="I94" i="45" s="1"/>
  <c r="R55" i="108"/>
  <c r="R37" i="107"/>
  <c r="I89" i="45" s="1"/>
  <c r="N63" i="107"/>
  <c r="R63" i="107" s="1"/>
  <c r="R6" i="107"/>
  <c r="I81" i="45" s="1"/>
  <c r="N62" i="107"/>
  <c r="R62" i="107" s="1"/>
  <c r="R96" i="113"/>
  <c r="C5" i="113"/>
  <c r="R31" i="112"/>
  <c r="C5" i="112"/>
  <c r="R28" i="111"/>
  <c r="C5" i="111"/>
  <c r="R55" i="110"/>
  <c r="C5" i="110"/>
  <c r="R55" i="109"/>
  <c r="D5" i="109"/>
  <c r="C5" i="108"/>
  <c r="D5" i="107"/>
  <c r="R37" i="106"/>
  <c r="C5" i="106"/>
  <c r="R46" i="105"/>
  <c r="D5" i="105"/>
  <c r="R37" i="104"/>
  <c r="C5" i="104"/>
  <c r="R34" i="103"/>
  <c r="C5" i="103"/>
  <c r="R40" i="102"/>
  <c r="C5" i="102"/>
  <c r="D5" i="102" s="1"/>
  <c r="C5" i="101"/>
  <c r="R43" i="100"/>
  <c r="D5" i="100"/>
  <c r="F22" i="46"/>
  <c r="C22" i="46" s="1"/>
  <c r="F23" i="46"/>
  <c r="C23" i="46" s="1"/>
  <c r="F24" i="46"/>
  <c r="C24" i="46" s="1"/>
  <c r="C80" i="115" l="1"/>
  <c r="R23" i="101"/>
  <c r="I223" i="45" s="1"/>
  <c r="R61" i="107"/>
  <c r="I96" i="45" s="1"/>
  <c r="D5" i="113"/>
  <c r="D5" i="112"/>
  <c r="D5" i="111"/>
  <c r="E5" i="111" s="1"/>
  <c r="D5" i="110"/>
  <c r="E5" i="110" s="1"/>
  <c r="E5" i="109"/>
  <c r="D5" i="108"/>
  <c r="E5" i="107"/>
  <c r="D5" i="106"/>
  <c r="E5" i="105"/>
  <c r="D5" i="104"/>
  <c r="D5" i="103"/>
  <c r="E5" i="102"/>
  <c r="F5" i="102" s="1"/>
  <c r="D5" i="101"/>
  <c r="E5" i="100"/>
  <c r="E23" i="46"/>
  <c r="E24" i="46"/>
  <c r="E22" i="46"/>
  <c r="C11" i="46"/>
  <c r="B31" i="127" l="1"/>
  <c r="C81" i="115"/>
  <c r="C82" i="115" s="1"/>
  <c r="C83" i="115" s="1"/>
  <c r="C84" i="115" s="1"/>
  <c r="C85" i="115" s="1"/>
  <c r="C86" i="115" s="1"/>
  <c r="C87" i="115" s="1"/>
  <c r="C88" i="115" s="1"/>
  <c r="R20" i="101"/>
  <c r="I222" i="45" s="1"/>
  <c r="R38" i="101"/>
  <c r="R36" i="101" s="1"/>
  <c r="I225" i="45" s="1"/>
  <c r="E5" i="113"/>
  <c r="E5" i="112"/>
  <c r="F5" i="112" s="1"/>
  <c r="F5" i="111"/>
  <c r="F5" i="110"/>
  <c r="F5" i="109"/>
  <c r="E5" i="108"/>
  <c r="F5" i="107"/>
  <c r="E5" i="106"/>
  <c r="F5" i="105"/>
  <c r="E5" i="104"/>
  <c r="E5" i="103"/>
  <c r="G5" i="102"/>
  <c r="E5" i="101"/>
  <c r="F5" i="101" s="1"/>
  <c r="F5" i="100"/>
  <c r="E11" i="46"/>
  <c r="B32" i="127" l="1"/>
  <c r="C89" i="115"/>
  <c r="C90" i="115" s="1"/>
  <c r="D33" i="115"/>
  <c r="C297" i="45" s="1"/>
  <c r="D51" i="115"/>
  <c r="C303" i="45" s="1"/>
  <c r="D36" i="115"/>
  <c r="C298" i="45" s="1"/>
  <c r="D42" i="115"/>
  <c r="C300" i="45" s="1"/>
  <c r="D54" i="115"/>
  <c r="C304" i="45" s="1"/>
  <c r="D57" i="115"/>
  <c r="C305" i="45" s="1"/>
  <c r="D39" i="115"/>
  <c r="C299" i="45" s="1"/>
  <c r="D45" i="115"/>
  <c r="C301" i="45" s="1"/>
  <c r="D48" i="115"/>
  <c r="C302" i="45" s="1"/>
  <c r="R33" i="101"/>
  <c r="I224" i="45" s="1"/>
  <c r="F5" i="113"/>
  <c r="G5" i="113" s="1"/>
  <c r="G5" i="112"/>
  <c r="G5" i="111"/>
  <c r="G5" i="110"/>
  <c r="H5" i="110" s="1"/>
  <c r="G5" i="109"/>
  <c r="F5" i="108"/>
  <c r="G5" i="107"/>
  <c r="H5" i="107" s="1"/>
  <c r="F5" i="106"/>
  <c r="G5" i="105"/>
  <c r="F5" i="104"/>
  <c r="F5" i="103"/>
  <c r="H5" i="102"/>
  <c r="G5" i="101"/>
  <c r="G5" i="100"/>
  <c r="F15" i="46"/>
  <c r="E15" i="46" s="1"/>
  <c r="F13" i="46"/>
  <c r="F19" i="46"/>
  <c r="C19" i="46" s="1"/>
  <c r="F20" i="46"/>
  <c r="C20" i="46" s="1"/>
  <c r="F21" i="46"/>
  <c r="C21" i="46" s="1"/>
  <c r="F25" i="46"/>
  <c r="C25" i="46" s="1"/>
  <c r="F26" i="46"/>
  <c r="C26" i="46" s="1"/>
  <c r="E13" i="46" l="1"/>
  <c r="D63" i="115"/>
  <c r="C307" i="45" s="1"/>
  <c r="D60" i="115"/>
  <c r="C306" i="45" s="1"/>
  <c r="R98" i="101"/>
  <c r="H5" i="113"/>
  <c r="I5" i="113" s="1"/>
  <c r="J5" i="113" s="1"/>
  <c r="K5" i="113" s="1"/>
  <c r="H5" i="112"/>
  <c r="H5" i="111"/>
  <c r="I5" i="110"/>
  <c r="J5" i="110" s="1"/>
  <c r="H5" i="109"/>
  <c r="G5" i="108"/>
  <c r="I5" i="107"/>
  <c r="J5" i="107" s="1"/>
  <c r="K5" i="107" s="1"/>
  <c r="G5" i="106"/>
  <c r="H5" i="105"/>
  <c r="G5" i="104"/>
  <c r="H5" i="104" s="1"/>
  <c r="I5" i="104" s="1"/>
  <c r="J5" i="104" s="1"/>
  <c r="K5" i="104" s="1"/>
  <c r="N5" i="104" s="1"/>
  <c r="G5" i="103"/>
  <c r="I5" i="102"/>
  <c r="H5" i="101"/>
  <c r="I5" i="101" s="1"/>
  <c r="J5" i="101" s="1"/>
  <c r="K5" i="101" s="1"/>
  <c r="H5" i="100"/>
  <c r="C13" i="46"/>
  <c r="N5" i="113" l="1"/>
  <c r="L5" i="113"/>
  <c r="M5" i="113" s="1"/>
  <c r="O5" i="113" s="1"/>
  <c r="I5" i="112"/>
  <c r="I5" i="111"/>
  <c r="J5" i="111" s="1"/>
  <c r="K5" i="110"/>
  <c r="I5" i="109"/>
  <c r="J5" i="109" s="1"/>
  <c r="K5" i="109" s="1"/>
  <c r="H5" i="108"/>
  <c r="I5" i="108" s="1"/>
  <c r="J5" i="108" s="1"/>
  <c r="K5" i="108" s="1"/>
  <c r="N5" i="107"/>
  <c r="L5" i="107"/>
  <c r="M5" i="107" s="1"/>
  <c r="O5" i="107" s="1"/>
  <c r="H5" i="106"/>
  <c r="I5" i="105"/>
  <c r="J5" i="105" s="1"/>
  <c r="K5" i="105" s="1"/>
  <c r="L5" i="105" s="1"/>
  <c r="M5" i="105" s="1"/>
  <c r="O5" i="105" s="1"/>
  <c r="L5" i="104"/>
  <c r="M5" i="104" s="1"/>
  <c r="O5" i="104" s="1"/>
  <c r="P5" i="104" s="1"/>
  <c r="Q5" i="104" s="1"/>
  <c r="R5" i="104" s="1"/>
  <c r="S5" i="104" s="1"/>
  <c r="U5" i="104" s="1"/>
  <c r="V5" i="104" s="1"/>
  <c r="H5" i="103"/>
  <c r="I5" i="103" s="1"/>
  <c r="J5" i="102"/>
  <c r="N5" i="101"/>
  <c r="L5" i="101"/>
  <c r="M5" i="101" s="1"/>
  <c r="O5" i="101" s="1"/>
  <c r="I5" i="100"/>
  <c r="J5" i="100" s="1"/>
  <c r="K5" i="100" s="1"/>
  <c r="P5" i="101" l="1"/>
  <c r="Q5" i="101" s="1"/>
  <c r="R5" i="101" s="1"/>
  <c r="S5" i="101" s="1"/>
  <c r="U5" i="101" s="1"/>
  <c r="V5" i="101" s="1"/>
  <c r="P5" i="113"/>
  <c r="Q5" i="113" s="1"/>
  <c r="R5" i="113" s="1"/>
  <c r="S5" i="113" s="1"/>
  <c r="U5" i="113" s="1"/>
  <c r="V5" i="113" s="1"/>
  <c r="J5" i="112"/>
  <c r="K5" i="112" s="1"/>
  <c r="K5" i="111"/>
  <c r="N5" i="111" s="1"/>
  <c r="L5" i="110"/>
  <c r="M5" i="110" s="1"/>
  <c r="O5" i="110" s="1"/>
  <c r="N5" i="110"/>
  <c r="N5" i="109"/>
  <c r="L5" i="109"/>
  <c r="M5" i="109" s="1"/>
  <c r="O5" i="109" s="1"/>
  <c r="L5" i="108"/>
  <c r="M5" i="108" s="1"/>
  <c r="O5" i="108" s="1"/>
  <c r="N5" i="108"/>
  <c r="P5" i="107"/>
  <c r="Q5" i="107" s="1"/>
  <c r="R5" i="107" s="1"/>
  <c r="S5" i="107" s="1"/>
  <c r="U5" i="107" s="1"/>
  <c r="V5" i="107" s="1"/>
  <c r="I5" i="106"/>
  <c r="J5" i="106" s="1"/>
  <c r="K5" i="106" s="1"/>
  <c r="N5" i="105"/>
  <c r="P5" i="105" s="1"/>
  <c r="Q5" i="105" s="1"/>
  <c r="R5" i="105" s="1"/>
  <c r="S5" i="105" s="1"/>
  <c r="U5" i="105" s="1"/>
  <c r="V5" i="105" s="1"/>
  <c r="J5" i="103"/>
  <c r="K5" i="103" s="1"/>
  <c r="K5" i="102"/>
  <c r="N5" i="100"/>
  <c r="L5" i="100"/>
  <c r="M5" i="100" s="1"/>
  <c r="O5" i="100" s="1"/>
  <c r="P5" i="109" l="1"/>
  <c r="Q5" i="109" s="1"/>
  <c r="R5" i="109" s="1"/>
  <c r="S5" i="109" s="1"/>
  <c r="U5" i="109" s="1"/>
  <c r="V5" i="109" s="1"/>
  <c r="P5" i="110"/>
  <c r="Q5" i="110" s="1"/>
  <c r="R5" i="110" s="1"/>
  <c r="S5" i="110" s="1"/>
  <c r="U5" i="110" s="1"/>
  <c r="V5" i="110" s="1"/>
  <c r="P5" i="108"/>
  <c r="Q5" i="108" s="1"/>
  <c r="R5" i="108" s="1"/>
  <c r="S5" i="108" s="1"/>
  <c r="U5" i="108" s="1"/>
  <c r="V5" i="108" s="1"/>
  <c r="L5" i="112"/>
  <c r="M5" i="112" s="1"/>
  <c r="O5" i="112" s="1"/>
  <c r="N5" i="112"/>
  <c r="L5" i="111"/>
  <c r="M5" i="111" s="1"/>
  <c r="O5" i="111" s="1"/>
  <c r="P5" i="111" s="1"/>
  <c r="Q5" i="111" s="1"/>
  <c r="R5" i="111" s="1"/>
  <c r="S5" i="111" s="1"/>
  <c r="U5" i="111" s="1"/>
  <c r="V5" i="111" s="1"/>
  <c r="N5" i="106"/>
  <c r="L5" i="106"/>
  <c r="M5" i="106" s="1"/>
  <c r="O5" i="106" s="1"/>
  <c r="L5" i="103"/>
  <c r="M5" i="103" s="1"/>
  <c r="O5" i="103" s="1"/>
  <c r="N5" i="103"/>
  <c r="N5" i="102"/>
  <c r="L5" i="102"/>
  <c r="M5" i="102" s="1"/>
  <c r="O5" i="102" s="1"/>
  <c r="P5" i="100"/>
  <c r="Q5" i="100" s="1"/>
  <c r="R5" i="100" s="1"/>
  <c r="S5" i="100" s="1"/>
  <c r="U5" i="100" s="1"/>
  <c r="V5" i="100" s="1"/>
  <c r="P5" i="106" l="1"/>
  <c r="Q5" i="106" s="1"/>
  <c r="R5" i="106" s="1"/>
  <c r="S5" i="106" s="1"/>
  <c r="U5" i="106" s="1"/>
  <c r="V5" i="106" s="1"/>
  <c r="P5" i="112"/>
  <c r="Q5" i="112" s="1"/>
  <c r="R5" i="112" s="1"/>
  <c r="S5" i="112" s="1"/>
  <c r="U5" i="112" s="1"/>
  <c r="V5" i="112" s="1"/>
  <c r="P5" i="102"/>
  <c r="Q5" i="102" s="1"/>
  <c r="R5" i="102" s="1"/>
  <c r="S5" i="102" s="1"/>
  <c r="U5" i="102" s="1"/>
  <c r="V5" i="102" s="1"/>
  <c r="P5" i="103"/>
  <c r="Q5" i="103" s="1"/>
  <c r="R5" i="103" s="1"/>
  <c r="S5" i="103" s="1"/>
  <c r="U5" i="103" s="1"/>
  <c r="V5" i="103" s="1"/>
  <c r="E10" i="46"/>
  <c r="B1" i="80"/>
  <c r="C10" i="46" l="1"/>
  <c r="H16" i="42" l="1"/>
  <c r="H14" i="42"/>
  <c r="H15" i="42"/>
  <c r="H7" i="42"/>
  <c r="H6" i="42"/>
  <c r="H19" i="42"/>
  <c r="H8" i="42"/>
  <c r="H10" i="42"/>
  <c r="H11" i="42"/>
  <c r="H13" i="42"/>
  <c r="H12" i="42"/>
  <c r="H18" i="42"/>
  <c r="H17" i="42"/>
  <c r="B5" i="80" l="1"/>
  <c r="C5" i="80" l="1"/>
  <c r="D5" i="80" s="1"/>
  <c r="E5" i="80" l="1"/>
  <c r="F5" i="80" s="1"/>
  <c r="G5" i="80" s="1"/>
  <c r="H5" i="80" s="1"/>
  <c r="I5" i="80" l="1"/>
  <c r="F18" i="46"/>
  <c r="J39" i="42" l="1"/>
  <c r="J38" i="42" s="1"/>
  <c r="J24" i="42"/>
  <c r="E24" i="42" s="1"/>
  <c r="J22" i="42"/>
  <c r="E22" i="42" s="1"/>
  <c r="J23" i="42"/>
  <c r="E23" i="42" s="1"/>
  <c r="J30" i="42"/>
  <c r="E30" i="42" s="1"/>
  <c r="J25" i="42"/>
  <c r="E25" i="42" s="1"/>
  <c r="J28" i="42"/>
  <c r="J26" i="42"/>
  <c r="E26" i="42" s="1"/>
  <c r="J33" i="42"/>
  <c r="J36" i="42"/>
  <c r="J29" i="42"/>
  <c r="J42" i="42"/>
  <c r="J20" i="42"/>
  <c r="E20" i="42" s="1"/>
  <c r="J7" i="42"/>
  <c r="E7" i="42" s="1"/>
  <c r="J14" i="42"/>
  <c r="E14" i="42" s="1"/>
  <c r="J15" i="42"/>
  <c r="E15" i="42" s="1"/>
  <c r="J16" i="42"/>
  <c r="E16" i="42" s="1"/>
  <c r="J9" i="42"/>
  <c r="E9" i="42" s="1"/>
  <c r="J19" i="42"/>
  <c r="E19" i="42" s="1"/>
  <c r="J10" i="42"/>
  <c r="J18" i="42"/>
  <c r="J8" i="42"/>
  <c r="J13" i="42"/>
  <c r="J6" i="42"/>
  <c r="J17" i="42"/>
  <c r="J12" i="42"/>
  <c r="J11" i="42"/>
  <c r="E25" i="46"/>
  <c r="E12" i="46"/>
  <c r="C12" i="46"/>
  <c r="E20" i="46"/>
  <c r="E26" i="46"/>
  <c r="E19" i="46"/>
  <c r="E21" i="46"/>
  <c r="E18" i="46"/>
  <c r="C18" i="46"/>
  <c r="J5" i="80"/>
  <c r="J284" i="45" l="1"/>
  <c r="K284" i="45" s="1"/>
  <c r="J281" i="45"/>
  <c r="K281" i="45" s="1"/>
  <c r="J274" i="45"/>
  <c r="K274" i="45" s="1"/>
  <c r="J287" i="45"/>
  <c r="K287" i="45" s="1"/>
  <c r="J286" i="45"/>
  <c r="K286" i="45" s="1"/>
  <c r="J283" i="45"/>
  <c r="K283" i="45" s="1"/>
  <c r="J282" i="45"/>
  <c r="K282" i="45" s="1"/>
  <c r="J272" i="45"/>
  <c r="K272" i="45" s="1"/>
  <c r="J279" i="45"/>
  <c r="K279" i="45" s="1"/>
  <c r="J278" i="45"/>
  <c r="K278" i="45" s="1"/>
  <c r="J285" i="45"/>
  <c r="K285" i="45" s="1"/>
  <c r="J280" i="45"/>
  <c r="K280" i="45" s="1"/>
  <c r="J276" i="45"/>
  <c r="K276" i="45" s="1"/>
  <c r="J273" i="45"/>
  <c r="K273" i="45" s="1"/>
  <c r="J275" i="45"/>
  <c r="K275" i="45" s="1"/>
  <c r="J277" i="45"/>
  <c r="K277" i="45" s="1"/>
  <c r="J105" i="45"/>
  <c r="K105" i="45" s="1"/>
  <c r="J107" i="45"/>
  <c r="K107" i="45" s="1"/>
  <c r="J111" i="45"/>
  <c r="K111" i="45" s="1"/>
  <c r="J104" i="45"/>
  <c r="K104" i="45" s="1"/>
  <c r="J108" i="45"/>
  <c r="K108" i="45" s="1"/>
  <c r="J100" i="45"/>
  <c r="K100" i="45" s="1"/>
  <c r="J110" i="45"/>
  <c r="K110" i="45" s="1"/>
  <c r="J109" i="45"/>
  <c r="K109" i="45" s="1"/>
  <c r="J97" i="45"/>
  <c r="K97" i="45" s="1"/>
  <c r="J99" i="45"/>
  <c r="K99" i="45" s="1"/>
  <c r="J103" i="45"/>
  <c r="K103" i="45" s="1"/>
  <c r="J112" i="45"/>
  <c r="K112" i="45" s="1"/>
  <c r="J106" i="45"/>
  <c r="K106" i="45" s="1"/>
  <c r="J102" i="45"/>
  <c r="K102" i="45" s="1"/>
  <c r="J101" i="45"/>
  <c r="K101" i="45" s="1"/>
  <c r="J98" i="45"/>
  <c r="K98" i="45" s="1"/>
  <c r="J126" i="45"/>
  <c r="K126" i="45" s="1"/>
  <c r="J125" i="45"/>
  <c r="K125" i="45" s="1"/>
  <c r="J115" i="45"/>
  <c r="K115" i="45" s="1"/>
  <c r="J121" i="45"/>
  <c r="K121" i="45" s="1"/>
  <c r="J119" i="45"/>
  <c r="K119" i="45" s="1"/>
  <c r="J116" i="45"/>
  <c r="K116" i="45" s="1"/>
  <c r="J122" i="45"/>
  <c r="K122" i="45" s="1"/>
  <c r="J120" i="45"/>
  <c r="K120" i="45" s="1"/>
  <c r="J124" i="45"/>
  <c r="K124" i="45" s="1"/>
  <c r="J118" i="45"/>
  <c r="K118" i="45" s="1"/>
  <c r="J117" i="45"/>
  <c r="K117" i="45" s="1"/>
  <c r="J128" i="45"/>
  <c r="K128" i="45" s="1"/>
  <c r="J114" i="45"/>
  <c r="K114" i="45" s="1"/>
  <c r="J127" i="45"/>
  <c r="K127" i="45" s="1"/>
  <c r="J113" i="45"/>
  <c r="K113" i="45" s="1"/>
  <c r="J123" i="45"/>
  <c r="K123" i="45" s="1"/>
  <c r="J16" i="45"/>
  <c r="K16" i="45" s="1"/>
  <c r="J21" i="45"/>
  <c r="K21" i="45" s="1"/>
  <c r="J27" i="45"/>
  <c r="K27" i="45" s="1"/>
  <c r="J18" i="45"/>
  <c r="K18" i="45" s="1"/>
  <c r="J23" i="45"/>
  <c r="K23" i="45" s="1"/>
  <c r="J26" i="45"/>
  <c r="K26" i="45" s="1"/>
  <c r="J25" i="45"/>
  <c r="K25" i="45" s="1"/>
  <c r="J19" i="45"/>
  <c r="K19" i="45" s="1"/>
  <c r="J17" i="45"/>
  <c r="K17" i="45" s="1"/>
  <c r="J20" i="45"/>
  <c r="K20" i="45" s="1"/>
  <c r="J22" i="45"/>
  <c r="K22" i="45" s="1"/>
  <c r="J24" i="45"/>
  <c r="K24" i="45" s="1"/>
  <c r="J264" i="45"/>
  <c r="K264" i="45" s="1"/>
  <c r="J259" i="45"/>
  <c r="K259" i="45" s="1"/>
  <c r="J265" i="45"/>
  <c r="K265" i="45" s="1"/>
  <c r="J271" i="45"/>
  <c r="K271" i="45" s="1"/>
  <c r="J270" i="45"/>
  <c r="K270" i="45" s="1"/>
  <c r="J269" i="45"/>
  <c r="K269" i="45" s="1"/>
  <c r="J268" i="45"/>
  <c r="K268" i="45" s="1"/>
  <c r="J266" i="45"/>
  <c r="K266" i="45" s="1"/>
  <c r="J263" i="45"/>
  <c r="K263" i="45" s="1"/>
  <c r="J262" i="45"/>
  <c r="K262" i="45" s="1"/>
  <c r="J261" i="45"/>
  <c r="K261" i="45" s="1"/>
  <c r="J260" i="45"/>
  <c r="K260" i="45" s="1"/>
  <c r="J267" i="45"/>
  <c r="K267" i="45" s="1"/>
  <c r="J199" i="45"/>
  <c r="K199" i="45" s="1"/>
  <c r="J206" i="45"/>
  <c r="K206" i="45" s="1"/>
  <c r="J190" i="45"/>
  <c r="K190" i="45" s="1"/>
  <c r="J219" i="45"/>
  <c r="K219" i="45" s="1"/>
  <c r="J218" i="45"/>
  <c r="K218" i="45" s="1"/>
  <c r="J213" i="45"/>
  <c r="K213" i="45" s="1"/>
  <c r="J202" i="45"/>
  <c r="K202" i="45" s="1"/>
  <c r="J216" i="45"/>
  <c r="K216" i="45" s="1"/>
  <c r="J197" i="45"/>
  <c r="K197" i="45" s="1"/>
  <c r="J212" i="45"/>
  <c r="K212" i="45" s="1"/>
  <c r="J195" i="45"/>
  <c r="K195" i="45" s="1"/>
  <c r="J194" i="45"/>
  <c r="K194" i="45" s="1"/>
  <c r="J217" i="45"/>
  <c r="K217" i="45" s="1"/>
  <c r="J196" i="45"/>
  <c r="K196" i="45" s="1"/>
  <c r="J209" i="45"/>
  <c r="K209" i="45" s="1"/>
  <c r="J191" i="45"/>
  <c r="K191" i="45" s="1"/>
  <c r="J201" i="45"/>
  <c r="K201" i="45" s="1"/>
  <c r="J192" i="45"/>
  <c r="K192" i="45" s="1"/>
  <c r="J208" i="45"/>
  <c r="K208" i="45" s="1"/>
  <c r="J215" i="45"/>
  <c r="K215" i="45" s="1"/>
  <c r="J204" i="45"/>
  <c r="K204" i="45" s="1"/>
  <c r="J211" i="45"/>
  <c r="K211" i="45" s="1"/>
  <c r="J210" i="45"/>
  <c r="K210" i="45" s="1"/>
  <c r="J205" i="45"/>
  <c r="K205" i="45" s="1"/>
  <c r="J200" i="45"/>
  <c r="K200" i="45" s="1"/>
  <c r="J193" i="45"/>
  <c r="K193" i="45" s="1"/>
  <c r="J214" i="45"/>
  <c r="K214" i="45" s="1"/>
  <c r="J198" i="45"/>
  <c r="K198" i="45" s="1"/>
  <c r="J203" i="45"/>
  <c r="K203" i="45" s="1"/>
  <c r="J207" i="45"/>
  <c r="K207" i="45" s="1"/>
  <c r="J241" i="45"/>
  <c r="K241" i="45" s="1"/>
  <c r="J240" i="45"/>
  <c r="K240" i="45" s="1"/>
  <c r="J243" i="45"/>
  <c r="K243" i="45" s="1"/>
  <c r="J248" i="45"/>
  <c r="K248" i="45" s="1"/>
  <c r="J239" i="45"/>
  <c r="K239" i="45" s="1"/>
  <c r="J247" i="45"/>
  <c r="K247" i="45" s="1"/>
  <c r="J246" i="45"/>
  <c r="K246" i="45" s="1"/>
  <c r="J242" i="45"/>
  <c r="K242" i="45" s="1"/>
  <c r="J238" i="45"/>
  <c r="K238" i="45" s="1"/>
  <c r="J244" i="45"/>
  <c r="K244" i="45" s="1"/>
  <c r="J245" i="45"/>
  <c r="K245" i="45" s="1"/>
  <c r="J189" i="45"/>
  <c r="K189" i="45" s="1"/>
  <c r="J165" i="45"/>
  <c r="K165" i="45" s="1"/>
  <c r="J180" i="45"/>
  <c r="K180" i="45" s="1"/>
  <c r="J176" i="45"/>
  <c r="K176" i="45" s="1"/>
  <c r="J182" i="45"/>
  <c r="K182" i="45" s="1"/>
  <c r="J185" i="45"/>
  <c r="K185" i="45" s="1"/>
  <c r="J174" i="45"/>
  <c r="K174" i="45" s="1"/>
  <c r="J167" i="45"/>
  <c r="K167" i="45" s="1"/>
  <c r="J178" i="45"/>
  <c r="K178" i="45" s="1"/>
  <c r="J177" i="45"/>
  <c r="K177" i="45" s="1"/>
  <c r="J184" i="45"/>
  <c r="K184" i="45" s="1"/>
  <c r="J171" i="45"/>
  <c r="K171" i="45" s="1"/>
  <c r="J169" i="45"/>
  <c r="K169" i="45" s="1"/>
  <c r="J175" i="45"/>
  <c r="K175" i="45" s="1"/>
  <c r="J168" i="45"/>
  <c r="K168" i="45" s="1"/>
  <c r="J181" i="45"/>
  <c r="K181" i="45" s="1"/>
  <c r="J179" i="45"/>
  <c r="K179" i="45" s="1"/>
  <c r="J160" i="45"/>
  <c r="K160" i="45" s="1"/>
  <c r="J161" i="45"/>
  <c r="K161" i="45" s="1"/>
  <c r="J183" i="45"/>
  <c r="K183" i="45" s="1"/>
  <c r="J172" i="45"/>
  <c r="K172" i="45" s="1"/>
  <c r="J166" i="45"/>
  <c r="K166" i="45" s="1"/>
  <c r="J170" i="45"/>
  <c r="K170" i="45" s="1"/>
  <c r="J187" i="45"/>
  <c r="K187" i="45" s="1"/>
  <c r="J164" i="45"/>
  <c r="K164" i="45" s="1"/>
  <c r="J163" i="45"/>
  <c r="K163" i="45" s="1"/>
  <c r="J162" i="45"/>
  <c r="K162" i="45" s="1"/>
  <c r="J173" i="45"/>
  <c r="K173" i="45" s="1"/>
  <c r="J188" i="45"/>
  <c r="K188" i="45" s="1"/>
  <c r="J186" i="45"/>
  <c r="K186" i="45" s="1"/>
  <c r="J229" i="45"/>
  <c r="K229" i="45" s="1"/>
  <c r="J220" i="45"/>
  <c r="K220" i="45" s="1"/>
  <c r="J233" i="45"/>
  <c r="K233" i="45" s="1"/>
  <c r="J222" i="45"/>
  <c r="K222" i="45" s="1"/>
  <c r="J224" i="45"/>
  <c r="K224" i="45" s="1"/>
  <c r="J234" i="45"/>
  <c r="K234" i="45" s="1"/>
  <c r="J227" i="45"/>
  <c r="K227" i="45" s="1"/>
  <c r="J231" i="45"/>
  <c r="K231" i="45" s="1"/>
  <c r="J236" i="45"/>
  <c r="K236" i="45" s="1"/>
  <c r="J225" i="45"/>
  <c r="K225" i="45" s="1"/>
  <c r="J221" i="45"/>
  <c r="K221" i="45" s="1"/>
  <c r="J235" i="45"/>
  <c r="K235" i="45" s="1"/>
  <c r="J226" i="45"/>
  <c r="K226" i="45" s="1"/>
  <c r="J230" i="45"/>
  <c r="K230" i="45" s="1"/>
  <c r="J223" i="45"/>
  <c r="K223" i="45" s="1"/>
  <c r="J237" i="45"/>
  <c r="K237" i="45" s="1"/>
  <c r="J228" i="45"/>
  <c r="K228" i="45" s="1"/>
  <c r="J232" i="45"/>
  <c r="K232" i="45" s="1"/>
  <c r="J47" i="45"/>
  <c r="K47" i="45" s="1"/>
  <c r="J46" i="45"/>
  <c r="K46" i="45" s="1"/>
  <c r="J45" i="45"/>
  <c r="K45" i="45" s="1"/>
  <c r="J44" i="45"/>
  <c r="K44" i="45" s="1"/>
  <c r="J42" i="45"/>
  <c r="K42" i="45" s="1"/>
  <c r="J40" i="45"/>
  <c r="K40" i="45" s="1"/>
  <c r="J43" i="45"/>
  <c r="K43" i="45" s="1"/>
  <c r="J41" i="45"/>
  <c r="K41" i="45" s="1"/>
  <c r="J39" i="45"/>
  <c r="K39" i="45" s="1"/>
  <c r="J253" i="45"/>
  <c r="K253" i="45" s="1"/>
  <c r="J255" i="45"/>
  <c r="K255" i="45" s="1"/>
  <c r="J252" i="45"/>
  <c r="K252" i="45" s="1"/>
  <c r="J250" i="45"/>
  <c r="K250" i="45" s="1"/>
  <c r="J249" i="45"/>
  <c r="K249" i="45" s="1"/>
  <c r="J256" i="45"/>
  <c r="K256" i="45" s="1"/>
  <c r="J257" i="45"/>
  <c r="K257" i="45" s="1"/>
  <c r="J251" i="45"/>
  <c r="K251" i="45" s="1"/>
  <c r="J258" i="45"/>
  <c r="K258" i="45" s="1"/>
  <c r="J254" i="45"/>
  <c r="K254" i="45" s="1"/>
  <c r="J133" i="45"/>
  <c r="K133" i="45" s="1"/>
  <c r="J144" i="45"/>
  <c r="K144" i="45" s="1"/>
  <c r="J135" i="45"/>
  <c r="K135" i="45" s="1"/>
  <c r="J134" i="45"/>
  <c r="K134" i="45" s="1"/>
  <c r="J132" i="45"/>
  <c r="K132" i="45" s="1"/>
  <c r="J138" i="45"/>
  <c r="K138" i="45" s="1"/>
  <c r="J140" i="45"/>
  <c r="K140" i="45" s="1"/>
  <c r="J136" i="45"/>
  <c r="K136" i="45" s="1"/>
  <c r="J129" i="45"/>
  <c r="K129" i="45" s="1"/>
  <c r="J137" i="45"/>
  <c r="K137" i="45" s="1"/>
  <c r="J141" i="45"/>
  <c r="K141" i="45" s="1"/>
  <c r="J139" i="45"/>
  <c r="K139" i="45" s="1"/>
  <c r="J130" i="45"/>
  <c r="K130" i="45" s="1"/>
  <c r="J143" i="45"/>
  <c r="K143" i="45" s="1"/>
  <c r="J142" i="45"/>
  <c r="K142" i="45" s="1"/>
  <c r="J131" i="45"/>
  <c r="K131" i="45" s="1"/>
  <c r="E39" i="42"/>
  <c r="E38" i="42" s="1"/>
  <c r="E29" i="42"/>
  <c r="J27" i="42"/>
  <c r="E28" i="42"/>
  <c r="E33" i="42"/>
  <c r="E32" i="42" s="1"/>
  <c r="J32" i="42"/>
  <c r="J41" i="42"/>
  <c r="E36" i="42"/>
  <c r="E35" i="42" s="1"/>
  <c r="J35" i="42"/>
  <c r="J21" i="42"/>
  <c r="J5" i="42"/>
  <c r="E42" i="42"/>
  <c r="E6" i="126" a="1"/>
  <c r="E12" i="42"/>
  <c r="E17" i="42"/>
  <c r="E6" i="42"/>
  <c r="E8" i="42"/>
  <c r="E13" i="42"/>
  <c r="E11" i="42"/>
  <c r="E18" i="42"/>
  <c r="E10" i="42"/>
  <c r="K5" i="80"/>
  <c r="J37" i="45" l="1"/>
  <c r="K37" i="45" s="1"/>
  <c r="J28" i="45"/>
  <c r="K28" i="45" s="1"/>
  <c r="J32" i="45"/>
  <c r="K32" i="45" s="1"/>
  <c r="J38" i="45"/>
  <c r="K38" i="45" s="1"/>
  <c r="J31" i="45"/>
  <c r="K31" i="45" s="1"/>
  <c r="J29" i="45"/>
  <c r="K29" i="45" s="1"/>
  <c r="J30" i="45"/>
  <c r="K30" i="45" s="1"/>
  <c r="J35" i="45"/>
  <c r="K35" i="45" s="1"/>
  <c r="J36" i="45"/>
  <c r="K36" i="45" s="1"/>
  <c r="J34" i="45"/>
  <c r="K34" i="45" s="1"/>
  <c r="J33" i="45"/>
  <c r="K33" i="45" s="1"/>
  <c r="J91" i="45"/>
  <c r="K91" i="45" s="1"/>
  <c r="J81" i="45"/>
  <c r="K81" i="45" s="1"/>
  <c r="J82" i="45"/>
  <c r="K82" i="45" s="1"/>
  <c r="J93" i="45"/>
  <c r="K93" i="45" s="1"/>
  <c r="J85" i="45"/>
  <c r="K85" i="45" s="1"/>
  <c r="J95" i="45"/>
  <c r="K95" i="45" s="1"/>
  <c r="J83" i="45"/>
  <c r="K83" i="45" s="1"/>
  <c r="J89" i="45"/>
  <c r="K89" i="45" s="1"/>
  <c r="J88" i="45"/>
  <c r="K88" i="45" s="1"/>
  <c r="J96" i="45"/>
  <c r="K96" i="45" s="1"/>
  <c r="J90" i="45"/>
  <c r="K90" i="45" s="1"/>
  <c r="J92" i="45"/>
  <c r="K92" i="45" s="1"/>
  <c r="J86" i="45"/>
  <c r="K86" i="45" s="1"/>
  <c r="J94" i="45"/>
  <c r="K94" i="45" s="1"/>
  <c r="J87" i="45"/>
  <c r="K87" i="45" s="1"/>
  <c r="J84" i="45"/>
  <c r="K84" i="45" s="1"/>
  <c r="J14" i="45"/>
  <c r="K14" i="45" s="1"/>
  <c r="J12" i="45"/>
  <c r="K12" i="45" s="1"/>
  <c r="J7" i="45"/>
  <c r="K7" i="45" s="1"/>
  <c r="J8" i="45"/>
  <c r="K8" i="45" s="1"/>
  <c r="J13" i="45"/>
  <c r="K13" i="45" s="1"/>
  <c r="J6" i="45"/>
  <c r="K6" i="45" s="1"/>
  <c r="J15" i="45"/>
  <c r="K15" i="45" s="1"/>
  <c r="J9" i="45"/>
  <c r="K9" i="45" s="1"/>
  <c r="J10" i="45"/>
  <c r="K10" i="45" s="1"/>
  <c r="J5" i="45"/>
  <c r="K5" i="45" s="1"/>
  <c r="J11" i="45"/>
  <c r="K11" i="45" s="1"/>
  <c r="J151" i="45"/>
  <c r="K151" i="45" s="1"/>
  <c r="J147" i="45"/>
  <c r="K147" i="45" s="1"/>
  <c r="J148" i="45"/>
  <c r="K148" i="45" s="1"/>
  <c r="J149" i="45"/>
  <c r="K149" i="45" s="1"/>
  <c r="J146" i="45"/>
  <c r="K146" i="45" s="1"/>
  <c r="J150" i="45"/>
  <c r="K150" i="45" s="1"/>
  <c r="J145" i="45"/>
  <c r="K145" i="45" s="1"/>
  <c r="J72" i="45"/>
  <c r="K72" i="45" s="1"/>
  <c r="J76" i="45"/>
  <c r="K76" i="45" s="1"/>
  <c r="J78" i="45"/>
  <c r="K78" i="45" s="1"/>
  <c r="J77" i="45"/>
  <c r="K77" i="45" s="1"/>
  <c r="J79" i="45"/>
  <c r="K79" i="45" s="1"/>
  <c r="J73" i="45"/>
  <c r="K73" i="45" s="1"/>
  <c r="J74" i="45"/>
  <c r="K74" i="45" s="1"/>
  <c r="J75" i="45"/>
  <c r="K75" i="45" s="1"/>
  <c r="J80" i="45"/>
  <c r="K80" i="45" s="1"/>
  <c r="J71" i="45"/>
  <c r="K71" i="45" s="1"/>
  <c r="J48" i="45"/>
  <c r="K48" i="45" s="1"/>
  <c r="J50" i="45"/>
  <c r="K50" i="45" s="1"/>
  <c r="J54" i="45"/>
  <c r="K54" i="45" s="1"/>
  <c r="J51" i="45"/>
  <c r="K51" i="45" s="1"/>
  <c r="J52" i="45"/>
  <c r="K52" i="45" s="1"/>
  <c r="J57" i="45"/>
  <c r="K57" i="45" s="1"/>
  <c r="J56" i="45"/>
  <c r="K56" i="45" s="1"/>
  <c r="J49" i="45"/>
  <c r="K49" i="45" s="1"/>
  <c r="J53" i="45"/>
  <c r="K53" i="45" s="1"/>
  <c r="J55" i="45"/>
  <c r="K55" i="45" s="1"/>
  <c r="J154" i="45"/>
  <c r="K154" i="45" s="1"/>
  <c r="J158" i="45"/>
  <c r="K158" i="45" s="1"/>
  <c r="J156" i="45"/>
  <c r="K156" i="45" s="1"/>
  <c r="J153" i="45"/>
  <c r="K153" i="45" s="1"/>
  <c r="J157" i="45"/>
  <c r="K157" i="45" s="1"/>
  <c r="J159" i="45"/>
  <c r="K159" i="45" s="1"/>
  <c r="J152" i="45"/>
  <c r="K152" i="45" s="1"/>
  <c r="J155" i="45"/>
  <c r="K155" i="45" s="1"/>
  <c r="J68" i="45"/>
  <c r="K68" i="45" s="1"/>
  <c r="J66" i="45"/>
  <c r="K66" i="45" s="1"/>
  <c r="J64" i="45"/>
  <c r="K64" i="45" s="1"/>
  <c r="J67" i="45"/>
  <c r="K67" i="45" s="1"/>
  <c r="J62" i="45"/>
  <c r="K62" i="45" s="1"/>
  <c r="J60" i="45"/>
  <c r="K60" i="45" s="1"/>
  <c r="J65" i="45"/>
  <c r="K65" i="45" s="1"/>
  <c r="J58" i="45"/>
  <c r="K58" i="45" s="1"/>
  <c r="J69" i="45"/>
  <c r="K69" i="45" s="1"/>
  <c r="J61" i="45"/>
  <c r="K61" i="45" s="1"/>
  <c r="J59" i="45"/>
  <c r="K59" i="45" s="1"/>
  <c r="J63" i="45"/>
  <c r="K63" i="45" s="1"/>
  <c r="J70" i="45"/>
  <c r="K70" i="45" s="1"/>
  <c r="J305" i="45"/>
  <c r="K305" i="45" s="1"/>
  <c r="J307" i="45"/>
  <c r="K307" i="45" s="1"/>
  <c r="J303" i="45"/>
  <c r="K303" i="45" s="1"/>
  <c r="J296" i="45"/>
  <c r="K296" i="45" s="1"/>
  <c r="J293" i="45"/>
  <c r="K293" i="45" s="1"/>
  <c r="J299" i="45"/>
  <c r="K299" i="45" s="1"/>
  <c r="J294" i="45"/>
  <c r="K294" i="45" s="1"/>
  <c r="J291" i="45"/>
  <c r="K291" i="45" s="1"/>
  <c r="J290" i="45"/>
  <c r="K290" i="45" s="1"/>
  <c r="J302" i="45"/>
  <c r="K302" i="45" s="1"/>
  <c r="J297" i="45"/>
  <c r="K297" i="45" s="1"/>
  <c r="J288" i="45"/>
  <c r="K288" i="45" s="1"/>
  <c r="J306" i="45"/>
  <c r="K306" i="45" s="1"/>
  <c r="J298" i="45"/>
  <c r="K298" i="45" s="1"/>
  <c r="J295" i="45"/>
  <c r="K295" i="45" s="1"/>
  <c r="J300" i="45"/>
  <c r="K300" i="45" s="1"/>
  <c r="J304" i="45"/>
  <c r="K304" i="45" s="1"/>
  <c r="J289" i="45"/>
  <c r="K289" i="45" s="1"/>
  <c r="J292" i="45"/>
  <c r="K292" i="45" s="1"/>
  <c r="J301" i="45"/>
  <c r="K301" i="45" s="1"/>
  <c r="E308" i="45"/>
  <c r="E27" i="42"/>
  <c r="E41" i="42"/>
  <c r="E21" i="42"/>
  <c r="E5" i="42"/>
  <c r="E6" i="126"/>
  <c r="D308" i="45" s="1"/>
  <c r="E12" i="126" a="1"/>
  <c r="J4" i="45"/>
  <c r="N5" i="80"/>
  <c r="L5" i="80"/>
  <c r="M5" i="80" s="1"/>
  <c r="O5" i="80" s="1"/>
  <c r="E310" i="45" l="1"/>
  <c r="E12" i="126"/>
  <c r="D310" i="45" s="1"/>
  <c r="E18" i="126" a="1"/>
  <c r="P5" i="80"/>
  <c r="Q5" i="80" s="1"/>
  <c r="R5" i="80" s="1"/>
  <c r="E312" i="45" l="1"/>
  <c r="E18" i="126"/>
  <c r="D312" i="45" s="1"/>
  <c r="E6" i="119" a="1"/>
  <c r="S5" i="80"/>
  <c r="U5" i="80" s="1"/>
  <c r="V5" i="80" s="1"/>
  <c r="D6" i="73"/>
  <c r="B5" i="73"/>
  <c r="E190" i="45" l="1"/>
  <c r="E6" i="119"/>
  <c r="D190" i="45" s="1"/>
  <c r="C5" i="73"/>
  <c r="E6" i="80" l="1" a="1"/>
  <c r="D5" i="73"/>
  <c r="E5" i="73" s="1"/>
  <c r="F5" i="73" s="1"/>
  <c r="E4" i="45" l="1"/>
  <c r="E6" i="80"/>
  <c r="D4" i="45" s="1"/>
  <c r="G5" i="73"/>
  <c r="H5" i="73" s="1"/>
  <c r="I5" i="73" s="1"/>
  <c r="J5" i="73" l="1"/>
  <c r="B7" i="46" l="1"/>
  <c r="C7" i="46" l="1"/>
  <c r="D7" i="46" l="1"/>
  <c r="E7" i="46" s="1"/>
  <c r="F7" i="46" l="1"/>
  <c r="G7" i="46" l="1"/>
  <c r="H7" i="46" l="1"/>
  <c r="I7" i="46" s="1"/>
  <c r="J7" i="46" l="1"/>
  <c r="L7" i="46" l="1"/>
  <c r="K7" i="46"/>
  <c r="B33" i="127" l="1"/>
  <c r="B34" i="127"/>
  <c r="M7" i="46"/>
  <c r="N7" i="46" l="1"/>
  <c r="V7" i="46" s="1"/>
  <c r="B35" i="127" l="1"/>
  <c r="B37" i="127" l="1"/>
  <c r="B42" i="127" l="1"/>
  <c r="B38" i="127"/>
  <c r="B40" i="127" l="1"/>
  <c r="B43" i="127"/>
  <c r="B44" i="127" l="1"/>
  <c r="E27" i="119" l="1" a="1"/>
  <c r="E6" i="120" a="1"/>
  <c r="E24" i="119" a="1"/>
  <c r="E21" i="119" a="1"/>
  <c r="E18" i="119" a="1"/>
  <c r="E15" i="119" a="1"/>
  <c r="E12" i="119" a="1"/>
  <c r="E36" i="119" a="1"/>
  <c r="E21" i="113" a="1"/>
  <c r="E9" i="119" a="1"/>
  <c r="E39" i="119" a="1"/>
  <c r="E12" i="120" a="1"/>
  <c r="E42" i="119" a="1"/>
  <c r="E9" i="120" a="1"/>
  <c r="E15" i="113" a="1"/>
  <c r="E30" i="119" a="1"/>
  <c r="E24" i="113" a="1"/>
  <c r="E33" i="119" a="1"/>
  <c r="E18" i="113" a="1"/>
  <c r="E15" i="120" a="1"/>
  <c r="E12" i="113" a="1"/>
  <c r="E9" i="113" a="1"/>
  <c r="E6" i="113" a="1"/>
  <c r="E12" i="100" a="1"/>
  <c r="E9" i="100" a="1"/>
  <c r="E15" i="102" a="1"/>
  <c r="E6" i="103" a="1"/>
  <c r="E15" i="100" a="1"/>
  <c r="E40" i="101" a="1"/>
  <c r="E61" i="101" a="1"/>
  <c r="E6" i="100" a="1"/>
  <c r="E43" i="101" a="1"/>
  <c r="E9" i="103" a="1"/>
  <c r="E18" i="100" a="1"/>
  <c r="E6" i="102" a="1"/>
  <c r="E9" i="102" a="1"/>
  <c r="E12" i="103" a="1"/>
  <c r="E12" i="102" a="1"/>
  <c r="E58" i="101" a="1"/>
  <c r="E50" i="101" a="1"/>
  <c r="E228" i="45" l="1"/>
  <c r="E227" i="45"/>
  <c r="E18" i="45"/>
  <c r="E198" i="45"/>
  <c r="E200" i="45"/>
  <c r="E229" i="45"/>
  <c r="E16" i="45"/>
  <c r="E160" i="45"/>
  <c r="E163" i="45"/>
  <c r="E192" i="45"/>
  <c r="E30" i="45"/>
  <c r="E230" i="45"/>
  <c r="E161" i="45"/>
  <c r="E239" i="45"/>
  <c r="E193" i="45"/>
  <c r="E41" i="45"/>
  <c r="E226" i="45"/>
  <c r="E162" i="45"/>
  <c r="E202" i="45"/>
  <c r="E194" i="45"/>
  <c r="E29" i="45"/>
  <c r="E19" i="45"/>
  <c r="E241" i="45"/>
  <c r="E240" i="45"/>
  <c r="E195" i="45"/>
  <c r="E28" i="45"/>
  <c r="E39" i="45"/>
  <c r="E164" i="45"/>
  <c r="E201" i="45"/>
  <c r="E196" i="45"/>
  <c r="E20" i="45"/>
  <c r="E31" i="45"/>
  <c r="E199" i="45"/>
  <c r="E191" i="45"/>
  <c r="E238" i="45"/>
  <c r="E40" i="45"/>
  <c r="E17" i="45"/>
  <c r="E166" i="45"/>
  <c r="E165" i="45"/>
  <c r="E197" i="45"/>
  <c r="E27" i="119"/>
  <c r="D197" i="45" s="1"/>
  <c r="E24" i="119"/>
  <c r="D196" i="45" s="1"/>
  <c r="E6" i="120"/>
  <c r="D238" i="45" s="1"/>
  <c r="E21" i="119"/>
  <c r="D195" i="45" s="1"/>
  <c r="E18" i="119"/>
  <c r="D194" i="45" s="1"/>
  <c r="E15" i="119"/>
  <c r="D193" i="45" s="1"/>
  <c r="E12" i="119"/>
  <c r="D192" i="45" s="1"/>
  <c r="E9" i="119"/>
  <c r="D191" i="45" s="1"/>
  <c r="E36" i="119"/>
  <c r="D200" i="45" s="1"/>
  <c r="E12" i="120"/>
  <c r="D240" i="45" s="1"/>
  <c r="E24" i="113"/>
  <c r="D166" i="45" s="1"/>
  <c r="E15" i="120"/>
  <c r="D241" i="45" s="1"/>
  <c r="E18" i="113"/>
  <c r="D164" i="45" s="1"/>
  <c r="E21" i="113"/>
  <c r="D165" i="45" s="1"/>
  <c r="E33" i="119"/>
  <c r="D199" i="45" s="1"/>
  <c r="E30" i="119"/>
  <c r="D198" i="45" s="1"/>
  <c r="E9" i="120"/>
  <c r="D239" i="45" s="1"/>
  <c r="E15" i="113"/>
  <c r="D163" i="45" s="1"/>
  <c r="E42" i="119"/>
  <c r="D202" i="45" s="1"/>
  <c r="E39" i="119"/>
  <c r="D201" i="45" s="1"/>
  <c r="E12" i="102"/>
  <c r="D30" i="45" s="1"/>
  <c r="E6" i="103"/>
  <c r="D39" i="45" s="1"/>
  <c r="E15" i="102"/>
  <c r="D31" i="45" s="1"/>
  <c r="E12" i="100"/>
  <c r="D18" i="45" s="1"/>
  <c r="E12" i="113"/>
  <c r="D162" i="45" s="1"/>
  <c r="E9" i="113"/>
  <c r="D161" i="45" s="1"/>
  <c r="E50" i="101"/>
  <c r="D228" i="45" s="1"/>
  <c r="E9" i="100"/>
  <c r="D17" i="45" s="1"/>
  <c r="E58" i="101"/>
  <c r="D229" i="45" s="1"/>
  <c r="E12" i="103"/>
  <c r="D41" i="45" s="1"/>
  <c r="E6" i="113"/>
  <c r="D160" i="45" s="1"/>
  <c r="E9" i="102"/>
  <c r="D29" i="45" s="1"/>
  <c r="E18" i="100"/>
  <c r="D20" i="45" s="1"/>
  <c r="E6" i="102"/>
  <c r="D28" i="45" s="1"/>
  <c r="E61" i="101"/>
  <c r="D230" i="45" s="1"/>
  <c r="E15" i="100"/>
  <c r="D19" i="45" s="1"/>
  <c r="E9" i="103"/>
  <c r="D40" i="45" s="1"/>
  <c r="E6" i="100"/>
  <c r="D16" i="45" s="1"/>
  <c r="E40" i="101"/>
  <c r="D226" i="45" s="1"/>
  <c r="E43" i="101"/>
  <c r="D227" i="45" s="1"/>
  <c r="D18" i="111" l="1"/>
  <c r="C149" i="45" s="1"/>
  <c r="D15" i="111"/>
  <c r="C148" i="45" s="1"/>
  <c r="D12" i="111"/>
  <c r="C147" i="45" s="1"/>
  <c r="D21" i="111"/>
  <c r="C150" i="45" s="1"/>
  <c r="D9" i="111"/>
  <c r="C146" i="45" s="1"/>
  <c r="D24" i="111"/>
  <c r="C151" i="45" s="1"/>
  <c r="D6" i="111"/>
  <c r="C145" i="45" s="1"/>
  <c r="AM90" i="127" l="1"/>
  <c r="AM127" i="127"/>
  <c r="AM16" i="127"/>
  <c r="AM41" i="127"/>
  <c r="AM79" i="127"/>
  <c r="AM50" i="127"/>
  <c r="AM45" i="127"/>
  <c r="AM62" i="127"/>
  <c r="AM86" i="127"/>
  <c r="AM9" i="127"/>
  <c r="AM10" i="127"/>
  <c r="AM39" i="127"/>
  <c r="AM11" i="127"/>
  <c r="AM15" i="127"/>
  <c r="AM71" i="127"/>
  <c r="AM12" i="127"/>
  <c r="AM46" i="127"/>
  <c r="AM37" i="127"/>
  <c r="AM40" i="127"/>
  <c r="AM38" i="127"/>
  <c r="AM42" i="127"/>
  <c r="AM43" i="127"/>
  <c r="AM44" i="127"/>
  <c r="AM20" i="127"/>
  <c r="AM25" i="127"/>
  <c r="AM36" i="127"/>
  <c r="AM19" i="127"/>
  <c r="AM33" i="127"/>
  <c r="AM30" i="127"/>
  <c r="AM31" i="127"/>
  <c r="AM24" i="127"/>
  <c r="AM28" i="127"/>
  <c r="AM26" i="127"/>
  <c r="AM32" i="127"/>
  <c r="AM29" i="127"/>
  <c r="AM23" i="127"/>
  <c r="AM34" i="127"/>
  <c r="AM21" i="127"/>
  <c r="AM35" i="127"/>
  <c r="AM22" i="127"/>
  <c r="AM18" i="127"/>
  <c r="AM27" i="127"/>
  <c r="AN34" i="127" l="1"/>
  <c r="AO34" i="127" s="1"/>
  <c r="AP34" i="127"/>
  <c r="AQ34" i="127" s="1"/>
  <c r="AP30" i="127"/>
  <c r="AQ30" i="127" s="1"/>
  <c r="AN30" i="127"/>
  <c r="AO30" i="127" s="1"/>
  <c r="AN44" i="127"/>
  <c r="AO44" i="127" s="1"/>
  <c r="AP44" i="127"/>
  <c r="AP71" i="127"/>
  <c r="AQ71" i="127" s="1"/>
  <c r="AN71" i="127"/>
  <c r="AO71" i="127" s="1"/>
  <c r="AN45" i="127"/>
  <c r="AO45" i="127" s="1"/>
  <c r="AP45" i="127"/>
  <c r="AP43" i="127"/>
  <c r="AQ43" i="127" s="1"/>
  <c r="AN43" i="127"/>
  <c r="AO43" i="127" s="1"/>
  <c r="AN27" i="127"/>
  <c r="AO27" i="127" s="1"/>
  <c r="AP27" i="127"/>
  <c r="AQ27" i="127" s="1"/>
  <c r="AN29" i="127"/>
  <c r="AO29" i="127" s="1"/>
  <c r="AP29" i="127"/>
  <c r="AN42" i="127"/>
  <c r="AO42" i="127" s="1"/>
  <c r="AP42" i="127"/>
  <c r="AP11" i="127"/>
  <c r="AQ11" i="127" s="1"/>
  <c r="AN11" i="127"/>
  <c r="AO11" i="127" s="1"/>
  <c r="AP79" i="127"/>
  <c r="AQ79" i="127" s="1"/>
  <c r="AN79" i="127"/>
  <c r="AO79" i="127" s="1"/>
  <c r="AN32" i="127"/>
  <c r="AO32" i="127" s="1"/>
  <c r="AP32" i="127"/>
  <c r="AQ32" i="127" s="1"/>
  <c r="AN19" i="127"/>
  <c r="AO19" i="127" s="1"/>
  <c r="AP19" i="127"/>
  <c r="AN38" i="127"/>
  <c r="AO38" i="127" s="1"/>
  <c r="AP38" i="127"/>
  <c r="AN39" i="127"/>
  <c r="AO39" i="127" s="1"/>
  <c r="AP39" i="127"/>
  <c r="AP41" i="127"/>
  <c r="AQ41" i="127" s="1"/>
  <c r="AN41" i="127"/>
  <c r="AO41" i="127" s="1"/>
  <c r="AP23" i="127"/>
  <c r="AN23" i="127"/>
  <c r="AO23" i="127" s="1"/>
  <c r="AN50" i="127"/>
  <c r="AO50" i="127" s="1"/>
  <c r="AP50" i="127"/>
  <c r="AQ50" i="127" s="1"/>
  <c r="AP18" i="127"/>
  <c r="AN18" i="127"/>
  <c r="AO18" i="127" s="1"/>
  <c r="AP26" i="127"/>
  <c r="AQ26" i="127" s="1"/>
  <c r="AN26" i="127"/>
  <c r="AO26" i="127" s="1"/>
  <c r="AP40" i="127"/>
  <c r="AQ40" i="127" s="1"/>
  <c r="AN40" i="127"/>
  <c r="AO40" i="127" s="1"/>
  <c r="AN10" i="127"/>
  <c r="AO10" i="127" s="1"/>
  <c r="AP10" i="127"/>
  <c r="AN16" i="127"/>
  <c r="AO16" i="127" s="1"/>
  <c r="AP16" i="127"/>
  <c r="AP33" i="127"/>
  <c r="AN33" i="127"/>
  <c r="AO33" i="127" s="1"/>
  <c r="AN15" i="127"/>
  <c r="AO15" i="127" s="1"/>
  <c r="AP15" i="127"/>
  <c r="AQ15" i="127" s="1"/>
  <c r="AP22" i="127"/>
  <c r="AQ22" i="127" s="1"/>
  <c r="AN22" i="127"/>
  <c r="AO22" i="127" s="1"/>
  <c r="AN28" i="127"/>
  <c r="AO28" i="127" s="1"/>
  <c r="AP28" i="127"/>
  <c r="AQ28" i="127" s="1"/>
  <c r="AP36" i="127"/>
  <c r="AN36" i="127"/>
  <c r="AO36" i="127" s="1"/>
  <c r="AN37" i="127"/>
  <c r="AO37" i="127" s="1"/>
  <c r="AP37" i="127"/>
  <c r="AQ37" i="127" s="1"/>
  <c r="AP9" i="127"/>
  <c r="AQ9" i="127" s="1"/>
  <c r="AN9" i="127"/>
  <c r="AO9" i="127" s="1"/>
  <c r="AP127" i="127"/>
  <c r="AN127" i="127"/>
  <c r="AO127" i="127" s="1"/>
  <c r="AO126" i="127" s="1"/>
  <c r="AP35" i="127"/>
  <c r="AN35" i="127"/>
  <c r="AO35" i="127" s="1"/>
  <c r="AP24" i="127"/>
  <c r="AN24" i="127"/>
  <c r="AO24" i="127" s="1"/>
  <c r="AN25" i="127"/>
  <c r="AO25" i="127" s="1"/>
  <c r="AP25" i="127"/>
  <c r="AP46" i="127"/>
  <c r="AQ46" i="127" s="1"/>
  <c r="AN46" i="127"/>
  <c r="AO46" i="127" s="1"/>
  <c r="AN86" i="127"/>
  <c r="AO86" i="127" s="1"/>
  <c r="AP86" i="127"/>
  <c r="AQ86" i="127" s="1"/>
  <c r="AP90" i="127"/>
  <c r="AN90" i="127"/>
  <c r="AO90" i="127" s="1"/>
  <c r="AP21" i="127"/>
  <c r="AQ21" i="127" s="1"/>
  <c r="AN21" i="127"/>
  <c r="AO21" i="127" s="1"/>
  <c r="AP31" i="127"/>
  <c r="AQ31" i="127" s="1"/>
  <c r="AN31" i="127"/>
  <c r="AO31" i="127" s="1"/>
  <c r="AP20" i="127"/>
  <c r="AN20" i="127"/>
  <c r="AO20" i="127" s="1"/>
  <c r="AP12" i="127"/>
  <c r="AN12" i="127"/>
  <c r="AO12" i="127" s="1"/>
  <c r="AN62" i="127"/>
  <c r="AO62" i="127" s="1"/>
  <c r="AP62" i="127"/>
  <c r="AQ62" i="127" s="1"/>
  <c r="AQ127" i="127" l="1"/>
  <c r="AQ126" i="127" s="1"/>
  <c r="AP126" i="127"/>
  <c r="E9" i="80" l="1" a="1"/>
  <c r="E17" i="80" a="1"/>
  <c r="E25" i="80" a="1"/>
  <c r="E28" i="80" a="1"/>
  <c r="E36" i="80" a="1"/>
  <c r="E39" i="80" a="1"/>
  <c r="E42" i="80" a="1"/>
  <c r="E45" i="80" a="1"/>
  <c r="E12" i="45" l="1"/>
  <c r="E11" i="45"/>
  <c r="E10" i="45"/>
  <c r="E9" i="45"/>
  <c r="E8" i="45"/>
  <c r="E7" i="45"/>
  <c r="E6" i="45"/>
  <c r="E5" i="45"/>
  <c r="E42" i="80"/>
  <c r="D11" i="45" s="1"/>
  <c r="E28" i="80"/>
  <c r="D8" i="45" s="1"/>
  <c r="E17" i="80"/>
  <c r="D6" i="45" s="1"/>
  <c r="E36" i="80"/>
  <c r="D9" i="45" s="1"/>
  <c r="E39" i="80"/>
  <c r="D10" i="45" s="1"/>
  <c r="E25" i="80"/>
  <c r="D7" i="45" s="1"/>
  <c r="E45" i="80"/>
  <c r="D12" i="45" s="1"/>
  <c r="E9" i="80"/>
  <c r="D5" i="45" s="1"/>
  <c r="E48" i="80" a="1"/>
  <c r="E13" i="45" l="1"/>
  <c r="E48" i="80"/>
  <c r="D13" i="45" s="1"/>
  <c r="B48" i="127" l="1"/>
  <c r="AM48" i="127" s="1"/>
  <c r="B47" i="127"/>
  <c r="AM47" i="127" s="1"/>
  <c r="E15" i="103" a="1"/>
  <c r="E42" i="45" l="1"/>
  <c r="B49" i="127"/>
  <c r="AM49" i="127" s="1"/>
  <c r="AN49" i="127" s="1"/>
  <c r="AO49" i="127" s="1"/>
  <c r="AN47" i="127"/>
  <c r="AO47" i="127" s="1"/>
  <c r="AP47" i="127"/>
  <c r="AQ47" i="127" s="1"/>
  <c r="AP48" i="127"/>
  <c r="AN48" i="127"/>
  <c r="AO48" i="127" s="1"/>
  <c r="E15" i="103"/>
  <c r="D42" i="45" s="1"/>
  <c r="B51" i="127" l="1"/>
  <c r="AM51" i="127" s="1"/>
  <c r="AP49" i="127"/>
  <c r="AQ49" i="127" s="1"/>
  <c r="E71" i="101" a="1"/>
  <c r="E45" i="119" a="1"/>
  <c r="E27" i="113" a="1"/>
  <c r="E21" i="100" a="1"/>
  <c r="E21" i="45" l="1"/>
  <c r="E231" i="45"/>
  <c r="E167" i="45"/>
  <c r="E203" i="45"/>
  <c r="B52" i="127"/>
  <c r="AM52" i="127" s="1"/>
  <c r="AN51" i="127"/>
  <c r="AO51" i="127" s="1"/>
  <c r="AP51" i="127"/>
  <c r="AQ51" i="127" s="1"/>
  <c r="E21" i="100"/>
  <c r="D21" i="45" s="1"/>
  <c r="E71" i="101"/>
  <c r="D231" i="45" s="1"/>
  <c r="E27" i="113"/>
  <c r="D167" i="45" s="1"/>
  <c r="E45" i="119"/>
  <c r="D203" i="45" s="1"/>
  <c r="AP52" i="127" l="1"/>
  <c r="AN52" i="127"/>
  <c r="AO52" i="127" s="1"/>
  <c r="E51" i="119" a="1"/>
  <c r="E24" i="100" a="1"/>
  <c r="E77" i="101" a="1"/>
  <c r="E48" i="119" a="1"/>
  <c r="E27" i="100" a="1"/>
  <c r="E30" i="113" a="1"/>
  <c r="E74" i="101" a="1"/>
  <c r="E204" i="45" l="1"/>
  <c r="E22" i="45"/>
  <c r="E205" i="45"/>
  <c r="E233" i="45"/>
  <c r="E232" i="45"/>
  <c r="E23" i="45"/>
  <c r="E168" i="45"/>
  <c r="B55" i="127"/>
  <c r="AM55" i="127" s="1"/>
  <c r="AN55" i="127" s="1"/>
  <c r="AO55" i="127" s="1"/>
  <c r="B53" i="127"/>
  <c r="AM53" i="127" s="1"/>
  <c r="AN53" i="127" s="1"/>
  <c r="AO53" i="127" s="1"/>
  <c r="E33" i="113" a="1"/>
  <c r="E80" i="101" a="1"/>
  <c r="E54" i="119" a="1"/>
  <c r="E48" i="119"/>
  <c r="D204" i="45" s="1"/>
  <c r="E51" i="119"/>
  <c r="D205" i="45" s="1"/>
  <c r="E30" i="113"/>
  <c r="D168" i="45" s="1"/>
  <c r="E27" i="100"/>
  <c r="D23" i="45" s="1"/>
  <c r="E57" i="119" a="1"/>
  <c r="E24" i="100"/>
  <c r="D22" i="45" s="1"/>
  <c r="E74" i="101"/>
  <c r="D232" i="45" s="1"/>
  <c r="E33" i="100" a="1"/>
  <c r="E36" i="113" a="1"/>
  <c r="E77" i="101"/>
  <c r="D233" i="45" s="1"/>
  <c r="E30" i="100" a="1"/>
  <c r="E39" i="113" a="1"/>
  <c r="E83" i="101" a="1"/>
  <c r="E169" i="45" l="1"/>
  <c r="E207" i="45"/>
  <c r="E171" i="45"/>
  <c r="E24" i="45"/>
  <c r="E170" i="45"/>
  <c r="E25" i="45"/>
  <c r="E206" i="45"/>
  <c r="E235" i="45"/>
  <c r="E234" i="45"/>
  <c r="B56" i="127"/>
  <c r="AM56" i="127" s="1"/>
  <c r="AN56" i="127" s="1"/>
  <c r="AO56" i="127" s="1"/>
  <c r="B54" i="127"/>
  <c r="AM54" i="127" s="1"/>
  <c r="AP54" i="127" s="1"/>
  <c r="AP55" i="127"/>
  <c r="AP53" i="127"/>
  <c r="E33" i="113"/>
  <c r="D169" i="45" s="1"/>
  <c r="E80" i="101"/>
  <c r="D234" i="45" s="1"/>
  <c r="E36" i="113"/>
  <c r="D170" i="45" s="1"/>
  <c r="E54" i="119"/>
  <c r="D206" i="45" s="1"/>
  <c r="E57" i="119"/>
  <c r="D207" i="45" s="1"/>
  <c r="E83" i="101"/>
  <c r="D235" i="45" s="1"/>
  <c r="E39" i="113"/>
  <c r="D171" i="45" s="1"/>
  <c r="E33" i="100"/>
  <c r="D25" i="45" s="1"/>
  <c r="E30" i="100"/>
  <c r="D24" i="45" s="1"/>
  <c r="AN54" i="127" l="1"/>
  <c r="AO54" i="127" s="1"/>
  <c r="B57" i="127"/>
  <c r="AM57" i="127" s="1"/>
  <c r="AN57" i="127" s="1"/>
  <c r="AO57" i="127" s="1"/>
  <c r="AP56" i="127"/>
  <c r="E18" i="102" a="1"/>
  <c r="E18" i="120" a="1"/>
  <c r="E60" i="119" a="1"/>
  <c r="E208" i="45" l="1"/>
  <c r="E32" i="45"/>
  <c r="E242" i="45"/>
  <c r="AP57" i="127"/>
  <c r="B58" i="127"/>
  <c r="AM58" i="127" s="1"/>
  <c r="AN58" i="127" s="1"/>
  <c r="AO58" i="127" s="1"/>
  <c r="E60" i="119"/>
  <c r="D208" i="45" s="1"/>
  <c r="E18" i="120"/>
  <c r="D242" i="45" s="1"/>
  <c r="E18" i="102"/>
  <c r="D32" i="45" s="1"/>
  <c r="AP58" i="127" l="1"/>
  <c r="AQ58" i="127" s="1"/>
  <c r="B59" i="127"/>
  <c r="AM59" i="127" s="1"/>
  <c r="AN59" i="127" s="1"/>
  <c r="AO59" i="127" s="1"/>
  <c r="AP59" i="127" l="1"/>
  <c r="AQ59" i="127" s="1"/>
  <c r="B60" i="127"/>
  <c r="AM60" i="127" s="1"/>
  <c r="AN60" i="127" s="1"/>
  <c r="AO60" i="127" s="1"/>
  <c r="B61" i="127" l="1"/>
  <c r="AM61" i="127" s="1"/>
  <c r="AP61" i="127" s="1"/>
  <c r="AQ61" i="127" s="1"/>
  <c r="AP60" i="127"/>
  <c r="AN61" i="127" l="1"/>
  <c r="AO61" i="127" s="1"/>
  <c r="B63" i="127"/>
  <c r="AM63" i="127" s="1"/>
  <c r="AP63" i="127" s="1"/>
  <c r="AQ63" i="127" s="1"/>
  <c r="AN63" i="127" l="1"/>
  <c r="AO63" i="127" s="1"/>
  <c r="B64" i="127"/>
  <c r="AM64" i="127" s="1"/>
  <c r="AN64" i="127" s="1"/>
  <c r="AO64" i="127" s="1"/>
  <c r="AP64" i="127" l="1"/>
  <c r="B65" i="127"/>
  <c r="AM65" i="127" s="1"/>
  <c r="AP65" i="127" s="1"/>
  <c r="B66" i="127" l="1"/>
  <c r="AM66" i="127" s="1"/>
  <c r="AP66" i="127" s="1"/>
  <c r="AN65" i="127"/>
  <c r="AO65" i="127" s="1"/>
  <c r="B67" i="127" l="1"/>
  <c r="AM67" i="127" s="1"/>
  <c r="AP67" i="127" s="1"/>
  <c r="AQ67" i="127" s="1"/>
  <c r="AN66" i="127"/>
  <c r="AO66" i="127" s="1"/>
  <c r="AN67" i="127" l="1"/>
  <c r="AO67" i="127" s="1"/>
  <c r="B68" i="127"/>
  <c r="AM68" i="127" s="1"/>
  <c r="AN68" i="127" s="1"/>
  <c r="AO68" i="127" s="1"/>
  <c r="B69" i="127" l="1"/>
  <c r="AM69" i="127" s="1"/>
  <c r="AN69" i="127" s="1"/>
  <c r="AO69" i="127" s="1"/>
  <c r="AP68" i="127"/>
  <c r="AQ68" i="127" s="1"/>
  <c r="AP69" i="127" l="1"/>
  <c r="B70" i="127"/>
  <c r="AM70" i="127" s="1"/>
  <c r="AP70" i="127" s="1"/>
  <c r="AQ70" i="127" s="1"/>
  <c r="B72" i="127" l="1"/>
  <c r="AM72" i="127" s="1"/>
  <c r="AN72" i="127" s="1"/>
  <c r="AO72" i="127" s="1"/>
  <c r="AN70" i="127"/>
  <c r="AO70" i="127" s="1"/>
  <c r="B73" i="127" l="1"/>
  <c r="AM73" i="127" s="1"/>
  <c r="AP73" i="127" s="1"/>
  <c r="AP72" i="127"/>
  <c r="AQ72" i="127" s="1"/>
  <c r="AN73" i="127" l="1"/>
  <c r="AO73" i="127" s="1"/>
  <c r="B74" i="127"/>
  <c r="AM74" i="127" s="1"/>
  <c r="AP74" i="127" s="1"/>
  <c r="AQ74" i="127" s="1"/>
  <c r="B75" i="127" l="1"/>
  <c r="AM75" i="127" s="1"/>
  <c r="AP75" i="127" s="1"/>
  <c r="AN74" i="127"/>
  <c r="AO74" i="127" s="1"/>
  <c r="AN75" i="127" l="1"/>
  <c r="AO75" i="127" s="1"/>
  <c r="B76" i="127"/>
  <c r="AM76" i="127" s="1"/>
  <c r="AN76" i="127" s="1"/>
  <c r="AO76" i="127" s="1"/>
  <c r="B77" i="127" l="1"/>
  <c r="AM77" i="127" s="1"/>
  <c r="AP77" i="127" s="1"/>
  <c r="AP76" i="127"/>
  <c r="AQ76" i="127" s="1"/>
  <c r="B78" i="127" l="1"/>
  <c r="AM78" i="127" s="1"/>
  <c r="AP78" i="127" s="1"/>
  <c r="AQ78" i="127" s="1"/>
  <c r="AN77" i="127"/>
  <c r="AO77" i="127" s="1"/>
  <c r="AN78" i="127" l="1"/>
  <c r="AO78" i="127" s="1"/>
  <c r="B80" i="127"/>
  <c r="AM80" i="127" s="1"/>
  <c r="AN80" i="127" s="1"/>
  <c r="AO80" i="127" s="1"/>
  <c r="B81" i="127" l="1"/>
  <c r="AM81" i="127" s="1"/>
  <c r="AN81" i="127" s="1"/>
  <c r="AO81" i="127" s="1"/>
  <c r="AP80" i="127"/>
  <c r="AP81" i="127" l="1"/>
  <c r="AQ81" i="127" s="1"/>
  <c r="B82" i="127"/>
  <c r="AM82" i="127" s="1"/>
  <c r="AP82" i="127" s="1"/>
  <c r="AN82" i="127" l="1"/>
  <c r="AO82" i="127" s="1"/>
  <c r="B83" i="127"/>
  <c r="AM83" i="127" s="1"/>
  <c r="AP83" i="127" s="1"/>
  <c r="AQ83" i="127" s="1"/>
  <c r="B84" i="127" l="1"/>
  <c r="AM84" i="127" s="1"/>
  <c r="AN83" i="127"/>
  <c r="AO83" i="127" s="1"/>
  <c r="B85" i="127" l="1"/>
  <c r="AM85" i="127" s="1"/>
  <c r="AN85" i="127" s="1"/>
  <c r="AO85" i="127" s="1"/>
  <c r="AP84" i="127"/>
  <c r="AN84" i="127"/>
  <c r="AO84" i="127" s="1"/>
  <c r="AP85" i="127" l="1"/>
  <c r="AQ85" i="127" s="1"/>
  <c r="B87" i="127"/>
  <c r="AM87" i="127" s="1"/>
  <c r="AP87" i="127" s="1"/>
  <c r="AN87" i="127" l="1"/>
  <c r="AO87" i="127" s="1"/>
  <c r="B88" i="127"/>
  <c r="AM88" i="127" s="1"/>
  <c r="AP88" i="127" s="1"/>
  <c r="AQ88" i="127" s="1"/>
  <c r="AN88" i="127" l="1"/>
  <c r="AO88" i="127" s="1"/>
  <c r="B89" i="127"/>
  <c r="AM89" i="127" s="1"/>
  <c r="AN89" i="127" s="1"/>
  <c r="AO89" i="127" s="1"/>
  <c r="B92" i="127" l="1"/>
  <c r="AM92" i="127" s="1"/>
  <c r="AN92" i="127" s="1"/>
  <c r="AO92" i="127" s="1"/>
  <c r="AP89" i="127"/>
  <c r="B93" i="127" l="1"/>
  <c r="AM93" i="127" s="1"/>
  <c r="AP93" i="127" s="1"/>
  <c r="AQ93" i="127" s="1"/>
  <c r="AP92" i="127"/>
  <c r="AQ92" i="127" l="1"/>
  <c r="AN93" i="127"/>
  <c r="AO93" i="127" s="1"/>
  <c r="B94" i="127"/>
  <c r="AM94" i="127" s="1"/>
  <c r="AP94" i="127" s="1"/>
  <c r="AQ94" i="127" s="1"/>
  <c r="AN94" i="127" l="1"/>
  <c r="AO94" i="127" s="1"/>
  <c r="B95" i="127"/>
  <c r="AM95" i="127" s="1"/>
  <c r="AN95" i="127" s="1"/>
  <c r="AO95" i="127" s="1"/>
  <c r="AP95" i="127" l="1"/>
  <c r="B96" i="127"/>
  <c r="AM96" i="127" s="1"/>
  <c r="AP96" i="127" s="1"/>
  <c r="AQ96" i="127" s="1"/>
  <c r="AQ95" i="127" l="1"/>
  <c r="B97" i="127"/>
  <c r="AM97" i="127" s="1"/>
  <c r="AN97" i="127" s="1"/>
  <c r="AO97" i="127" s="1"/>
  <c r="AN96" i="127"/>
  <c r="AO96" i="127" s="1"/>
  <c r="AP97" i="127" l="1"/>
  <c r="B98" i="127"/>
  <c r="AM98" i="127" s="1"/>
  <c r="AP98" i="127" s="1"/>
  <c r="AQ98" i="127" s="1"/>
  <c r="AQ97" i="127" l="1"/>
  <c r="AN98" i="127"/>
  <c r="AO98" i="127" s="1"/>
  <c r="B99" i="127"/>
  <c r="AM99" i="127" s="1"/>
  <c r="AP99" i="127" s="1"/>
  <c r="AQ99" i="127" s="1"/>
  <c r="AP91" i="127" l="1"/>
  <c r="AQ91" i="127"/>
  <c r="B101" i="127"/>
  <c r="AM101" i="127" s="1"/>
  <c r="AN101" i="127" s="1"/>
  <c r="AO101" i="127" s="1"/>
  <c r="AN99" i="127"/>
  <c r="AO99" i="127" s="1"/>
  <c r="AO91" i="127" s="1"/>
  <c r="B102" i="127" l="1"/>
  <c r="AM102" i="127" s="1"/>
  <c r="AN102" i="127" s="1"/>
  <c r="AO102" i="127" s="1"/>
  <c r="AP101" i="127"/>
  <c r="AQ101" i="127" l="1"/>
  <c r="AP102" i="127"/>
  <c r="AQ102" i="127" s="1"/>
  <c r="B103" i="127"/>
  <c r="AM103" i="127" s="1"/>
  <c r="AN103" i="127" s="1"/>
  <c r="AO103" i="127" s="1"/>
  <c r="E48" i="113" a="1"/>
  <c r="E15" i="121" a="1"/>
  <c r="E30" i="120" a="1"/>
  <c r="E15" i="104" a="1"/>
  <c r="E21" i="103" a="1"/>
  <c r="E51" i="113" a="1"/>
  <c r="E72" i="119" a="1"/>
  <c r="E18" i="103" a="1"/>
  <c r="E54" i="113" a="1"/>
  <c r="E21" i="102" a="1"/>
  <c r="E24" i="120" a="1"/>
  <c r="E66" i="113" a="1"/>
  <c r="E42" i="113" a="1"/>
  <c r="E24" i="102" a="1"/>
  <c r="E69" i="119" a="1"/>
  <c r="E72" i="113" a="1"/>
  <c r="E75" i="119" a="1"/>
  <c r="E45" i="113" a="1"/>
  <c r="E12" i="121" a="1"/>
  <c r="E75" i="113" a="1"/>
  <c r="E6" i="121" a="1"/>
  <c r="E78" i="113" a="1"/>
  <c r="E66" i="119" a="1"/>
  <c r="E24" i="104" a="1"/>
  <c r="E12" i="104" a="1"/>
  <c r="E63" i="119" a="1"/>
  <c r="E27" i="102" a="1"/>
  <c r="E6" i="115" a="1"/>
  <c r="E30" i="102" a="1"/>
  <c r="E18" i="121" a="1"/>
  <c r="E27" i="103" a="1"/>
  <c r="E18" i="104" a="1"/>
  <c r="E60" i="113" a="1"/>
  <c r="E21" i="120" a="1"/>
  <c r="E27" i="120" a="1"/>
  <c r="E9" i="115" a="1"/>
  <c r="E69" i="113" a="1"/>
  <c r="E9" i="121" a="1"/>
  <c r="E57" i="113" a="1"/>
  <c r="E9" i="104" a="1"/>
  <c r="E63" i="113" a="1"/>
  <c r="E30" i="103" a="1"/>
  <c r="E12" i="115" a="1"/>
  <c r="E24" i="103" a="1"/>
  <c r="E6" i="104" a="1"/>
  <c r="E24" i="121" a="1"/>
  <c r="E78" i="119" a="1"/>
  <c r="E179" i="45" l="1"/>
  <c r="E178" i="45"/>
  <c r="E50" i="45"/>
  <c r="E213" i="45"/>
  <c r="E176" i="45"/>
  <c r="E174" i="45"/>
  <c r="E49" i="45"/>
  <c r="E52" i="45"/>
  <c r="E54" i="45"/>
  <c r="E182" i="45"/>
  <c r="E43" i="45"/>
  <c r="E214" i="45"/>
  <c r="E177" i="45"/>
  <c r="E46" i="45"/>
  <c r="E210" i="45"/>
  <c r="E211" i="45"/>
  <c r="E212" i="45"/>
  <c r="E250" i="45"/>
  <c r="E253" i="45"/>
  <c r="E184" i="45"/>
  <c r="E34" i="45"/>
  <c r="E175" i="45"/>
  <c r="E255" i="45"/>
  <c r="E48" i="45"/>
  <c r="E181" i="45"/>
  <c r="E36" i="45"/>
  <c r="E249" i="45"/>
  <c r="E172" i="45"/>
  <c r="E44" i="45"/>
  <c r="E289" i="45"/>
  <c r="E288" i="45"/>
  <c r="E183" i="45"/>
  <c r="E180" i="45"/>
  <c r="E51" i="45"/>
  <c r="E290" i="45"/>
  <c r="E245" i="45"/>
  <c r="E35" i="45"/>
  <c r="E251" i="45"/>
  <c r="E244" i="45"/>
  <c r="E246" i="45"/>
  <c r="E45" i="45"/>
  <c r="E47" i="45"/>
  <c r="E243" i="45"/>
  <c r="E209" i="45"/>
  <c r="E173" i="45"/>
  <c r="E33" i="45"/>
  <c r="E252" i="45"/>
  <c r="B104" i="127"/>
  <c r="AM104" i="127" s="1"/>
  <c r="AP104" i="127" s="1"/>
  <c r="AQ104" i="127" s="1"/>
  <c r="AP103" i="127"/>
  <c r="AQ103" i="127" s="1"/>
  <c r="E21" i="120"/>
  <c r="D243" i="45" s="1"/>
  <c r="E18" i="104"/>
  <c r="D52" i="45" s="1"/>
  <c r="E66" i="119"/>
  <c r="D210" i="45" s="1"/>
  <c r="E6" i="121"/>
  <c r="D249" i="45" s="1"/>
  <c r="E72" i="113"/>
  <c r="D182" i="45" s="1"/>
  <c r="E24" i="120"/>
  <c r="D244" i="45" s="1"/>
  <c r="E78" i="119"/>
  <c r="D214" i="45" s="1"/>
  <c r="E9" i="121"/>
  <c r="D250" i="45" s="1"/>
  <c r="E27" i="103"/>
  <c r="D46" i="45" s="1"/>
  <c r="E12" i="104"/>
  <c r="D50" i="45" s="1"/>
  <c r="E75" i="113"/>
  <c r="D183" i="45" s="1"/>
  <c r="E69" i="119"/>
  <c r="D211" i="45" s="1"/>
  <c r="E72" i="119"/>
  <c r="D212" i="45" s="1"/>
  <c r="E6" i="104"/>
  <c r="D48" i="45" s="1"/>
  <c r="E18" i="121"/>
  <c r="D253" i="45" s="1"/>
  <c r="E6" i="115"/>
  <c r="D288" i="45" s="1"/>
  <c r="E78" i="113"/>
  <c r="D184" i="45" s="1"/>
  <c r="E45" i="113"/>
  <c r="D173" i="45" s="1"/>
  <c r="E54" i="113"/>
  <c r="D176" i="45" s="1"/>
  <c r="E24" i="103"/>
  <c r="D45" i="45" s="1"/>
  <c r="E30" i="103"/>
  <c r="D47" i="45" s="1"/>
  <c r="E69" i="113"/>
  <c r="D181" i="45" s="1"/>
  <c r="E9" i="115"/>
  <c r="D289" i="45" s="1"/>
  <c r="E24" i="104"/>
  <c r="D54" i="45" s="1"/>
  <c r="E24" i="121"/>
  <c r="D255" i="45" s="1"/>
  <c r="E12" i="115"/>
  <c r="D290" i="45" s="1"/>
  <c r="E63" i="113"/>
  <c r="D179" i="45" s="1"/>
  <c r="E30" i="102"/>
  <c r="D36" i="45" s="1"/>
  <c r="E63" i="119"/>
  <c r="D209" i="45" s="1"/>
  <c r="E75" i="119"/>
  <c r="D213" i="45" s="1"/>
  <c r="E24" i="102"/>
  <c r="D34" i="45" s="1"/>
  <c r="E18" i="103"/>
  <c r="D43" i="45" s="1"/>
  <c r="E15" i="104"/>
  <c r="D51" i="45" s="1"/>
  <c r="E27" i="102"/>
  <c r="D35" i="45" s="1"/>
  <c r="E12" i="121"/>
  <c r="D251" i="45" s="1"/>
  <c r="E66" i="113"/>
  <c r="D180" i="45" s="1"/>
  <c r="E21" i="102"/>
  <c r="D33" i="45" s="1"/>
  <c r="E9" i="104"/>
  <c r="D49" i="45" s="1"/>
  <c r="E57" i="113"/>
  <c r="D177" i="45" s="1"/>
  <c r="E27" i="120"/>
  <c r="D245" i="45" s="1"/>
  <c r="E60" i="113"/>
  <c r="D178" i="45" s="1"/>
  <c r="E42" i="113"/>
  <c r="D172" i="45" s="1"/>
  <c r="E51" i="113"/>
  <c r="D175" i="45" s="1"/>
  <c r="E48" i="113"/>
  <c r="D174" i="45" s="1"/>
  <c r="E21" i="103"/>
  <c r="D44" i="45" s="1"/>
  <c r="E30" i="120"/>
  <c r="D246" i="45" s="1"/>
  <c r="E15" i="121"/>
  <c r="D252" i="45" s="1"/>
  <c r="AN104" i="127" l="1"/>
  <c r="AO104" i="127" s="1"/>
  <c r="B105" i="127"/>
  <c r="AM105" i="127" s="1"/>
  <c r="B107" i="127"/>
  <c r="AM107" i="127" s="1"/>
  <c r="AP107" i="127" l="1"/>
  <c r="AN107" i="127"/>
  <c r="AO107" i="127" s="1"/>
  <c r="AP105" i="127"/>
  <c r="AN105" i="127"/>
  <c r="AO105" i="127" s="1"/>
  <c r="AO100" i="127" s="1"/>
  <c r="AQ105" i="127" l="1"/>
  <c r="AQ100" i="127" s="1"/>
  <c r="AP100" i="127"/>
  <c r="AQ107" i="127"/>
  <c r="B108" i="127"/>
  <c r="AM108" i="127" s="1"/>
  <c r="B109" i="127"/>
  <c r="AM109" i="127" s="1"/>
  <c r="AP109" i="127" l="1"/>
  <c r="AQ109" i="127" s="1"/>
  <c r="AN109" i="127"/>
  <c r="AO109" i="127" s="1"/>
  <c r="AP108" i="127"/>
  <c r="AN108" i="127"/>
  <c r="AO108" i="127" s="1"/>
  <c r="AO106" i="127" l="1"/>
  <c r="AQ108" i="127"/>
  <c r="AQ106" i="127" s="1"/>
  <c r="AP106" i="127"/>
  <c r="B113" i="127"/>
  <c r="AM113" i="127" s="1"/>
  <c r="E81" i="119" a="1"/>
  <c r="B114" i="127"/>
  <c r="AM114" i="127" s="1"/>
  <c r="E6" i="105" a="1"/>
  <c r="E6" i="122" a="1"/>
  <c r="E9" i="122" a="1"/>
  <c r="E9" i="105" a="1"/>
  <c r="E260" i="45" l="1"/>
  <c r="E59" i="45"/>
  <c r="E215" i="45"/>
  <c r="E259" i="45"/>
  <c r="E58" i="45"/>
  <c r="AP114" i="127"/>
  <c r="AQ114" i="127" s="1"/>
  <c r="AN114" i="127"/>
  <c r="AO114" i="127" s="1"/>
  <c r="E81" i="119"/>
  <c r="D215" i="45" s="1"/>
  <c r="AP113" i="127"/>
  <c r="AN113" i="127"/>
  <c r="AO113" i="127" s="1"/>
  <c r="E9" i="122"/>
  <c r="D260" i="45" s="1"/>
  <c r="E6" i="122"/>
  <c r="D259" i="45" s="1"/>
  <c r="E9" i="105"/>
  <c r="D59" i="45" s="1"/>
  <c r="E6" i="105"/>
  <c r="D58" i="45" s="1"/>
  <c r="AQ113" i="127" l="1"/>
  <c r="B115" i="127"/>
  <c r="AM115" i="127" s="1"/>
  <c r="E84" i="119" a="1"/>
  <c r="B116" i="127"/>
  <c r="AM116" i="127" s="1"/>
  <c r="E12" i="105" a="1"/>
  <c r="E12" i="122" a="1"/>
  <c r="E15" i="122" a="1"/>
  <c r="E15" i="105" a="1"/>
  <c r="E261" i="45" l="1"/>
  <c r="E262" i="45"/>
  <c r="E61" i="45"/>
  <c r="E216" i="45"/>
  <c r="E60" i="45"/>
  <c r="AP116" i="127"/>
  <c r="AQ116" i="127" s="1"/>
  <c r="AN116" i="127"/>
  <c r="AO116" i="127" s="1"/>
  <c r="E84" i="119"/>
  <c r="D216" i="45" s="1"/>
  <c r="AP115" i="127"/>
  <c r="AN115" i="127"/>
  <c r="AO115" i="127" s="1"/>
  <c r="E12" i="122"/>
  <c r="D261" i="45" s="1"/>
  <c r="E15" i="105"/>
  <c r="D61" i="45" s="1"/>
  <c r="E15" i="122"/>
  <c r="D262" i="45" s="1"/>
  <c r="E12" i="105"/>
  <c r="D60" i="45" s="1"/>
  <c r="AQ115" i="127" l="1"/>
  <c r="B117" i="127"/>
  <c r="AM117" i="127" s="1"/>
  <c r="E87" i="119" a="1"/>
  <c r="E90" i="119" a="1"/>
  <c r="B118" i="127"/>
  <c r="AM118" i="127" s="1"/>
  <c r="E18" i="105" a="1"/>
  <c r="E18" i="122" a="1"/>
  <c r="E51" i="80" a="1"/>
  <c r="E21" i="122" a="1"/>
  <c r="E21" i="105" a="1"/>
  <c r="E54" i="80" a="1"/>
  <c r="E62" i="45" l="1"/>
  <c r="E63" i="45"/>
  <c r="E15" i="45"/>
  <c r="E218" i="45"/>
  <c r="E217" i="45"/>
  <c r="E264" i="45"/>
  <c r="E14" i="45"/>
  <c r="E263" i="45"/>
  <c r="AP118" i="127"/>
  <c r="AQ118" i="127" s="1"/>
  <c r="AN118" i="127"/>
  <c r="AO118" i="127" s="1"/>
  <c r="E90" i="119"/>
  <c r="D218" i="45" s="1"/>
  <c r="E87" i="119"/>
  <c r="D217" i="45" s="1"/>
  <c r="AP117" i="127"/>
  <c r="AN117" i="127"/>
  <c r="AO117" i="127" s="1"/>
  <c r="E18" i="105"/>
  <c r="D62" i="45" s="1"/>
  <c r="E21" i="105"/>
  <c r="D63" i="45" s="1"/>
  <c r="E51" i="80"/>
  <c r="D14" i="45" s="1"/>
  <c r="E18" i="122"/>
  <c r="D263" i="45" s="1"/>
  <c r="E54" i="80"/>
  <c r="D15" i="45" s="1"/>
  <c r="B119" i="127"/>
  <c r="AM119" i="127" s="1"/>
  <c r="E21" i="122"/>
  <c r="D264" i="45" s="1"/>
  <c r="AQ117" i="127" l="1"/>
  <c r="AP119" i="127"/>
  <c r="AQ119" i="127" s="1"/>
  <c r="AN119" i="127"/>
  <c r="AO119" i="127" s="1"/>
  <c r="B120" i="127" l="1"/>
  <c r="AM120" i="127" s="1"/>
  <c r="AP120" i="127" l="1"/>
  <c r="AN120" i="127"/>
  <c r="AO120" i="127" s="1"/>
  <c r="AO112" i="127" s="1"/>
  <c r="B121" i="127"/>
  <c r="AM121" i="127" s="1"/>
  <c r="AQ120" i="127" l="1"/>
  <c r="AQ112" i="127" s="1"/>
  <c r="AP112" i="127"/>
  <c r="AP121" i="127"/>
  <c r="AQ121" i="127" s="1"/>
  <c r="AN121" i="127"/>
  <c r="AO121" i="127" s="1"/>
  <c r="B122" i="127"/>
  <c r="AM122" i="127" s="1"/>
  <c r="AP122" i="127" l="1"/>
  <c r="AQ122" i="127" s="1"/>
  <c r="AN122" i="127"/>
  <c r="AO122" i="127" s="1"/>
  <c r="B123" i="127"/>
  <c r="AM123" i="127" s="1"/>
  <c r="E15" i="115" a="1"/>
  <c r="E36" i="115" a="1"/>
  <c r="E6" i="101" a="1"/>
  <c r="E6" i="101" s="1"/>
  <c r="D220" i="45" s="1"/>
  <c r="E48" i="115" a="1"/>
  <c r="E30" i="115" a="1"/>
  <c r="E24" i="115" a="1"/>
  <c r="E57" i="115" a="1"/>
  <c r="E51" i="115" a="1"/>
  <c r="E27" i="115" a="1"/>
  <c r="E42" i="115" a="1"/>
  <c r="E18" i="115" a="1"/>
  <c r="E33" i="115" a="1"/>
  <c r="E21" i="115" a="1"/>
  <c r="E39" i="115" a="1"/>
  <c r="E63" i="115" a="1"/>
  <c r="E60" i="115" a="1"/>
  <c r="E54" i="115" a="1"/>
  <c r="E45" i="115" a="1"/>
  <c r="E9" i="101" a="1"/>
  <c r="E9" i="101" s="1"/>
  <c r="D221" i="45" s="1"/>
  <c r="E20" i="101" a="1"/>
  <c r="E20" i="101" s="1"/>
  <c r="D222" i="45" s="1"/>
  <c r="E33" i="101" a="1"/>
  <c r="E33" i="101" s="1"/>
  <c r="D224" i="45" s="1"/>
  <c r="E36" i="101" a="1"/>
  <c r="E36" i="101" s="1"/>
  <c r="D225" i="45" s="1"/>
  <c r="E23" i="101" a="1"/>
  <c r="E23" i="101" s="1"/>
  <c r="D223" i="45" s="1"/>
  <c r="E93" i="119" a="1"/>
  <c r="E27" i="121" a="1"/>
  <c r="E6" i="108" a="1"/>
  <c r="E93" i="101" a="1"/>
  <c r="E36" i="110" a="1"/>
  <c r="E12" i="111" a="1"/>
  <c r="E30" i="104" a="1"/>
  <c r="E21" i="106" a="1"/>
  <c r="E24" i="105" a="1"/>
  <c r="E33" i="120" a="1"/>
  <c r="E12" i="110" a="1"/>
  <c r="E16" i="107" a="1"/>
  <c r="E21" i="108" a="1"/>
  <c r="E9" i="111" a="1"/>
  <c r="E21" i="111" a="1"/>
  <c r="E21" i="121" a="1"/>
  <c r="E12" i="109" a="1"/>
  <c r="E22" i="124" a="1"/>
  <c r="E57" i="124" a="1"/>
  <c r="E39" i="105" a="1"/>
  <c r="E36" i="122" a="1"/>
  <c r="E51" i="110" a="1"/>
  <c r="E51" i="108" a="1"/>
  <c r="E33" i="121" a="1"/>
  <c r="E42" i="105" a="1"/>
  <c r="E25" i="124" a="1"/>
  <c r="E21" i="110" a="1"/>
  <c r="E36" i="102" a="1"/>
  <c r="E57" i="107" a="1"/>
  <c r="E84" i="113" a="1"/>
  <c r="E89" i="101" a="1"/>
  <c r="E61" i="124" a="1"/>
  <c r="E51" i="109" a="1"/>
  <c r="E61" i="107" a="1"/>
  <c r="E19" i="107" a="1"/>
  <c r="E45" i="109" a="1"/>
  <c r="E33" i="105" a="1"/>
  <c r="E9" i="124" a="1"/>
  <c r="E15" i="112" a="1"/>
  <c r="E48" i="109" a="1"/>
  <c r="E33" i="122" a="1"/>
  <c r="E48" i="124" a="1"/>
  <c r="E15" i="106" a="1"/>
  <c r="E42" i="109" a="1"/>
  <c r="E48" i="107" a="1"/>
  <c r="E28" i="107" a="1"/>
  <c r="E27" i="104" a="1"/>
  <c r="E28" i="124" a="1"/>
  <c r="E54" i="124" a="1"/>
  <c r="E9" i="112" a="1"/>
  <c r="E45" i="108" a="1"/>
  <c r="E39" i="100" a="1"/>
  <c r="E36" i="120" a="1"/>
  <c r="E6" i="106" a="1"/>
  <c r="E21" i="112" a="1"/>
  <c r="E24" i="109" a="1"/>
  <c r="E30" i="121" a="1"/>
  <c r="E39" i="108" a="1"/>
  <c r="E33" i="106" a="1"/>
  <c r="E6" i="107" a="1"/>
  <c r="E40" i="107" a="1"/>
  <c r="E30" i="108" a="1"/>
  <c r="E51" i="124" a="1"/>
  <c r="E81" i="113" a="1"/>
  <c r="E31" i="107" a="1"/>
  <c r="E37" i="124" a="1"/>
  <c r="E45" i="107" a="1"/>
  <c r="E27" i="112" a="1"/>
  <c r="E42" i="122" a="1"/>
  <c r="E42" i="108" a="1"/>
  <c r="E33" i="108" a="1"/>
  <c r="E6" i="110" a="1"/>
  <c r="E6" i="109" a="1"/>
  <c r="E36" i="100" a="1"/>
  <c r="E9" i="109" a="1"/>
  <c r="E22" i="107" a="1"/>
  <c r="E33" i="110" a="1"/>
  <c r="E24" i="108" a="1"/>
  <c r="E48" i="108" a="1"/>
  <c r="E21" i="104" a="1"/>
  <c r="E15" i="110" a="1"/>
  <c r="E12" i="106" a="1"/>
  <c r="E18" i="110" a="1"/>
  <c r="E27" i="105" a="1"/>
  <c r="E18" i="112" a="1"/>
  <c r="E30" i="105" a="1"/>
  <c r="E24" i="111" a="1"/>
  <c r="E15" i="111" a="1"/>
  <c r="E30" i="110" a="1"/>
  <c r="E18" i="106" a="1"/>
  <c r="E45" i="124" a="1"/>
  <c r="E40" i="124" a="1"/>
  <c r="E39" i="109" a="1"/>
  <c r="E39" i="122" a="1"/>
  <c r="E30" i="106" a="1"/>
  <c r="E42" i="110" a="1"/>
  <c r="E48" i="110" a="1"/>
  <c r="E30" i="122" a="1"/>
  <c r="E37" i="107" a="1"/>
  <c r="E36" i="105" a="1"/>
  <c r="E90" i="113" a="1"/>
  <c r="E9" i="110" a="1"/>
  <c r="E39" i="110" a="1"/>
  <c r="E24" i="106" a="1"/>
  <c r="E6" i="111" a="1"/>
  <c r="E27" i="108" a="1"/>
  <c r="E45" i="110" a="1"/>
  <c r="E93" i="113" a="1"/>
  <c r="E15" i="109" a="1"/>
  <c r="E36" i="109" a="1"/>
  <c r="E9" i="107" a="1"/>
  <c r="E12" i="112" a="1"/>
  <c r="E19" i="124" a="1"/>
  <c r="E18" i="109" a="1"/>
  <c r="E27" i="110" a="1"/>
  <c r="E18" i="108" a="1"/>
  <c r="E36" i="108" a="1"/>
  <c r="E51" i="107" a="1"/>
  <c r="E9" i="108" a="1"/>
  <c r="E6" i="112" a="1"/>
  <c r="E31" i="124" a="1"/>
  <c r="E15" i="108" a="1"/>
  <c r="E54" i="107" a="1"/>
  <c r="E33" i="109" a="1"/>
  <c r="E24" i="112" a="1"/>
  <c r="E30" i="109" a="1"/>
  <c r="E27" i="122" a="1"/>
  <c r="E33" i="104" a="1"/>
  <c r="E25" i="107" a="1"/>
  <c r="E27" i="106" a="1"/>
  <c r="E9" i="106" a="1"/>
  <c r="E12" i="108" a="1"/>
  <c r="E87" i="113" a="1"/>
  <c r="E24" i="110" a="1"/>
  <c r="E21" i="109" a="1"/>
  <c r="E16" i="124" a="1"/>
  <c r="E24" i="122" a="1"/>
  <c r="E33" i="102" a="1"/>
  <c r="E18" i="111" a="1"/>
  <c r="E6" i="124" a="1"/>
  <c r="E27" i="109" a="1"/>
  <c r="E293" i="45" l="1"/>
  <c r="E296" i="45"/>
  <c r="E297" i="45"/>
  <c r="E302" i="45"/>
  <c r="E272" i="45"/>
  <c r="E122" i="45"/>
  <c r="E188" i="45"/>
  <c r="E156" i="45"/>
  <c r="E138" i="45"/>
  <c r="E90" i="45"/>
  <c r="E92" i="45"/>
  <c r="E67" i="45"/>
  <c r="E269" i="45"/>
  <c r="E139" i="45"/>
  <c r="E72" i="45"/>
  <c r="E189" i="45"/>
  <c r="E281" i="45"/>
  <c r="E159" i="45"/>
  <c r="E81" i="45"/>
  <c r="E125" i="45"/>
  <c r="E126" i="45"/>
  <c r="E69" i="45"/>
  <c r="E237" i="45"/>
  <c r="E78" i="45"/>
  <c r="E117" i="45"/>
  <c r="E89" i="45"/>
  <c r="E133" i="45"/>
  <c r="E80" i="45"/>
  <c r="E74" i="45"/>
  <c r="E134" i="45"/>
  <c r="E131" i="45"/>
  <c r="E265" i="45"/>
  <c r="E279" i="45"/>
  <c r="E275" i="45"/>
  <c r="E75" i="45"/>
  <c r="E73" i="45"/>
  <c r="E280" i="45"/>
  <c r="E153" i="45"/>
  <c r="E283" i="45"/>
  <c r="E277" i="45"/>
  <c r="E247" i="45"/>
  <c r="E274" i="45"/>
  <c r="E152" i="45"/>
  <c r="E145" i="45"/>
  <c r="E137" i="45"/>
  <c r="E113" i="45"/>
  <c r="E257" i="45"/>
  <c r="E268" i="45"/>
  <c r="E70" i="45"/>
  <c r="E64" i="45"/>
  <c r="E292" i="45"/>
  <c r="E118" i="45"/>
  <c r="E266" i="45"/>
  <c r="E98" i="45"/>
  <c r="E77" i="45"/>
  <c r="E141" i="45"/>
  <c r="E148" i="45"/>
  <c r="E53" i="45"/>
  <c r="E129" i="45"/>
  <c r="E185" i="45"/>
  <c r="E119" i="45"/>
  <c r="E278" i="45"/>
  <c r="E127" i="45"/>
  <c r="E287" i="45"/>
  <c r="E258" i="45"/>
  <c r="E254" i="45"/>
  <c r="E76" i="45"/>
  <c r="E301" i="45"/>
  <c r="E300" i="45"/>
  <c r="E298" i="45"/>
  <c r="E135" i="45"/>
  <c r="E121" i="45"/>
  <c r="E93" i="45"/>
  <c r="E82" i="45"/>
  <c r="E140" i="45"/>
  <c r="E79" i="45"/>
  <c r="E151" i="45"/>
  <c r="E111" i="45"/>
  <c r="E106" i="45"/>
  <c r="E284" i="45"/>
  <c r="E157" i="45"/>
  <c r="E55" i="45"/>
  <c r="E155" i="45"/>
  <c r="E236" i="45"/>
  <c r="E112" i="45"/>
  <c r="E150" i="45"/>
  <c r="E56" i="45"/>
  <c r="E304" i="45"/>
  <c r="E295" i="45"/>
  <c r="E291" i="45"/>
  <c r="E99" i="45"/>
  <c r="E101" i="45"/>
  <c r="E116" i="45"/>
  <c r="E124" i="45"/>
  <c r="E271" i="45"/>
  <c r="E248" i="45"/>
  <c r="E95" i="45"/>
  <c r="E102" i="45"/>
  <c r="E149" i="45"/>
  <c r="E94" i="45"/>
  <c r="E136" i="45"/>
  <c r="E68" i="45"/>
  <c r="E65" i="45"/>
  <c r="E85" i="45"/>
  <c r="E27" i="45"/>
  <c r="E38" i="45"/>
  <c r="E83" i="45"/>
  <c r="E37" i="45"/>
  <c r="E100" i="45"/>
  <c r="E142" i="45"/>
  <c r="E282" i="45"/>
  <c r="E114" i="45"/>
  <c r="E91" i="45"/>
  <c r="E110" i="45"/>
  <c r="E84" i="45"/>
  <c r="E286" i="45"/>
  <c r="E97" i="45"/>
  <c r="E86" i="45"/>
  <c r="E104" i="45"/>
  <c r="E267" i="45"/>
  <c r="E26" i="45"/>
  <c r="E108" i="45"/>
  <c r="E96" i="45"/>
  <c r="E276" i="45"/>
  <c r="E256" i="45"/>
  <c r="E57" i="45"/>
  <c r="E154" i="45"/>
  <c r="E143" i="45"/>
  <c r="E132" i="45"/>
  <c r="E88" i="45"/>
  <c r="E285" i="45"/>
  <c r="E128" i="45"/>
  <c r="E115" i="45"/>
  <c r="E120" i="45"/>
  <c r="E187" i="45"/>
  <c r="E158" i="45"/>
  <c r="E107" i="45"/>
  <c r="E123" i="45"/>
  <c r="E130" i="45"/>
  <c r="E270" i="45"/>
  <c r="E66" i="45"/>
  <c r="E103" i="45"/>
  <c r="E109" i="45"/>
  <c r="E105" i="45"/>
  <c r="E71" i="45"/>
  <c r="E87" i="45"/>
  <c r="E273" i="45"/>
  <c r="E186" i="45"/>
  <c r="E144" i="45"/>
  <c r="E146" i="45"/>
  <c r="E147" i="45"/>
  <c r="E219" i="45"/>
  <c r="E306" i="45"/>
  <c r="E303" i="45"/>
  <c r="E307" i="45"/>
  <c r="E305" i="45"/>
  <c r="E299" i="45"/>
  <c r="E294" i="45"/>
  <c r="E63" i="115"/>
  <c r="D307" i="45" s="1"/>
  <c r="E57" i="115"/>
  <c r="D305" i="45" s="1"/>
  <c r="E24" i="115"/>
  <c r="D294" i="45" s="1"/>
  <c r="E21" i="115"/>
  <c r="D293" i="45" s="1"/>
  <c r="E60" i="115"/>
  <c r="D306" i="45" s="1"/>
  <c r="E51" i="115"/>
  <c r="D303" i="45" s="1"/>
  <c r="E36" i="115"/>
  <c r="D298" i="45" s="1"/>
  <c r="E54" i="115"/>
  <c r="D304" i="45" s="1"/>
  <c r="E39" i="115"/>
  <c r="D299" i="45" s="1"/>
  <c r="E27" i="115"/>
  <c r="D295" i="45" s="1"/>
  <c r="E93" i="119"/>
  <c r="D219" i="45" s="1"/>
  <c r="E30" i="115"/>
  <c r="D296" i="45" s="1"/>
  <c r="E33" i="115"/>
  <c r="D297" i="45" s="1"/>
  <c r="E48" i="115"/>
  <c r="D302" i="45" s="1"/>
  <c r="E15" i="115"/>
  <c r="D291" i="45" s="1"/>
  <c r="AP123" i="127"/>
  <c r="AQ123" i="127" s="1"/>
  <c r="AN123" i="127"/>
  <c r="AO123" i="127" s="1"/>
  <c r="E18" i="115"/>
  <c r="D292" i="45" s="1"/>
  <c r="E45" i="115"/>
  <c r="D301" i="45" s="1"/>
  <c r="E42" i="115"/>
  <c r="D300" i="45" s="1"/>
  <c r="E27" i="121"/>
  <c r="D256" i="45" s="1"/>
  <c r="E30" i="121"/>
  <c r="D257" i="45" s="1"/>
  <c r="E33" i="121"/>
  <c r="D258" i="45" s="1"/>
  <c r="E21" i="121"/>
  <c r="D254" i="45" s="1"/>
  <c r="E30" i="109"/>
  <c r="D121" i="45" s="1"/>
  <c r="E21" i="109"/>
  <c r="D118" i="45" s="1"/>
  <c r="E33" i="104"/>
  <c r="D57" i="45" s="1"/>
  <c r="E6" i="112"/>
  <c r="D152" i="45" s="1"/>
  <c r="E12" i="112"/>
  <c r="D154" i="45" s="1"/>
  <c r="E30" i="122"/>
  <c r="D267" i="45" s="1"/>
  <c r="E18" i="106"/>
  <c r="D75" i="45" s="1"/>
  <c r="E18" i="110"/>
  <c r="D133" i="45" s="1"/>
  <c r="E27" i="112"/>
  <c r="D159" i="45" s="1"/>
  <c r="E15" i="112"/>
  <c r="D155" i="45" s="1"/>
  <c r="E12" i="110"/>
  <c r="D131" i="45" s="1"/>
  <c r="E6" i="108"/>
  <c r="D97" i="45" s="1"/>
  <c r="E24" i="110"/>
  <c r="D135" i="45" s="1"/>
  <c r="E9" i="108"/>
  <c r="D98" i="45" s="1"/>
  <c r="E24" i="106"/>
  <c r="D77" i="45" s="1"/>
  <c r="E48" i="110"/>
  <c r="D143" i="45" s="1"/>
  <c r="E30" i="110"/>
  <c r="D137" i="45" s="1"/>
  <c r="E12" i="106"/>
  <c r="D73" i="45" s="1"/>
  <c r="E9" i="109"/>
  <c r="D114" i="45" s="1"/>
  <c r="E42" i="105"/>
  <c r="D70" i="45" s="1"/>
  <c r="E39" i="110"/>
  <c r="D140" i="45" s="1"/>
  <c r="E42" i="110"/>
  <c r="D141" i="45" s="1"/>
  <c r="E15" i="110"/>
  <c r="D132" i="45" s="1"/>
  <c r="E33" i="106"/>
  <c r="D80" i="45" s="1"/>
  <c r="E45" i="108"/>
  <c r="D110" i="45" s="1"/>
  <c r="E42" i="109"/>
  <c r="D125" i="45" s="1"/>
  <c r="E33" i="105"/>
  <c r="D67" i="45" s="1"/>
  <c r="E12" i="109"/>
  <c r="D115" i="45" s="1"/>
  <c r="E12" i="108"/>
  <c r="D99" i="45" s="1"/>
  <c r="E24" i="112"/>
  <c r="D158" i="45" s="1"/>
  <c r="E36" i="108"/>
  <c r="D107" i="45" s="1"/>
  <c r="E36" i="109"/>
  <c r="D123" i="45" s="1"/>
  <c r="E9" i="110"/>
  <c r="D130" i="45" s="1"/>
  <c r="E30" i="106"/>
  <c r="D79" i="45" s="1"/>
  <c r="E21" i="104"/>
  <c r="D53" i="45" s="1"/>
  <c r="E6" i="109"/>
  <c r="D113" i="45" s="1"/>
  <c r="E39" i="108"/>
  <c r="D108" i="45" s="1"/>
  <c r="E9" i="112"/>
  <c r="D153" i="45" s="1"/>
  <c r="E15" i="106"/>
  <c r="D74" i="45" s="1"/>
  <c r="E45" i="109"/>
  <c r="D126" i="45" s="1"/>
  <c r="E51" i="108"/>
  <c r="D112" i="45" s="1"/>
  <c r="E21" i="106"/>
  <c r="D76" i="45" s="1"/>
  <c r="E9" i="106"/>
  <c r="D72" i="45" s="1"/>
  <c r="E33" i="109"/>
  <c r="D122" i="45" s="1"/>
  <c r="E18" i="108"/>
  <c r="D101" i="45" s="1"/>
  <c r="E15" i="109"/>
  <c r="D116" i="45" s="1"/>
  <c r="E39" i="122"/>
  <c r="D270" i="45" s="1"/>
  <c r="E30" i="105"/>
  <c r="D66" i="45" s="1"/>
  <c r="E6" i="110"/>
  <c r="D129" i="45" s="1"/>
  <c r="E51" i="110"/>
  <c r="D144" i="45" s="1"/>
  <c r="E30" i="104"/>
  <c r="D56" i="45" s="1"/>
  <c r="E27" i="106"/>
  <c r="D78" i="45" s="1"/>
  <c r="E27" i="110"/>
  <c r="D136" i="45" s="1"/>
  <c r="E39" i="109"/>
  <c r="D124" i="45" s="1"/>
  <c r="E18" i="112"/>
  <c r="D156" i="45" s="1"/>
  <c r="E48" i="108"/>
  <c r="D111" i="45" s="1"/>
  <c r="E33" i="108"/>
  <c r="D106" i="45" s="1"/>
  <c r="E24" i="109"/>
  <c r="D119" i="45" s="1"/>
  <c r="E33" i="122"/>
  <c r="D268" i="45" s="1"/>
  <c r="E36" i="122"/>
  <c r="D269" i="45" s="1"/>
  <c r="E15" i="108"/>
  <c r="D100" i="45" s="1"/>
  <c r="E18" i="109"/>
  <c r="D117" i="45" s="1"/>
  <c r="E45" i="110"/>
  <c r="D142" i="45" s="1"/>
  <c r="E36" i="105"/>
  <c r="D68" i="45" s="1"/>
  <c r="E24" i="108"/>
  <c r="D103" i="45" s="1"/>
  <c r="E42" i="108"/>
  <c r="D109" i="45" s="1"/>
  <c r="E21" i="112"/>
  <c r="D157" i="45" s="1"/>
  <c r="E27" i="104"/>
  <c r="D55" i="45" s="1"/>
  <c r="E51" i="109"/>
  <c r="D128" i="45" s="1"/>
  <c r="E39" i="105"/>
  <c r="D69" i="45" s="1"/>
  <c r="E21" i="108"/>
  <c r="D102" i="45" s="1"/>
  <c r="E36" i="110"/>
  <c r="D139" i="45" s="1"/>
  <c r="E27" i="109"/>
  <c r="D120" i="45" s="1"/>
  <c r="E27" i="108"/>
  <c r="D104" i="45" s="1"/>
  <c r="E33" i="110"/>
  <c r="D138" i="45" s="1"/>
  <c r="E42" i="122"/>
  <c r="D271" i="45" s="1"/>
  <c r="E30" i="108"/>
  <c r="D105" i="45" s="1"/>
  <c r="E6" i="106"/>
  <c r="D71" i="45" s="1"/>
  <c r="E48" i="109"/>
  <c r="D127" i="45" s="1"/>
  <c r="E21" i="110"/>
  <c r="D134" i="45" s="1"/>
  <c r="E16" i="124"/>
  <c r="D274" i="45" s="1"/>
  <c r="E48" i="124"/>
  <c r="D283" i="45" s="1"/>
  <c r="E28" i="124"/>
  <c r="D278" i="45" s="1"/>
  <c r="E19" i="124"/>
  <c r="D275" i="45" s="1"/>
  <c r="E45" i="124"/>
  <c r="D282" i="45" s="1"/>
  <c r="E37" i="124"/>
  <c r="D280" i="45" s="1"/>
  <c r="E25" i="124"/>
  <c r="D277" i="45" s="1"/>
  <c r="E31" i="124"/>
  <c r="D279" i="45" s="1"/>
  <c r="E61" i="124"/>
  <c r="D287" i="45" s="1"/>
  <c r="E40" i="124"/>
  <c r="D281" i="45" s="1"/>
  <c r="E54" i="124"/>
  <c r="D285" i="45" s="1"/>
  <c r="E57" i="124"/>
  <c r="D286" i="45" s="1"/>
  <c r="E22" i="124"/>
  <c r="D276" i="45" s="1"/>
  <c r="E51" i="124"/>
  <c r="D284" i="45" s="1"/>
  <c r="E6" i="124"/>
  <c r="D272" i="45" s="1"/>
  <c r="E9" i="124"/>
  <c r="D273" i="45" s="1"/>
  <c r="E15" i="111"/>
  <c r="D148" i="45" s="1"/>
  <c r="E24" i="111"/>
  <c r="D151" i="45" s="1"/>
  <c r="E18" i="111"/>
  <c r="D149" i="45" s="1"/>
  <c r="E21" i="111"/>
  <c r="D150" i="45" s="1"/>
  <c r="E12" i="111"/>
  <c r="D147" i="45" s="1"/>
  <c r="E6" i="111"/>
  <c r="D145" i="45" s="1"/>
  <c r="E9" i="111"/>
  <c r="D146" i="45" s="1"/>
  <c r="E51" i="107"/>
  <c r="D93" i="45" s="1"/>
  <c r="E61" i="107"/>
  <c r="D96" i="45" s="1"/>
  <c r="E54" i="107"/>
  <c r="D94" i="45" s="1"/>
  <c r="E57" i="107"/>
  <c r="D95" i="45" s="1"/>
  <c r="E45" i="107"/>
  <c r="D91" i="45" s="1"/>
  <c r="E25" i="107"/>
  <c r="D86" i="45" s="1"/>
  <c r="E40" i="107"/>
  <c r="D90" i="45" s="1"/>
  <c r="E31" i="107"/>
  <c r="D88" i="45" s="1"/>
  <c r="E28" i="107"/>
  <c r="D87" i="45" s="1"/>
  <c r="E48" i="107"/>
  <c r="D92" i="45" s="1"/>
  <c r="E37" i="107"/>
  <c r="D89" i="45" s="1"/>
  <c r="E22" i="107"/>
  <c r="D85" i="45" s="1"/>
  <c r="E9" i="107"/>
  <c r="D82" i="45" s="1"/>
  <c r="E19" i="107"/>
  <c r="D84" i="45" s="1"/>
  <c r="E6" i="107"/>
  <c r="D81" i="45" s="1"/>
  <c r="E16" i="107"/>
  <c r="D83" i="45" s="1"/>
  <c r="E36" i="120"/>
  <c r="D248" i="45" s="1"/>
  <c r="E33" i="120"/>
  <c r="D247" i="45" s="1"/>
  <c r="E89" i="101"/>
  <c r="D236" i="45" s="1"/>
  <c r="E93" i="101"/>
  <c r="D237" i="45" s="1"/>
  <c r="E81" i="113"/>
  <c r="D185" i="45" s="1"/>
  <c r="E87" i="113"/>
  <c r="D187" i="45" s="1"/>
  <c r="E84" i="113"/>
  <c r="D186" i="45" s="1"/>
  <c r="E90" i="113"/>
  <c r="D188" i="45" s="1"/>
  <c r="E93" i="113"/>
  <c r="D189" i="45" s="1"/>
  <c r="E36" i="102"/>
  <c r="D38" i="45" s="1"/>
  <c r="E33" i="102"/>
  <c r="D37" i="45" s="1"/>
  <c r="E36" i="100"/>
  <c r="D26" i="45" s="1"/>
  <c r="E39" i="100"/>
  <c r="D27" i="45" s="1"/>
  <c r="E24" i="105"/>
  <c r="D64" i="45" s="1"/>
  <c r="E27" i="122"/>
  <c r="D266" i="45" s="1"/>
  <c r="E27" i="105"/>
  <c r="D65" i="45" s="1"/>
  <c r="E24" i="122"/>
  <c r="D265" i="45" s="1"/>
  <c r="R25" i="126" l="1"/>
  <c r="K4" i="45"/>
  <c r="R58" i="80"/>
  <c r="AM17" i="127"/>
  <c r="AN17" i="127" s="1"/>
  <c r="AO17" i="127" s="1"/>
  <c r="AM110" i="127" l="1"/>
  <c r="AM14" i="127"/>
  <c r="AM13" i="127"/>
  <c r="AP17" i="127"/>
  <c r="AQ17" i="127" s="1"/>
  <c r="AP13" i="127" l="1"/>
  <c r="AQ13" i="127" s="1"/>
  <c r="AN13" i="127"/>
  <c r="AO13" i="127" s="1"/>
  <c r="AN14" i="127"/>
  <c r="AO14" i="127" s="1"/>
  <c r="AP14" i="127"/>
  <c r="AQ14" i="127" s="1"/>
  <c r="AN110" i="127"/>
  <c r="AO110" i="127" s="1"/>
  <c r="AP110" i="1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tc={A4273B95-93B7-4F49-827A-0EBFA1BF2358}</author>
    <author>Nguyễn Việt Dũng</author>
  </authors>
  <commentList>
    <comment ref="E7" authorId="0" shapeId="0" xr:uid="{A4273B95-93B7-4F49-827A-0EBFA1BF2358}">
      <text>
        <t>[Threaded comment]
Your version of Excel allows you to read this threaded comment; however, any edits to it will get removed if the file is opened in a newer version of Excel. Learn more: https://go.microsoft.com/fwlink/?linkid=870924
Comment:
    Mã. Tên</t>
      </text>
    </comment>
    <comment ref="I7" authorId="1" shapeId="0" xr:uid="{473458C9-DBC0-BA45-9A4A-F4D2DE61978A}">
      <text>
        <r>
          <rPr>
            <b/>
            <sz val="10"/>
            <color rgb="FF000000"/>
            <rFont val="Tahoma"/>
            <family val="2"/>
          </rPr>
          <t>Nguyễn Việt Dũng: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HĐ+PLHĐ</t>
        </r>
      </text>
    </comment>
    <comment ref="J7" authorId="1" shapeId="0" xr:uid="{CDADFA18-59FD-6849-B56F-CD535F689905}">
      <text>
        <r>
          <rPr>
            <b/>
            <sz val="10"/>
            <color rgb="FF000000"/>
            <rFont val="Tahoma"/>
            <family val="2"/>
          </rPr>
          <t>Nguyễn Việt Dũng: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PB đầu tiên</t>
        </r>
      </text>
    </comment>
    <comment ref="K7" authorId="1" shapeId="0" xr:uid="{203F9174-317C-C840-85C4-7C80BCE37C9D}">
      <text>
        <r>
          <rPr>
            <b/>
            <sz val="10"/>
            <color rgb="FF000000"/>
            <rFont val="Tahoma"/>
            <family val="2"/>
          </rPr>
          <t>Nguyễn Việt Dũng: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Phiên bản gần nhất</t>
        </r>
      </text>
    </comment>
    <comment ref="L7" authorId="1" shapeId="0" xr:uid="{5B0DC3D6-25AF-2F45-8663-5E4D385F0FD7}">
      <text>
        <r>
          <rPr>
            <b/>
            <sz val="10"/>
            <color rgb="FF000000"/>
            <rFont val="Tahoma"/>
            <family val="2"/>
          </rPr>
          <t>Nguyễn Việt Dũng: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Dữ liệu hiện hành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<sst xmlns="http://schemas.openxmlformats.org/spreadsheetml/2006/main" count="10068" uniqueCount="1533">
  <si>
    <t>TT</t>
  </si>
  <si>
    <t>Tầng</t>
  </si>
  <si>
    <t>Số lượng</t>
  </si>
  <si>
    <t>ID</t>
  </si>
  <si>
    <t>A</t>
  </si>
  <si>
    <t>N/A</t>
  </si>
  <si>
    <t>B</t>
  </si>
  <si>
    <t>C</t>
  </si>
  <si>
    <t>D</t>
  </si>
  <si>
    <t>Ghi chú</t>
  </si>
  <si>
    <t>Rộng</t>
  </si>
  <si>
    <t>Cao</t>
  </si>
  <si>
    <t>DV</t>
  </si>
  <si>
    <t>m3</t>
  </si>
  <si>
    <t>m2</t>
  </si>
  <si>
    <t>kg</t>
  </si>
  <si>
    <t>LV-1</t>
  </si>
  <si>
    <t>[1]</t>
  </si>
  <si>
    <t>Mã CK ĐH</t>
  </si>
  <si>
    <t>Mô tả</t>
  </si>
  <si>
    <t xml:space="preserve"> </t>
  </si>
  <si>
    <t>ID-Code</t>
  </si>
  <si>
    <t>BOQ-Code</t>
  </si>
  <si>
    <t>KL 1 CK</t>
  </si>
  <si>
    <t>SL CK</t>
  </si>
  <si>
    <t>KL tổng CK</t>
  </si>
  <si>
    <t>Code</t>
  </si>
  <si>
    <t>Đơn vị</t>
  </si>
  <si>
    <t>m</t>
  </si>
  <si>
    <t>Tổng</t>
  </si>
  <si>
    <t>CBS</t>
  </si>
  <si>
    <t>Tt</t>
  </si>
  <si>
    <t>Mã</t>
  </si>
  <si>
    <t>CKDH</t>
  </si>
  <si>
    <t>Nội Dung</t>
  </si>
  <si>
    <t>Đ.Vị</t>
  </si>
  <si>
    <t>Kích Thước</t>
  </si>
  <si>
    <t>Hệ số</t>
  </si>
  <si>
    <t>K.Lượng</t>
  </si>
  <si>
    <t>Ghi Chú</t>
  </si>
  <si>
    <t>Sub_QTY</t>
  </si>
  <si>
    <t>Dài</t>
  </si>
  <si>
    <t>D.tích</t>
  </si>
  <si>
    <t>R1</t>
  </si>
  <si>
    <t>R2</t>
  </si>
  <si>
    <t>R3</t>
  </si>
  <si>
    <t>Description</t>
  </si>
  <si>
    <t>Mã CKDH</t>
  </si>
  <si>
    <t>Mô tả CK</t>
  </si>
  <si>
    <t>K.Lượng Phụ</t>
  </si>
  <si>
    <t>Deadline</t>
  </si>
  <si>
    <t>BẢNG TÍCH HỢP ĐẦU VIỆC BÓC TÁCH, TỔNG HỢP KHỐI LƯỢNG</t>
  </si>
  <si>
    <t>BOQ A</t>
  </si>
  <si>
    <t>BẢNG DỮ LIỆU KHỐI LƯỢNG CẤU KIỆN</t>
  </si>
  <si>
    <t>Nhân sự phụ trách</t>
  </si>
  <si>
    <t>Tên theo phạm vi WBS</t>
  </si>
  <si>
    <t>Check</t>
  </si>
  <si>
    <t>CHECK LIST DỰ ÁN KIỂM TRA TÀI LIỆU CƠ SỞ CỦA BỘ KHỐI LƯỢNG</t>
  </si>
  <si>
    <t>Prepared by/Người lập:</t>
  </si>
  <si>
    <t>OWNER (MAIN CONTRACTOR)/ CHỦ ĐẦU TƯ (THẦU CHÍNH):</t>
  </si>
  <si>
    <t>Checked by/Kiểm tra bởi:</t>
  </si>
  <si>
    <t>ADDRESS/ĐỊA CHỈ:</t>
  </si>
  <si>
    <t>Rev./Phiên bản:</t>
  </si>
  <si>
    <t>No/
Stt</t>
  </si>
  <si>
    <t>Description/ 
Nội dung công việc</t>
  </si>
  <si>
    <t>File mềm</t>
  </si>
  <si>
    <t>File scan file cứng pháp lý</t>
  </si>
  <si>
    <t>Nhận xét/ Comment</t>
  </si>
  <si>
    <t>Tài liệu mời thầu</t>
  </si>
  <si>
    <t>Tài liệu hợp đồng</t>
  </si>
  <si>
    <t>Phạm vi công việc</t>
  </si>
  <si>
    <t>Danh mục vật tư</t>
  </si>
  <si>
    <t>Bản vẽ hợp đồng, spec</t>
  </si>
  <si>
    <t>BOQ file excel</t>
  </si>
  <si>
    <t>Các câu hỏi, trả lời làm rõ trong quá trình chào thầu</t>
  </si>
  <si>
    <t>Các tài liệu liên quan khác nếu có (biên bản, email,...)</t>
  </si>
  <si>
    <t>Tài liệu phát hành sau hợp đồng</t>
  </si>
  <si>
    <t>Bản vẽ thi công phát hành bởi bên A</t>
  </si>
  <si>
    <t>Bản vẽ shopdrawing được bên A phê duyệt</t>
  </si>
  <si>
    <t>Bản vẽ biện pháp được bên A phê duyệt</t>
  </si>
  <si>
    <t>Các tài liệu khác nếu có (Phê duyệt vật tư, chỉ thị công trường, thư kỹ thuật, biên bản hiện trường, email,...)</t>
  </si>
  <si>
    <t>Không áp dụng</t>
  </si>
  <si>
    <t>QUẢN LÝ PHIÊN BẢN KHỐI LƯỢNG</t>
  </si>
  <si>
    <t>MÃ HỒ SƠ</t>
  </si>
  <si>
    <t>NỘI DUNG</t>
  </si>
  <si>
    <t>TRẠNG THÁI</t>
  </si>
  <si>
    <t>TÀI LIỆU CƠ SỞ</t>
  </si>
  <si>
    <t>GHI CHÚ</t>
  </si>
  <si>
    <t>BAN HÀNH BỞI</t>
  </si>
  <si>
    <t>NGÀY BAN HÀNH</t>
  </si>
  <si>
    <t>ĐƯỜNG DẪN</t>
  </si>
  <si>
    <t>XXX</t>
  </si>
  <si>
    <t>Chính thức</t>
  </si>
  <si>
    <t>Các tài liệu hợp đồng</t>
  </si>
  <si>
    <t xml:space="preserve">PHẠM VI </t>
  </si>
  <si>
    <t>Bản vẽ, PVCV, DMVL hợp đồng,…</t>
  </si>
  <si>
    <t>PROJECT/DỰ ÁN: PARKCITY</t>
  </si>
  <si>
    <t>BILL NO. 2.1</t>
  </si>
  <si>
    <t>Concrete</t>
  </si>
  <si>
    <t xml:space="preserve">Lean concrete </t>
  </si>
  <si>
    <t>Ván khuôn</t>
  </si>
  <si>
    <t>Cột</t>
  </si>
  <si>
    <t>GÓI THẦU: THI CÔNG KẾT CẤU HẠ TẦNG</t>
  </si>
  <si>
    <t xml:space="preserve">Tổng CK </t>
  </si>
  <si>
    <t>S21.11</t>
  </si>
  <si>
    <t>S22.11</t>
  </si>
  <si>
    <t>S23.11</t>
  </si>
  <si>
    <t>S24.11</t>
  </si>
  <si>
    <t>S24.12</t>
  </si>
  <si>
    <t>S25.11</t>
  </si>
  <si>
    <t>S31.11</t>
  </si>
  <si>
    <t>S32.11</t>
  </si>
  <si>
    <t>BQ</t>
  </si>
  <si>
    <t>Mô tả ID</t>
  </si>
  <si>
    <t>Mô tả BOQ</t>
  </si>
  <si>
    <t xml:space="preserve">KL </t>
  </si>
  <si>
    <t>Đơn giá</t>
  </si>
  <si>
    <t>Thành tiền</t>
  </si>
  <si>
    <t>Cái</t>
  </si>
  <si>
    <t>Bê tông đường dốc M400</t>
  </si>
  <si>
    <t>S21.12</t>
  </si>
  <si>
    <t>Package</t>
  </si>
  <si>
    <t>Móng</t>
  </si>
  <si>
    <t>Dầm</t>
  </si>
  <si>
    <t>Sàn</t>
  </si>
  <si>
    <t>Bê tông</t>
  </si>
  <si>
    <t>Vách</t>
  </si>
  <si>
    <t>Đào đất</t>
  </si>
  <si>
    <t>Dầm sàn</t>
  </si>
  <si>
    <t>Earth Work</t>
  </si>
  <si>
    <t>Pile Work</t>
  </si>
  <si>
    <t>KL</t>
  </si>
  <si>
    <t>Baseline</t>
  </si>
  <si>
    <t>Prev.</t>
  </si>
  <si>
    <t>This</t>
  </si>
  <si>
    <t>Reinforcement</t>
  </si>
  <si>
    <t>Waterproofing</t>
  </si>
  <si>
    <t>Kết cấu hầm:
- Khối lượng kết cấu hầm</t>
  </si>
  <si>
    <t>Đang triển khai</t>
  </si>
  <si>
    <t>P. Thầu</t>
  </si>
  <si>
    <t>GAP so Baseline</t>
  </si>
  <si>
    <t>GAP so Prev.</t>
  </si>
  <si>
    <t>NW</t>
  </si>
  <si>
    <t>Phân loại CK</t>
  </si>
  <si>
    <t>Tường hầm</t>
  </si>
  <si>
    <t>Thang bộ</t>
  </si>
  <si>
    <t>Ram</t>
  </si>
  <si>
    <t>Dầm sàn nền hầm</t>
  </si>
  <si>
    <t>Loại CK</t>
  </si>
  <si>
    <t>WBS</t>
  </si>
  <si>
    <t>Tên</t>
  </si>
  <si>
    <t>BOQ</t>
  </si>
  <si>
    <t>WBS_Cha</t>
  </si>
  <si>
    <t>End</t>
  </si>
  <si>
    <t>SLCK</t>
  </si>
  <si>
    <t>MaCK</t>
  </si>
  <si>
    <t>Tầng B1</t>
  </si>
  <si>
    <t>FormWork</t>
  </si>
  <si>
    <t>Anti Termite</t>
  </si>
  <si>
    <t>Method</t>
  </si>
  <si>
    <t>Hợp đồng A</t>
  </si>
  <si>
    <t>G_KL</t>
  </si>
  <si>
    <t>G_GT</t>
  </si>
  <si>
    <t>BẢNG DANH MỤC CẤU KIỆN ĐIỂN HÌNH</t>
  </si>
  <si>
    <t>Ad Filter</t>
  </si>
  <si>
    <t>V_0.0 (EIE HAIPHONG)</t>
  </si>
  <si>
    <t>https://bom.so/GxCWn3</t>
  </si>
  <si>
    <t>EIE</t>
  </si>
  <si>
    <t>PROJECT: EIE TTTM HẢI PHÒNG</t>
  </si>
  <si>
    <t>PL08</t>
  </si>
  <si>
    <t>Đào móng công trình, chiều rộng móng &gt; 20m, bằng máy đào 1,25m3, đất cấp III</t>
  </si>
  <si>
    <t>Đắp đất công trình bằng đầm đất cầm tay 70kg, độ chặt yêu cầu K=0,95</t>
  </si>
  <si>
    <t>Vận chuyển đất bằng ôtô tự đổ 10 tấn trong phạm vi &lt;= 1000m, đất cấp III</t>
  </si>
  <si>
    <t>Vận chuyển đất bằng ô tô tự đổ 10T 4km tiếp theo trong phạm vi &lt;= 5km, đất cấp III</t>
  </si>
  <si>
    <t>Vận chuyển đất bằng ô tô tự đổ 10T 10km tiếp theo ngoài phạm vi 5km, đất cấp III</t>
  </si>
  <si>
    <t>Ván khuôn cho bê tông đổ tại chỗ, ván khuôn gỗ, ván khuôn bê tông lót móng</t>
  </si>
  <si>
    <t>Đổ bê tông thủ công bằng máy trộn, bê tông lót móng, đá 4x6, vữa mác 100, PCB30</t>
  </si>
  <si>
    <t>Ván khuôn cho bê tông đổ tại chỗ, ván khuôn kim loại, ván khuôn móng</t>
  </si>
  <si>
    <t>Công tác gia công lắp dựng cốt thép. Cốt thép móng, đường kính cốt thép &lt;= 10mm</t>
  </si>
  <si>
    <t>Công tác gia công lắp dựng cốt thép. Cốt thép móng, đường kính cốt thép &lt;= 18mm</t>
  </si>
  <si>
    <t>Công tác gia công lắp dựng cốt thép. Cốt thép móng, đường kính cốt thép &gt; 18mm</t>
  </si>
  <si>
    <t>Đổ bê tông bằng máy, đổ bằng máy bơm bê tông, bê tông móng, đá 1x2, mác 400, PCB40</t>
  </si>
  <si>
    <t>Đổ bê tông thủ công bằng máy trộn, bê tông lót nền tầng hầm, đá 4x6, vữa mác 100, PCB30</t>
  </si>
  <si>
    <t>Công tác gia công lắp dựng cốt thép. Cốt thép nền tầng hầm, đường kính cốt thép &gt; 10mm</t>
  </si>
  <si>
    <t>Đổ bê tông bằng máy, đổ bằng máy bơm bê tông, bê tông nền tầng hầm, đá 1x2, mác 400, PCB40</t>
  </si>
  <si>
    <t>Ván khuôn bằng ván ép phủ phim có khung xương, cột chống bằng hệ giáo ống. Ván khuôn tường tầng hầm</t>
  </si>
  <si>
    <t>Công tác gia công lắp dựng cốt thép. Cốt thép tường tầng hầm, đường kính cốt thép &lt;= 10mm</t>
  </si>
  <si>
    <t>Công tác gia công lắp dựng cốt thép. Cốt thép tường tầng hầm, đường kính cốt thép &lt;= 18mm</t>
  </si>
  <si>
    <t>Đổ bê tông bằng máy, đổ bằng máy bơm bê tông, bê tông tường tầng hầm, chiều dày &lt;= 45cm, đá 1x2, mác 400, PCB40</t>
  </si>
  <si>
    <t>Băng cản nước mạch ngừng thi công tường tầng hầm</t>
  </si>
  <si>
    <t>Ván khuôn bằng ván ép phủ phim có khung xương, cột chống bằng hệ giáo ống. Ván khuôn cột vuông, chữ nhật, cột tầng hầm</t>
  </si>
  <si>
    <t>Công tác gia công lắp dựng cốt thép. Cốt thép cột tầng hầm, đường kính cốt thép &lt;= 10mm</t>
  </si>
  <si>
    <t>Công tác gia công lắp dựng cốt thép. Cốt thép cột tầng hầm, đường kính cốt thép &lt;= 18mm</t>
  </si>
  <si>
    <t>Công tác gia công lắp dựng cốt thép. Cốt thép cột tầng hầm, đường kính cốt thép &gt; 18mm</t>
  </si>
  <si>
    <t>Đổ bê tông bằng máy, đổ bằng máy bơm bê tông, bê tông cột tầng hầm, đá 1x2, mác 600, PCB40</t>
  </si>
  <si>
    <t>Ván khuôn bằng ván ép phủ phim có khung xương, cột chống bằng hệ giáo ống. Ván khuôn vách tường bê tông</t>
  </si>
  <si>
    <t>Công tác gia công lắp dựng cốt thép. Cốt thép tường, đường kính cốt thép &lt;= 10mm</t>
  </si>
  <si>
    <t>Công tác gia công lắp dựng cốt thép. Cốt thép tường, đường kính cốt thép &lt;= 18mm</t>
  </si>
  <si>
    <t>Công tác gia công lắp dựng cốt thép. Cốt thép tường, đường kính cốt thép &gt; 18mm</t>
  </si>
  <si>
    <t>Đổ bê tông bằng máy, đổ bằng máy bơm bê tông, bê tông tường, chiều dày &lt;= 45cm, đá 1x2, mác 600, PCB40</t>
  </si>
  <si>
    <t>Ván khuôn bằng ván ép phủ phim có khung xương, cột chống bằng hệ giáo ống. Ván khuôn xà dầm, giằng sàn tầng 1</t>
  </si>
  <si>
    <t>Công tác gia công lắp dựng cốt thép. Cốt thép xà dầm, giằng, đường kính cốt thép &lt;= 10mm, sàn tầng 1</t>
  </si>
  <si>
    <t>Công tác gia công lắp dựng cốt thép. Cốt thép xà dầm, giằng, đường kính cốt thép &lt;= 18mm, sàn tầng 1</t>
  </si>
  <si>
    <t>Công tác gia công lắp dựng cốt thép. Cốt thép xà dầm, giằng, đường kính cốt thép &gt; 18mm, sàn tầng 1</t>
  </si>
  <si>
    <t>Đổ bê tông bằng máy, đổ bằng máy bơm bê tông, bê tông xà dầm, giằng sàn tầng 1, đá 1x2, mác 600, PCB40</t>
  </si>
  <si>
    <t>Ván khuôn bằng ván ép phủ phim có khung xương, cột chống bằng hệ giáo ống. Ván khuôn sàn tầng 1</t>
  </si>
  <si>
    <t>Công tác gia công lắp dựng cốt thép. Cốt thép sàn mái, đường kính cốt thép &lt;=10mm, sàn tầng 1</t>
  </si>
  <si>
    <t>Công tác gia công lắp dựng cốt thép. Cốt thép sàn mái, đường kính cốt thép &gt; 10mm, sàn tầng 1</t>
  </si>
  <si>
    <t>Đổ bê tông bằng máy, đổ bằng máy bơm bê tông, bê tông, sàn mái, sàn tầng 1, đá 1x2, mác 600, PCB40</t>
  </si>
  <si>
    <t>Ván khuôn bằng ván ép phủ phim có khung xương, cột chống bằng hệ giáo ống. Ván khuôn thang bộ, đường dốc tầng hầm</t>
  </si>
  <si>
    <t>Công tác gia công lắp dựng cốt thép. Cốt thép cầu thang, đường dốc, đường kính cốt thép &lt;= 10mm, tầng hầm</t>
  </si>
  <si>
    <t>Công tác gia công lắp dựng cốt thép. Cốt thép cầu thang, đường dốc, đường kính cốt thép &gt; 10mm, tầng hầm</t>
  </si>
  <si>
    <t>Đổ bê tông bằng máy, đổ bằng máy bơm bê tông, bê tông cầu thang bộ, đường dốc, đá 1x2, mác 300, PCB40</t>
  </si>
  <si>
    <t>100m3</t>
  </si>
  <si>
    <t>100m2</t>
  </si>
  <si>
    <t>tấn</t>
  </si>
  <si>
    <t>KHỐI LƯỢNG KẾT CẤU HẦM</t>
  </si>
  <si>
    <t>BIỆN PHÁP THI CÔNG</t>
  </si>
  <si>
    <t>Hệ thống cừ</t>
  </si>
  <si>
    <t>Văng chống</t>
  </si>
  <si>
    <t>Trắc đạc</t>
  </si>
  <si>
    <t>Xử lý thoát nước mặt trong quá trình thi công</t>
  </si>
  <si>
    <t>Lan can an toàn</t>
  </si>
  <si>
    <t>Bê tông chèn khe cừ</t>
  </si>
  <si>
    <t>Lấp cát cạnh cừ và tường hầm</t>
  </si>
  <si>
    <t>Băng cản nước mạch ngừng thi công nền hầm, sàn tầng 1</t>
  </si>
  <si>
    <t>Lot</t>
  </si>
  <si>
    <t>md</t>
  </si>
  <si>
    <t>MÁY MÓC THIẾT BỊ PHỤC VỤ THI CÔNG</t>
  </si>
  <si>
    <t>Cẩu tháp</t>
  </si>
  <si>
    <t>Chi phí điện tạm phục vụ thi công (cẩu tháp + văn phòng + công trường)</t>
  </si>
  <si>
    <t>Xử lý rác thải trong quá trình thi công</t>
  </si>
  <si>
    <t>Hệ thống điện nước phục vụ thi công</t>
  </si>
  <si>
    <t>Hàng rào tạm</t>
  </si>
  <si>
    <t>CHI PHÍ CHUNG</t>
  </si>
  <si>
    <t>PL08A</t>
  </si>
  <si>
    <t>cọc</t>
  </si>
  <si>
    <t>Đắp đất</t>
  </si>
  <si>
    <t>Vận chuyển đất đổ đi</t>
  </si>
  <si>
    <t>Thép móng D&lt;=10</t>
  </si>
  <si>
    <t>Thép móng D&lt;=18</t>
  </si>
  <si>
    <t>Thép móng D&gt;18</t>
  </si>
  <si>
    <t>Bê tông móng M400</t>
  </si>
  <si>
    <t>Bê tông lót móng M100</t>
  </si>
  <si>
    <t>Thép tường tầng hầm D&lt;=10</t>
  </si>
  <si>
    <t>Thép tường tầng hầm D&lt;=18</t>
  </si>
  <si>
    <t>Ván khuôn ép cột</t>
  </si>
  <si>
    <t>Thép cột D&lt;=10</t>
  </si>
  <si>
    <t>Thép cột D&lt;=18</t>
  </si>
  <si>
    <t>Thép cột D&gt;18</t>
  </si>
  <si>
    <t>Bê tông cột M600</t>
  </si>
  <si>
    <t>Ván khuôn ép vách</t>
  </si>
  <si>
    <t>Thép vách D&lt;=10</t>
  </si>
  <si>
    <t>Thép vách D&lt;=18</t>
  </si>
  <si>
    <t>Thép vách D&gt;18</t>
  </si>
  <si>
    <t>Ván khuôn ép Dầm tầng 1</t>
  </si>
  <si>
    <t>Thép dầm tầng 1 D&lt;=10</t>
  </si>
  <si>
    <t>Thép dầm tầng 1 D&lt;=18</t>
  </si>
  <si>
    <t>Thép dầm tầng 1 D&gt;18</t>
  </si>
  <si>
    <t>Ván khuôn ép sàn tầng 1</t>
  </si>
  <si>
    <t>Thép sàn tầng 1 D&lt;=10</t>
  </si>
  <si>
    <t>Thép sàn tầng 1 D&gt;10</t>
  </si>
  <si>
    <t>Ván khuôn ép thang bộ, đường dốc</t>
  </si>
  <si>
    <t>Thép thang bộ, đường dốc D&lt;=10</t>
  </si>
  <si>
    <t>Thép thang bộ, đường dốc D&gt;10</t>
  </si>
  <si>
    <t xml:space="preserve">Chống thấm nền hầm </t>
  </si>
  <si>
    <t>Chống thấm mặt ngoài tường hầm</t>
  </si>
  <si>
    <t xml:space="preserve">Chống mối nền hầm </t>
  </si>
  <si>
    <t>Chống mối tường hầm</t>
  </si>
  <si>
    <t>Đập bê tông đầu cọc khoan nhồi</t>
  </si>
  <si>
    <t>Xử lý liên kết thép đầu cọc và đài móng</t>
  </si>
  <si>
    <t>Cắt rãnh ram dốc</t>
  </si>
  <si>
    <t>Mài hoàn thiện cột vách dầm sàn</t>
  </si>
  <si>
    <t>Quan trắc lún</t>
  </si>
  <si>
    <t>Quan trắc môi trường</t>
  </si>
  <si>
    <t>Quan trắc mực nước ngầm</t>
  </si>
  <si>
    <t>Đào đất ( m3)</t>
  </si>
  <si>
    <t>Đắp đất ( m3)</t>
  </si>
  <si>
    <t>Đắp đất tận dụng lại</t>
  </si>
  <si>
    <t>Đã bao gồm</t>
  </si>
  <si>
    <t>Trọn gói theo biện pháp thi công của nhà thầu</t>
  </si>
  <si>
    <t>Trọn gói trong theo tiến độ dự thầu</t>
  </si>
  <si>
    <t>Trạm biến áp sử dụng lại của CDT</t>
  </si>
  <si>
    <t>Trọn gói</t>
  </si>
  <si>
    <t>Tận dụng lại của CĐT</t>
  </si>
  <si>
    <t>Văn phòng Ban chỉ huy công trường</t>
  </si>
  <si>
    <t>Chi phí lương giám sát</t>
  </si>
  <si>
    <t>Chi phí bảo lãnh (bảo lãnh thực hiện hợp đồng, bảo lãnh tạm ứng, bảo lãnh bảo hành,...)</t>
  </si>
  <si>
    <t>Trọn gói, đảm bảo nhân lực hti công</t>
  </si>
  <si>
    <t>Khối lượng thanh toán bao gồm cả vén thành</t>
  </si>
  <si>
    <t>Không cần lớp bảo vệ</t>
  </si>
  <si>
    <t>Nhà thầu tận dụng lại thép đầu cọc</t>
  </si>
  <si>
    <t>CÁC CÔNG TÁC BỔ SUNG</t>
  </si>
  <si>
    <t>Vận chuyển đất đổ đi ( m3)</t>
  </si>
  <si>
    <t>Thép móng full ( kg)</t>
  </si>
  <si>
    <t>thép tường tầng hầm full (kg)</t>
  </si>
  <si>
    <t>Ván khuôn ép cột (m2)</t>
  </si>
  <si>
    <t>Thép cột full (kg)</t>
  </si>
  <si>
    <t>Ván khuôn ép vách (m2)</t>
  </si>
  <si>
    <t>Thép vách full (kg)</t>
  </si>
  <si>
    <t>Ván khuôn ép Dầm tầng 1 (m2)</t>
  </si>
  <si>
    <t>Thép dầm tầng 1 full (kg)</t>
  </si>
  <si>
    <t>Ván khuôn ép sàn tầng 1 (m2)</t>
  </si>
  <si>
    <t>Thép sàn tầng 1 full (kg)</t>
  </si>
  <si>
    <t>Ván khuôn ép thang bộ, đường dốc (m2)</t>
  </si>
  <si>
    <t>Thép thang bộ đường dốc full (kg)</t>
  </si>
  <si>
    <t>Bê tông thang bộ M300</t>
  </si>
  <si>
    <t>Băng cản nước tường tầng hầm</t>
  </si>
  <si>
    <t>Coupler</t>
  </si>
  <si>
    <t>Tầng 1</t>
  </si>
  <si>
    <t>Bê tông lót nền hầm M100 (giằng, sàn, hố bơm, rãnh nước, bê phốt)</t>
  </si>
  <si>
    <t>Coupler cột D22</t>
  </si>
  <si>
    <t>Coupler cột D25</t>
  </si>
  <si>
    <t>Coupler cột D28</t>
  </si>
  <si>
    <t>S33.11</t>
  </si>
  <si>
    <t>Bể</t>
  </si>
  <si>
    <t>Hố bơm, bể phốt</t>
  </si>
  <si>
    <t>S33.12</t>
  </si>
  <si>
    <t>Cấu kiện khác</t>
  </si>
  <si>
    <t>Orther Work</t>
  </si>
  <si>
    <t>Bê tông giằng, sàn, rãnh nước hầm M400 cấp chống thấm W10</t>
  </si>
  <si>
    <t>Bê tông hố bơm, bể phốt  M300 cấp chống thấm W10</t>
  </si>
  <si>
    <t>Bê tông vách bo quanh tầng hầm M500 cấp chống thấm W10</t>
  </si>
  <si>
    <t>Bê tông dầm tầng 1 M400</t>
  </si>
  <si>
    <t>Bê tông sàn tâng 1 M400</t>
  </si>
  <si>
    <t xml:space="preserve">Bể </t>
  </si>
  <si>
    <t>Bể ngầm</t>
  </si>
  <si>
    <t>Đài_PCL</t>
  </si>
  <si>
    <t>S25.12</t>
  </si>
  <si>
    <t>S25.13</t>
  </si>
  <si>
    <t>S25.14</t>
  </si>
  <si>
    <t>Thang bộ Tầng B1 lên T1</t>
  </si>
  <si>
    <t>Đường dốc tầng B1 lên T1</t>
  </si>
  <si>
    <t>x</t>
  </si>
  <si>
    <t>Ván Khuôn gỗ bê tông lót đài</t>
  </si>
  <si>
    <t>Ván Khuôn gỗ bê tông lót móng (đài, giằng, sàn, hố bơm, rãnh nước, bê phốt)</t>
  </si>
  <si>
    <t>Ván khuôn kim loại bê tông móng (đài, giằng, sàn, hố bơm, rãnh nước, bê phốt)</t>
  </si>
  <si>
    <t>Ván khuôn gỗ ép bê tông đài móng</t>
  </si>
  <si>
    <t>Bê tông vách bể tầng hầm M400 cấp chống thấm W10</t>
  </si>
  <si>
    <t>Ván khuôn gỗ ép bê tông giằng, sàn, rãnh nước</t>
  </si>
  <si>
    <t>Ván khuôn gỗ ép bê tông hố bơm, bê phốt</t>
  </si>
  <si>
    <t>Ván Khuôn gỗ bê tông lót giằng, sàn nền, rãnh nước</t>
  </si>
  <si>
    <t>Ván Khuôn gỗ bê tông lót hố bơm, bê phốt</t>
  </si>
  <si>
    <t>Thép nền hầm D&gt;10 (giằng, sàn, hố bơm, rãnh nước, bê phốt)</t>
  </si>
  <si>
    <t>Thép nền hầm full (giằng, sàn, hố bơm, rãnh nước, bê phốt)</t>
  </si>
  <si>
    <t>Vị trí phân tách bê tông cột với dầm sàn</t>
  </si>
  <si>
    <t>Thép D6 biện pháp đổ bê tông vách giao với dầm sàn</t>
  </si>
  <si>
    <t>Lưới thép, kích thước lỗ 8x8mm vị trí vách giao với dầm sàn</t>
  </si>
  <si>
    <t>Thép D6 biện pháp cột giao với dầm sàn</t>
  </si>
  <si>
    <t>Ván khuôn tường tầng hầm ( Bao gồm cả vách bể)</t>
  </si>
  <si>
    <t xml:space="preserve">Ván khuôn tường bao tầng hầm </t>
  </si>
  <si>
    <t xml:space="preserve">Ván khuôn tường trong vách ngăn tầng hầm </t>
  </si>
  <si>
    <t>Bê tông tường M600 (Vách)</t>
  </si>
  <si>
    <t>ID-001</t>
  </si>
  <si>
    <t>ID-002</t>
  </si>
  <si>
    <t>ID-003</t>
  </si>
  <si>
    <t>ID-004</t>
  </si>
  <si>
    <t>ID-005</t>
  </si>
  <si>
    <t>ID-006</t>
  </si>
  <si>
    <t>ID-007</t>
  </si>
  <si>
    <t>ID-008</t>
  </si>
  <si>
    <t>ID-011</t>
  </si>
  <si>
    <t>ID-012</t>
  </si>
  <si>
    <t>ID-013</t>
  </si>
  <si>
    <t>ID-016</t>
  </si>
  <si>
    <t>ID-017</t>
  </si>
  <si>
    <t>ID-018</t>
  </si>
  <si>
    <t>ID-019</t>
  </si>
  <si>
    <t>ID-020</t>
  </si>
  <si>
    <t>ID-009</t>
  </si>
  <si>
    <t>ID-014</t>
  </si>
  <si>
    <t>ID-021</t>
  </si>
  <si>
    <t>ID-022</t>
  </si>
  <si>
    <t>ID-023</t>
  </si>
  <si>
    <t>ID-024</t>
  </si>
  <si>
    <t>ID-025</t>
  </si>
  <si>
    <t>ID-X07</t>
  </si>
  <si>
    <t>ID-010</t>
  </si>
  <si>
    <t>ID-015</t>
  </si>
  <si>
    <t>ID-026</t>
  </si>
  <si>
    <t>ID-028</t>
  </si>
  <si>
    <t>ID-030</t>
  </si>
  <si>
    <t>ID-031</t>
  </si>
  <si>
    <t>ID-032</t>
  </si>
  <si>
    <t>ID-033</t>
  </si>
  <si>
    <t>ID-036</t>
  </si>
  <si>
    <t>ID-X06</t>
  </si>
  <si>
    <t>ID-037</t>
  </si>
  <si>
    <t>ID-038</t>
  </si>
  <si>
    <t>ID-039</t>
  </si>
  <si>
    <t>ID-040</t>
  </si>
  <si>
    <t>ID-041</t>
  </si>
  <si>
    <t>ID-042</t>
  </si>
  <si>
    <t>ID-043</t>
  </si>
  <si>
    <t>ID-044</t>
  </si>
  <si>
    <t>ID-027</t>
  </si>
  <si>
    <t>ID-029</t>
  </si>
  <si>
    <t>ID-035</t>
  </si>
  <si>
    <t>Cấu kiện</t>
  </si>
  <si>
    <t>Nội dung</t>
  </si>
  <si>
    <t>- Tính full</t>
  </si>
  <si>
    <t>- Có dầm chạy qua: Tính đến đáy dầm
- Không có dầm chạy qua: tính đến đáy sàn</t>
  </si>
  <si>
    <t>- Có dầm chạy qua: Tính đến đáy dầm
- Không có dầm chạy qua: tính đến đáy sàn (vị trí lỗ mở tính đến mặt sàn)</t>
  </si>
  <si>
    <t>- Tính đến đáy sàn</t>
  </si>
  <si>
    <t>- Tính đến đáy sàn
- Thành dầm biên/thành dầm vị trí lỗ mở tính đến mặt sàn
- Đáy dầm tính vào vk dầm</t>
  </si>
  <si>
    <t>- Tính full (trừ cột &amp; vách)</t>
  </si>
  <si>
    <t xml:space="preserve">- Mặt trong tính đến đáy sàn (trừ các dầm trực giao)
- Mặt ngoài tính full
</t>
  </si>
  <si>
    <t>Đường dốc</t>
  </si>
  <si>
    <t>Trừ giao vk đáy dầm với cột vách</t>
  </si>
  <si>
    <t>Dầm cao 400mm</t>
  </si>
  <si>
    <t>Dầm cao 300mm</t>
  </si>
  <si>
    <t>Trừ giao cột với dầm cao 400mm</t>
  </si>
  <si>
    <t>Trừ giao cột với dầm cao 300mm</t>
  </si>
  <si>
    <t>Ván khuôn đáy dầm sàn</t>
  </si>
  <si>
    <t>Trừ giao cột (không dầm đi qua)</t>
  </si>
  <si>
    <t>Trừ vk đáy dầm ( cả vị trí giao cột)</t>
  </si>
  <si>
    <t>Đáy dầm  ( cả vị trí giao cột)</t>
  </si>
  <si>
    <t>Sàn dày 300mm</t>
  </si>
  <si>
    <t>Trừ giao cột vách</t>
  </si>
  <si>
    <t>Đáy và thành dầm</t>
  </si>
  <si>
    <t>Đáy sàn</t>
  </si>
  <si>
    <t>QUY TẮC BÓC KHỐI LƯỢNG</t>
  </si>
  <si>
    <t>Thành dầm cao 400mm</t>
  </si>
  <si>
    <t>Thành dầm cao 300mm</t>
  </si>
  <si>
    <t>Thành dầm cao 100mm</t>
  </si>
  <si>
    <t>Biện Pháp</t>
  </si>
  <si>
    <t>X11.11</t>
  </si>
  <si>
    <t>ID-X05</t>
  </si>
  <si>
    <t>MA TRẬN CẤU KIỆN ĐIỂN HÌNH _ EIE HẢI PHÒNG</t>
  </si>
  <si>
    <t xml:space="preserve"> HĐ draff Thầu up lên</t>
  </si>
  <si>
    <t>05.12.2022_File bản vẽ Cad Kien truc, Ket cau, MEP_phần ngầm_Dự án TTTM EIE.rar - Google Drive</t>
  </si>
  <si>
    <t>Đang triển khai theo BV dự án gửi lại cho Mr Dũng</t>
  </si>
  <si>
    <t>Bê tông dầm tầng 1 M600 (M400 theo bản vẽ thiết kế)</t>
  </si>
  <si>
    <t>Bê tông sàn tâng 1 M600 (M400 theo bản vẽ thiết kế)</t>
  </si>
  <si>
    <t>DỮ LIỆU ĐẦU VÀO CẤU KIỆN</t>
  </si>
  <si>
    <t>Kích thước (m)</t>
  </si>
  <si>
    <t>Chu vi
(m)</t>
  </si>
  <si>
    <t>Diện tích
(m2)</t>
  </si>
  <si>
    <t>Tính khối lượng bê tông lót</t>
  </si>
  <si>
    <t>Tính khối lượng bê tông kết cấu</t>
  </si>
  <si>
    <t>Tính khối lượng đào đất (theo bptc)</t>
  </si>
  <si>
    <t>Mở mỗi bên 0,1m</t>
  </si>
  <si>
    <t>Tính đến đáy sàn hầm B1 (hs=0,3m)</t>
  </si>
  <si>
    <t>Kích thước đáy (m)</t>
  </si>
  <si>
    <t>Diện tích đáy
(m2)</t>
  </si>
  <si>
    <t>Diện tích miệng
(m2)</t>
  </si>
  <si>
    <t>PC-1</t>
  </si>
  <si>
    <t>Số lượng Đài</t>
  </si>
  <si>
    <t>SL cọc D1200</t>
  </si>
  <si>
    <t>SL cọc D800</t>
  </si>
  <si>
    <t>Đáy mở rộng mỗi bên 0,8m; taluy 1-1; tính đến cos đáy bê tông lót sàn hầm</t>
  </si>
  <si>
    <t>PC-1B (cos-6.2)</t>
  </si>
  <si>
    <t>PC-1B (cos-4,55)</t>
  </si>
  <si>
    <t>PC-1C (cos-4,55)</t>
  </si>
  <si>
    <t>PC-1C (cos-5,49)</t>
  </si>
  <si>
    <t>PC-1D</t>
  </si>
  <si>
    <t>PC-1E</t>
  </si>
  <si>
    <t>PC-1E*</t>
  </si>
  <si>
    <t>PC-1F</t>
  </si>
  <si>
    <t>PC-1F* (cos-4,55)</t>
  </si>
  <si>
    <t>PC-1F* (cos-6,2)</t>
  </si>
  <si>
    <t>PC-1A*</t>
  </si>
  <si>
    <t>PC-1A</t>
  </si>
  <si>
    <t>PC-1AA</t>
  </si>
  <si>
    <t>PC-1AB</t>
  </si>
  <si>
    <t>PC-1*</t>
  </si>
  <si>
    <t>PC-2A</t>
  </si>
  <si>
    <t>PC-2</t>
  </si>
  <si>
    <t>PC-2B</t>
  </si>
  <si>
    <t>Trừ PC-2B</t>
  </si>
  <si>
    <t>PC-2C (cos-4,55)</t>
  </si>
  <si>
    <t>PC-2C (cos-4,49)</t>
  </si>
  <si>
    <t>PC-6A</t>
  </si>
  <si>
    <t>PC-3B</t>
  </si>
  <si>
    <t>PC-3E</t>
  </si>
  <si>
    <t>PC-3F</t>
  </si>
  <si>
    <t>PC-3C</t>
  </si>
  <si>
    <t>Trừ PC-3C</t>
  </si>
  <si>
    <t>PC-3D</t>
  </si>
  <si>
    <t>Trừ PC-3D</t>
  </si>
  <si>
    <t>PLC (H4550)</t>
  </si>
  <si>
    <t>Trừ PLC (H4550)</t>
  </si>
  <si>
    <t>PLC (H3000)</t>
  </si>
  <si>
    <t>PC-1B* ( có trên MB nhưng ko có chi tiết)</t>
  </si>
  <si>
    <t>PC-3</t>
  </si>
  <si>
    <t>PC-3*</t>
  </si>
  <si>
    <t>PC-6</t>
  </si>
  <si>
    <t>Khu biên</t>
  </si>
  <si>
    <t>S21.21</t>
  </si>
  <si>
    <t>S22.21</t>
  </si>
  <si>
    <t>S23.21</t>
  </si>
  <si>
    <t>S24.21</t>
  </si>
  <si>
    <t>S25.21</t>
  </si>
  <si>
    <t>Đài - Khu biên</t>
  </si>
  <si>
    <t>giằng, sàn - Khu biên</t>
  </si>
  <si>
    <t>Tường bao tầng hầm - Khu biên</t>
  </si>
  <si>
    <t>Cột Tầng B1 - Khu biên</t>
  </si>
  <si>
    <t>Dầm sàn tầng 1- Khu biên</t>
  </si>
  <si>
    <t>giằng, sàn, rãnh nước nền hầm - Khu lõi</t>
  </si>
  <si>
    <t>Tường bao tầng hầm - Khu lõi</t>
  </si>
  <si>
    <t>Cột Tầng B1- Khu lõi</t>
  </si>
  <si>
    <t>Vách Tầng B1(Loại L, V) - Khu lõi</t>
  </si>
  <si>
    <t>Dầm sàn tầng 1 (zone1) - Khu lõi</t>
  </si>
  <si>
    <t>Dầm sàn tầng 1 (zone2) - Khu lõi</t>
  </si>
  <si>
    <t>Dầm sàn tầng 1 (zone3) - Khu lõi</t>
  </si>
  <si>
    <t>Dầm sàn tầng 1 (zone4) - Khu lõi</t>
  </si>
  <si>
    <t>Bể Dầu, XL</t>
  </si>
  <si>
    <t>Bể PCCC &amp; SH</t>
  </si>
  <si>
    <t>S33.13</t>
  </si>
  <si>
    <t>1.40012.C.20.01.01</t>
  </si>
  <si>
    <t>1.40012.C.20.02.01</t>
  </si>
  <si>
    <t>Khu Lõi</t>
  </si>
  <si>
    <t>C.  Biện Pháp</t>
  </si>
  <si>
    <t>A. Khu Lõi</t>
  </si>
  <si>
    <t>B.  Khu Biên</t>
  </si>
  <si>
    <t>1.40012.C.20.02.02</t>
  </si>
  <si>
    <t>Đài đơn còn lại - Khu lõi</t>
  </si>
  <si>
    <t>NỘI BỘ</t>
  </si>
  <si>
    <t>CHỦ ĐẦU TƯ</t>
  </si>
  <si>
    <t>Lưu ý bê tông đầu vách loe giao với dầm sàn (theo chi tiết space)</t>
  </si>
  <si>
    <t>Lưu ý bê tông đầu cột loe giao với dầm sàn (theo chi tiết space)</t>
  </si>
  <si>
    <t>- Thành dầm dưới đấy sàn tính đến đáy sàn
- Thành dầm biên/thành dầm vị trí lỗ mở tính đến mặt sàn
- Đáy dầm tính vào vk dầm</t>
  </si>
  <si>
    <t>- Tính VK đáy cho các vị trí sàn không giao với dầm, cột, vách, tường tầng hầm
- Tinh VK thành sàn cho vị trí không giao dầm, cột, vách, tường.</t>
  </si>
  <si>
    <t>Dòng sản phẩm: Kết cấu hầm bottom-up</t>
  </si>
  <si>
    <t>Bê tông nền hầm M400 ( Bao gồm: giằng, sàn, rãnh nước- M400 W10; hố bơm, bể phốt M300 W10))</t>
  </si>
  <si>
    <t>Bê tông tường tầng hầm M400 (Bao gồm: Vách bao hầm M500 W10; Vách bể M400 W10)</t>
  </si>
  <si>
    <t>Bê tông cầu thang bộ, đường dốc M300 (Bao gồm: Thang bộ M300; đường dốc M400)</t>
  </si>
  <si>
    <t>BỔ SUNG BỞI BPKL</t>
  </si>
  <si>
    <t>vách ngăn bể trong nhà</t>
  </si>
  <si>
    <t>Tường bao tầng hầm, tường bao bể</t>
  </si>
  <si>
    <t xml:space="preserve">- Tính đến đáy dầm sàn
</t>
  </si>
  <si>
    <t xml:space="preserve"> - QSDA Làm rõ lại với CĐT vị trí giao Dầm sàn</t>
  </si>
  <si>
    <t>- QSDA Làm rõ lại với CĐT vị trí giao Dầm</t>
  </si>
  <si>
    <t>- QSDA Làm rõ lại với CĐT vị trí giao Sàn</t>
  </si>
  <si>
    <t>PLC</t>
  </si>
  <si>
    <t>Đài Bể 1</t>
  </si>
  <si>
    <t>Đài Bể 2</t>
  </si>
  <si>
    <t>Đài KV Biên</t>
  </si>
  <si>
    <t>Đài KV Lõi</t>
  </si>
  <si>
    <t>SL Cọc D1200</t>
  </si>
  <si>
    <t>SL Cọc D800</t>
  </si>
  <si>
    <t>Trừ bê tông đầu cọc D1200 chiếm chỗ</t>
  </si>
  <si>
    <t>Vk thành đài biên không giao sàn H300</t>
  </si>
  <si>
    <t>D1200</t>
  </si>
  <si>
    <t>D800</t>
  </si>
  <si>
    <t>Tam tính theo chiều cao Thiết kế H1400</t>
  </si>
  <si>
    <t>Diện tích đáy</t>
  </si>
  <si>
    <t>Diện tích mặt</t>
  </si>
  <si>
    <t>Khối lượng đào</t>
  </si>
  <si>
    <t>Trừ KL bê tông lot chiếm chỗ</t>
  </si>
  <si>
    <t>Trừ KL bê tông kết cấu chiếm chỗ</t>
  </si>
  <si>
    <t>Trừ Khối lượng đắp</t>
  </si>
  <si>
    <t>Trừ BT cọc chiếm chỗ</t>
  </si>
  <si>
    <t>Đài móng</t>
  </si>
  <si>
    <t>- Tính đến đáy dầm sàn, đáy nắp bể</t>
  </si>
  <si>
    <t>- Tính đến đáy sàn nền</t>
  </si>
  <si>
    <t xml:space="preserve">- Tính đến đáy sàn nền
- Thanh biên tính đến mặt đài
- Thành giao với rãnh nước: tính vào rãnh nước
</t>
  </si>
  <si>
    <t xml:space="preserve"> - QSDA Làm rõ lại với CĐT vị trí giao Dầm sàn nền</t>
  </si>
  <si>
    <t>Trừ giao giằng: H1300</t>
  </si>
  <si>
    <t>Trừ giao giằng: H700</t>
  </si>
  <si>
    <t>Trừ giao giằng: H500</t>
  </si>
  <si>
    <t>Đài PLC:</t>
  </si>
  <si>
    <t>ID-004B</t>
  </si>
  <si>
    <t>ID-006B</t>
  </si>
  <si>
    <t>ID-007B</t>
  </si>
  <si>
    <t>ID-011B</t>
  </si>
  <si>
    <t>ID-012B</t>
  </si>
  <si>
    <t>ID-013B</t>
  </si>
  <si>
    <t>ID-014B</t>
  </si>
  <si>
    <t>ID-016B</t>
  </si>
  <si>
    <t>ID-024B</t>
  </si>
  <si>
    <t>ID-029B</t>
  </si>
  <si>
    <t>ID-032B</t>
  </si>
  <si>
    <t>ID-035B</t>
  </si>
  <si>
    <t>ID-036B</t>
  </si>
  <si>
    <t>ID-004A</t>
  </si>
  <si>
    <t>ID-006A</t>
  </si>
  <si>
    <t>ID-007A</t>
  </si>
  <si>
    <t>ID-007C</t>
  </si>
  <si>
    <t>X11.12</t>
  </si>
  <si>
    <t>Biện Pháp khác</t>
  </si>
  <si>
    <t>ID-001A</t>
  </si>
  <si>
    <t>ID-002A</t>
  </si>
  <si>
    <t>ID-003A</t>
  </si>
  <si>
    <t>ID-010A</t>
  </si>
  <si>
    <t>ID-011A</t>
  </si>
  <si>
    <t>ID-004C</t>
  </si>
  <si>
    <t>ID-006C</t>
  </si>
  <si>
    <t>ID-013A</t>
  </si>
  <si>
    <t>ID-X01</t>
  </si>
  <si>
    <t>ID-X02</t>
  </si>
  <si>
    <t>ID-X03</t>
  </si>
  <si>
    <t>ID-X04</t>
  </si>
  <si>
    <t>ID-X08</t>
  </si>
  <si>
    <t>ID-X09</t>
  </si>
  <si>
    <t>ID-X10</t>
  </si>
  <si>
    <t>ID-X11</t>
  </si>
  <si>
    <t>ID-X12</t>
  </si>
  <si>
    <t>ID-X13</t>
  </si>
  <si>
    <t>ID-X14</t>
  </si>
  <si>
    <t>ID-X15</t>
  </si>
  <si>
    <t>ID-X16</t>
  </si>
  <si>
    <t>ID-X17</t>
  </si>
  <si>
    <t>ID-X18</t>
  </si>
  <si>
    <t>ID-X19</t>
  </si>
  <si>
    <t>ID-X20</t>
  </si>
  <si>
    <t>ID-012A</t>
  </si>
  <si>
    <t>ID-014A</t>
  </si>
  <si>
    <t>ID-015A</t>
  </si>
  <si>
    <t>ID-016A</t>
  </si>
  <si>
    <t>ID-016C</t>
  </si>
  <si>
    <t>ID-023A</t>
  </si>
  <si>
    <t>ID-024A</t>
  </si>
  <si>
    <t>ID-024C</t>
  </si>
  <si>
    <t>ID-028A</t>
  </si>
  <si>
    <t>ID-029A</t>
  </si>
  <si>
    <t>ID-029C</t>
  </si>
  <si>
    <t>ID-030A</t>
  </si>
  <si>
    <t>ID-031A</t>
  </si>
  <si>
    <t>ID-032A</t>
  </si>
  <si>
    <t>ID-033A</t>
  </si>
  <si>
    <t>ID-034A</t>
  </si>
  <si>
    <t>ID-036A</t>
  </si>
  <si>
    <t>DANH MỤC BẢN VẼ</t>
  </si>
  <si>
    <t>STT</t>
  </si>
  <si>
    <t>Dòng SP</t>
  </si>
  <si>
    <t>TÊN BẢN VẼ</t>
  </si>
  <si>
    <t>SỐ HIỆU BẢN VẼ</t>
  </si>
  <si>
    <t>Loại FILE</t>
  </si>
  <si>
    <t>Các cấu kiện áp dung</t>
  </si>
  <si>
    <t>Rev_0</t>
  </si>
  <si>
    <t>Rev_A</t>
  </si>
  <si>
    <t>Rev_B</t>
  </si>
  <si>
    <t>BẢN VẼ THIẾT KẾ</t>
  </si>
  <si>
    <t>I</t>
  </si>
  <si>
    <t>KC PHAN NGAM EIE</t>
  </si>
  <si>
    <t>KC hầm</t>
  </si>
  <si>
    <t>BÌA DANH MỤC</t>
  </si>
  <si>
    <t>STR-GEN-00</t>
  </si>
  <si>
    <t>File cứng/ Dwg</t>
  </si>
  <si>
    <t>GENERAL NOTES, DRAWING LIST</t>
  </si>
  <si>
    <t>Tất cả</t>
  </si>
  <si>
    <t>GENERAL NOTE</t>
  </si>
  <si>
    <t>STR-GEN-01</t>
  </si>
  <si>
    <t>CHI TIẾT ĐIỂN HÌNH -1</t>
  </si>
  <si>
    <t>STR-GEN-02</t>
  </si>
  <si>
    <t>CHI TIẾT ĐIỂN HÌNH -2</t>
  </si>
  <si>
    <t>STR-GEN-03</t>
  </si>
  <si>
    <t>CHI TIẾT ĐIỂN HÌNH -3</t>
  </si>
  <si>
    <t>CHI TIẾT ĐIỂN HÌNH -4</t>
  </si>
  <si>
    <t>STR-GEN-04</t>
  </si>
  <si>
    <t>CHI TIẾT ĐIỂN HÌNH -5</t>
  </si>
  <si>
    <t>STR-GEN-05</t>
  </si>
  <si>
    <t>MẶT BẰNG ĐỊNH VỊ CỘT, VÁCH TẦNG HẦM</t>
  </si>
  <si>
    <t>STR-CWP-01</t>
  </si>
  <si>
    <t xml:space="preserve">MẶT BẰNG ĐỊNH VỊ CỘT, VÁCH </t>
  </si>
  <si>
    <t>MẶT BẰNG ĐÀI MÓNG</t>
  </si>
  <si>
    <t>STR-FOL-01</t>
  </si>
  <si>
    <t>MẶT BẰNG MÓNG</t>
  </si>
  <si>
    <t>MẶT BẰNG GIẰNG MÓNG, TƯỜNG MÓNG, RÃNH THU NƯỚC</t>
  </si>
  <si>
    <t>STR-FOL-02</t>
  </si>
  <si>
    <t>MẶT BẰNG KẾT CẤU SÀN TẦNG 1</t>
  </si>
  <si>
    <t>STR-FML-01</t>
  </si>
  <si>
    <t>MẶT BẰNG KẾT CẤU KHỐI ĐẾ</t>
  </si>
  <si>
    <t>MẶT CẮT SÀN TẦNG 1</t>
  </si>
  <si>
    <t>STR-FML-01A</t>
  </si>
  <si>
    <t>KC cao tầng</t>
  </si>
  <si>
    <t>MẶT BẰNG KẾT CẤU SÀN LỬNG</t>
  </si>
  <si>
    <t>STR-FML-01B</t>
  </si>
  <si>
    <t>Tham khảo</t>
  </si>
  <si>
    <t>MẶT BẰNG KẾT CẤU SÀN TẦNG 2</t>
  </si>
  <si>
    <t>STR-FML-02</t>
  </si>
  <si>
    <t>MẶT BẰNG KẾT CẤU SÀN TẦNG 3</t>
  </si>
  <si>
    <t>STR-FML-03</t>
  </si>
  <si>
    <t>CHI TIẾT MÓNG -1</t>
  </si>
  <si>
    <t>STR-PCD-01</t>
  </si>
  <si>
    <t>CHI TIẾT MÓNG</t>
  </si>
  <si>
    <t>CHI TIẾT MÓNG -2</t>
  </si>
  <si>
    <t>STR-PCD-02</t>
  </si>
  <si>
    <t>CHI TIẾT MÓNG -3</t>
  </si>
  <si>
    <t>STR-PCD-03</t>
  </si>
  <si>
    <t>CHI TIẾT MÓNG -4</t>
  </si>
  <si>
    <t>STR-PCD-04</t>
  </si>
  <si>
    <t>CHI TIẾT MÓNG -5</t>
  </si>
  <si>
    <t>STR-PCD-05</t>
  </si>
  <si>
    <t>CHI TIẾT MÓNG -6</t>
  </si>
  <si>
    <t>STR-PCD-06</t>
  </si>
  <si>
    <t>CHI TIẾT MÓNG -7</t>
  </si>
  <si>
    <t>STR-PCD-07</t>
  </si>
  <si>
    <t>CHI TIẾT MÓNG -8</t>
  </si>
  <si>
    <t>STR-PCD-08</t>
  </si>
  <si>
    <t>CHI TIẾT MÓNG -9</t>
  </si>
  <si>
    <t>STR-PCD-09</t>
  </si>
  <si>
    <t>CHI TIẾT MÓNG -10</t>
  </si>
  <si>
    <t>STR-PCD-010</t>
  </si>
  <si>
    <t>CHI TIẾT MÓNG -11</t>
  </si>
  <si>
    <t>STR-PCD-011</t>
  </si>
  <si>
    <t>CHI TIẾT MÓNG -12</t>
  </si>
  <si>
    <t>STR-PCD-012</t>
  </si>
  <si>
    <t>CHI TIẾT MÓNG -13</t>
  </si>
  <si>
    <t>STR-PCD-013</t>
  </si>
  <si>
    <t>CHI TIẾT MÓNG -14</t>
  </si>
  <si>
    <t>STR-PCD-014</t>
  </si>
  <si>
    <t>CHI TIẾT MÓNG -15</t>
  </si>
  <si>
    <t>STR-PCD-015</t>
  </si>
  <si>
    <t>CHI TIẾT CỘT -1</t>
  </si>
  <si>
    <t>KC-COL-01</t>
  </si>
  <si>
    <t>CHI TIẾT CỘT</t>
  </si>
  <si>
    <t>CHI TIẾT CỘT -2</t>
  </si>
  <si>
    <t>KC-COL-02</t>
  </si>
  <si>
    <t>CHI TIẾT CỘT -3</t>
  </si>
  <si>
    <t>KC-COL-03</t>
  </si>
  <si>
    <t>CHI TIẾT CỘT -4</t>
  </si>
  <si>
    <t>KC-COL-04</t>
  </si>
  <si>
    <t>CHI TIẾT CỘT -5</t>
  </si>
  <si>
    <t>KC-COL-05</t>
  </si>
  <si>
    <t>THỐNG KÊ CỐT THÉP CỘT 1</t>
  </si>
  <si>
    <t>STR-BSH-01</t>
  </si>
  <si>
    <t>THỐNG KÊ CỐT THÉP CỘT 2</t>
  </si>
  <si>
    <t>STR-BSH-02</t>
  </si>
  <si>
    <t>CHI TIẾT VÁCH -1</t>
  </si>
  <si>
    <t>STR-WALL-01</t>
  </si>
  <si>
    <t>CHI TIẾT VÁCH</t>
  </si>
  <si>
    <t>CHI TIẾT VÁCH -2</t>
  </si>
  <si>
    <t>STR-WALL-02</t>
  </si>
  <si>
    <t>CHI TIẾT VÁCH -3</t>
  </si>
  <si>
    <t>STR-WALL-03</t>
  </si>
  <si>
    <t>CHI TIẾT VÁCH -4</t>
  </si>
  <si>
    <t>STR-WALL-04</t>
  </si>
  <si>
    <t>CHI TIẾT VÁCH -5</t>
  </si>
  <si>
    <t>STR-WALL-05</t>
  </si>
  <si>
    <t>THỐNG KẾ THÉP VÁCH</t>
  </si>
  <si>
    <t>STR-WALL-06</t>
  </si>
  <si>
    <t>CH I TIẾT DẦM -12</t>
  </si>
  <si>
    <t>STR-BEAM-12</t>
  </si>
  <si>
    <t xml:space="preserve">CH I TIẾT DẦM </t>
  </si>
  <si>
    <t>CH I TIẾT DẦM -13</t>
  </si>
  <si>
    <t>STR-BEAM-13</t>
  </si>
  <si>
    <t>CH I TIẾT DẦM -14</t>
  </si>
  <si>
    <t>STR-BEAM-14</t>
  </si>
  <si>
    <t>CH I TIẾT DẦM -15</t>
  </si>
  <si>
    <t>STR-BEAM-15</t>
  </si>
  <si>
    <t>CH I TIẾT DẦM -16</t>
  </si>
  <si>
    <t>STR-BEAM-16</t>
  </si>
  <si>
    <t>CH I TIẾT DẦM -17</t>
  </si>
  <si>
    <t>STR-BEAM-17</t>
  </si>
  <si>
    <t>CH I TIẾT DẦM -18</t>
  </si>
  <si>
    <t>STR-BEAM-18</t>
  </si>
  <si>
    <t>CH I TIẾT DẦM -19</t>
  </si>
  <si>
    <t>STR-BEAM-19</t>
  </si>
  <si>
    <t>CH I TIẾT DẦM -20</t>
  </si>
  <si>
    <t>STR-BEAM-20</t>
  </si>
  <si>
    <t>CH I TIẾT DẦM -21</t>
  </si>
  <si>
    <t>STR-BEAM-21</t>
  </si>
  <si>
    <t>THỐNG KẾ THÉP DẦM -1</t>
  </si>
  <si>
    <t>THỐNG KẾ THÉP DẦM -2</t>
  </si>
  <si>
    <t>STR-BEAM-22</t>
  </si>
  <si>
    <t>THỐNG KẾ THÉP DẦM -3</t>
  </si>
  <si>
    <t>STR-BEAM-23</t>
  </si>
  <si>
    <t>THỐNG KẾ THÉP DẦM -4</t>
  </si>
  <si>
    <t>STR-BEAM-24</t>
  </si>
  <si>
    <t>THỐNG KẾ THÉP DẦM -5</t>
  </si>
  <si>
    <t>STR-BEAM-25</t>
  </si>
  <si>
    <t>THỐNG KẾ THÉP DẦM -6</t>
  </si>
  <si>
    <t>STR-BEAM-26</t>
  </si>
  <si>
    <t>THỐNG KẾ THÉP DẦM -7</t>
  </si>
  <si>
    <t>STR-BEAM-27</t>
  </si>
  <si>
    <t>MẶT BẰNG CỐT THÉP SÀN TẦNG 1 LỚP DƯỚI</t>
  </si>
  <si>
    <t>KC-RSL-01</t>
  </si>
  <si>
    <t>MẶT BẰNG CỐT THÉP SÀN TẦNG 1</t>
  </si>
  <si>
    <t>MẶT BẰNG CỐT THÉP SÀN TẦNG 1 LỚP TRÊN</t>
  </si>
  <si>
    <t>KC-RSL-02</t>
  </si>
  <si>
    <t>MẶT BẰNG CỐT THÉP SÀN TẦNG 1 GIA CƯỜNG LỚP TRÊN</t>
  </si>
  <si>
    <t>KC-RSL-03</t>
  </si>
  <si>
    <t>THỐNG KÊ CỐT THÉP SÀN -1</t>
  </si>
  <si>
    <t>STR-SCH-01</t>
  </si>
  <si>
    <t>THỐNG KÊ CỐT THÉP SÀN -2</t>
  </si>
  <si>
    <t>STR-SCH-02</t>
  </si>
  <si>
    <t>THỐNG KÊ CỐT THÉP SÀN -3</t>
  </si>
  <si>
    <t>STR-SCH-03</t>
  </si>
  <si>
    <t>MẶT BẰNG CỐT THÉP SÀN MÓNG- LỚP DƯỚI</t>
  </si>
  <si>
    <t>STR-RSF-01</t>
  </si>
  <si>
    <t>MẶT BẰNG CỐT THÉP SÀN MÓNG</t>
  </si>
  <si>
    <t>MẶT BẰNG CỐT THÉP SÀN MÓNG- LỚP TRÊN</t>
  </si>
  <si>
    <t>STR-RSF-02</t>
  </si>
  <si>
    <t>CHI TIẾT THANG BỘ -1</t>
  </si>
  <si>
    <t>STR-STA-01</t>
  </si>
  <si>
    <t xml:space="preserve">CHI TIẾT THANG BỘ </t>
  </si>
  <si>
    <t>CHI TIẾT THANG BỘ -2</t>
  </si>
  <si>
    <t>STR-STA-02</t>
  </si>
  <si>
    <t>CHI TIẾT THANG BỘ -3</t>
  </si>
  <si>
    <t>STR-STA-03</t>
  </si>
  <si>
    <t>CHI TIẾT THANG BỘ -4</t>
  </si>
  <si>
    <t>STR-STA-04</t>
  </si>
  <si>
    <t>CHI TIẾT ĐƯỜNG DỐC -1</t>
  </si>
  <si>
    <t>STR-RAMP-01</t>
  </si>
  <si>
    <t xml:space="preserve">CHI TIẾT ĐƯỜNG DỐC </t>
  </si>
  <si>
    <t>CHI TIẾT ĐƯỜNG DỐC -2</t>
  </si>
  <si>
    <t>STR-RAMP-02</t>
  </si>
  <si>
    <t>BẢN VẼ SHOP, BIỆN PHÁP</t>
  </si>
  <si>
    <t>Bản vẽ shop thép cột C1,C2C3</t>
  </si>
  <si>
    <t>SD.C.01</t>
  </si>
  <si>
    <t>Dwg/PDF</t>
  </si>
  <si>
    <t>ShopXYZ</t>
  </si>
  <si>
    <t>Shop</t>
  </si>
  <si>
    <t>Bản vẽ shop thép Vách CW-1,CW-2</t>
  </si>
  <si>
    <t>SD.C.02</t>
  </si>
  <si>
    <t>Bản vẽ shop thép Vách CW-3</t>
  </si>
  <si>
    <t>SD.C.03</t>
  </si>
  <si>
    <t>Biện pháp thi công móng cẩu tháp</t>
  </si>
  <si>
    <t>MED-A.01</t>
  </si>
  <si>
    <t>Biện pháp thi công phần ngầm</t>
  </si>
  <si>
    <t>Biện pháp</t>
  </si>
  <si>
    <t>Biện pháp thi công đào đất</t>
  </si>
  <si>
    <t>MED-A.02</t>
  </si>
  <si>
    <t>Phê duyệt lại</t>
  </si>
  <si>
    <t>Hợp đồng</t>
  </si>
  <si>
    <t>Đài móng - khu lõi</t>
  </si>
  <si>
    <t>Nền hầm - Khu lõi</t>
  </si>
  <si>
    <t>Tầng 1 - khu lõi</t>
  </si>
  <si>
    <t>Bể PCCC</t>
  </si>
  <si>
    <t>Bể XLNT</t>
  </si>
  <si>
    <t>Đài móng -Biên</t>
  </si>
  <si>
    <t>Nền hầm - Biên</t>
  </si>
  <si>
    <t>Tầng 1 - Biên</t>
  </si>
  <si>
    <t>xxxx</t>
  </si>
  <si>
    <t>Phiên bản</t>
  </si>
  <si>
    <t>Đào đất khu lõi</t>
  </si>
  <si>
    <t>Đào đất khu biên</t>
  </si>
  <si>
    <t>Công tác đắp khu lõi</t>
  </si>
  <si>
    <t>E</t>
  </si>
  <si>
    <t>X21.11</t>
  </si>
  <si>
    <t>X21.12</t>
  </si>
  <si>
    <t>X21.13</t>
  </si>
  <si>
    <t>X22.11</t>
  </si>
  <si>
    <t>Đắp đất khu lõi</t>
  </si>
  <si>
    <t>X31.11</t>
  </si>
  <si>
    <t>Đắp đất khu biên</t>
  </si>
  <si>
    <t>Đắp đất giữa cừ và vách hầm</t>
  </si>
  <si>
    <t>C. Đất</t>
  </si>
  <si>
    <t>1.40012.C.20.03.01</t>
  </si>
  <si>
    <t>1.40012.C.20.03.02</t>
  </si>
  <si>
    <t>Đắp đất cục bộ khu lõi</t>
  </si>
  <si>
    <t>Đào taluy chân cừ khu biên</t>
  </si>
  <si>
    <t>Đào đất đến -2.5, khu lõi</t>
  </si>
  <si>
    <t>Đào đất đến -4.9, khu lõi</t>
  </si>
  <si>
    <t>Đào đất cục bộ, khu lõi</t>
  </si>
  <si>
    <t>TÊN FILE MỀM BẢN VẼ, ĐƯỜNG DẪN</t>
  </si>
  <si>
    <t>X32.11</t>
  </si>
  <si>
    <t>BOQ-005</t>
  </si>
  <si>
    <t>BOQ-029</t>
  </si>
  <si>
    <t>BOQ-033</t>
  </si>
  <si>
    <t>BOQ-034</t>
  </si>
  <si>
    <t>BOQ-037</t>
  </si>
  <si>
    <t>BOQ-065</t>
  </si>
  <si>
    <t>BOQ-004</t>
  </si>
  <si>
    <t>BOQ-006</t>
  </si>
  <si>
    <t>BOQ-010</t>
  </si>
  <si>
    <t>BOQ-062</t>
  </si>
  <si>
    <t>BOQ-063</t>
  </si>
  <si>
    <t>[2]</t>
  </si>
  <si>
    <t>[3]</t>
  </si>
  <si>
    <t>[4]</t>
  </si>
  <si>
    <t>[5]</t>
  </si>
  <si>
    <t>[6]</t>
  </si>
  <si>
    <t>[8]</t>
  </si>
  <si>
    <t>[9]</t>
  </si>
  <si>
    <t>[10]</t>
  </si>
  <si>
    <t>[11]</t>
  </si>
  <si>
    <t>[12]</t>
  </si>
  <si>
    <t>[13]</t>
  </si>
  <si>
    <t>[14]</t>
  </si>
  <si>
    <t>[15]</t>
  </si>
  <si>
    <t>[16]</t>
  </si>
  <si>
    <t>[17]</t>
  </si>
  <si>
    <t>[18]</t>
  </si>
  <si>
    <t>[19]</t>
  </si>
  <si>
    <t>[20]</t>
  </si>
  <si>
    <t>[21]</t>
  </si>
  <si>
    <t>[22]</t>
  </si>
  <si>
    <t>[23]</t>
  </si>
  <si>
    <t>[24]</t>
  </si>
  <si>
    <t>[25]</t>
  </si>
  <si>
    <t>[26]</t>
  </si>
  <si>
    <t>[27]</t>
  </si>
  <si>
    <t>BOQ-001</t>
  </si>
  <si>
    <t>BOQ-002</t>
  </si>
  <si>
    <t>BOQ-003</t>
  </si>
  <si>
    <t>BOQ-007</t>
  </si>
  <si>
    <t>BOQ-008</t>
  </si>
  <si>
    <t>BOQ-009</t>
  </si>
  <si>
    <t>BOQ-011</t>
  </si>
  <si>
    <t>BOQ-012</t>
  </si>
  <si>
    <t>BOQ-013</t>
  </si>
  <si>
    <t>BOQ-014</t>
  </si>
  <si>
    <t>BOQ-015</t>
  </si>
  <si>
    <t>BOQ-016</t>
  </si>
  <si>
    <t>BOQ-017</t>
  </si>
  <si>
    <t>BOQ-018</t>
  </si>
  <si>
    <t>BOQ-019</t>
  </si>
  <si>
    <t>BOQ-020</t>
  </si>
  <si>
    <t>BOQ-021</t>
  </si>
  <si>
    <t>BOQ-022</t>
  </si>
  <si>
    <t>BOQ-023</t>
  </si>
  <si>
    <t>BOQ-024</t>
  </si>
  <si>
    <t>BOQ-025</t>
  </si>
  <si>
    <t>BOQ-026</t>
  </si>
  <si>
    <t>BOQ-027</t>
  </si>
  <si>
    <t>BOQ-028</t>
  </si>
  <si>
    <t>BOQ-030</t>
  </si>
  <si>
    <t>BOQ-031</t>
  </si>
  <si>
    <t>BOQ-032</t>
  </si>
  <si>
    <t>BOQ-035</t>
  </si>
  <si>
    <t>BOQ-036</t>
  </si>
  <si>
    <t>BOQ-038</t>
  </si>
  <si>
    <t>BOQ-039</t>
  </si>
  <si>
    <t>BOQ-040</t>
  </si>
  <si>
    <t>BOQ-041</t>
  </si>
  <si>
    <t>BOQ-042</t>
  </si>
  <si>
    <t>BOQ-043</t>
  </si>
  <si>
    <t>BOQ-044</t>
  </si>
  <si>
    <t>BOQ-045</t>
  </si>
  <si>
    <t>BOQ-046</t>
  </si>
  <si>
    <t>BOQ-047</t>
  </si>
  <si>
    <t>BOQ-048</t>
  </si>
  <si>
    <t>BOQ-049</t>
  </si>
  <si>
    <t>BOQ-050</t>
  </si>
  <si>
    <t>BOQ-051</t>
  </si>
  <si>
    <t>BOQ-052</t>
  </si>
  <si>
    <t>BOQ-053</t>
  </si>
  <si>
    <t>BOQ-054</t>
  </si>
  <si>
    <t>BOQ-055</t>
  </si>
  <si>
    <t>BOQ-056</t>
  </si>
  <si>
    <t>BOQ-057</t>
  </si>
  <si>
    <t>BOQ-058</t>
  </si>
  <si>
    <t>BOQ-059</t>
  </si>
  <si>
    <t>BOQ-060</t>
  </si>
  <si>
    <t>BOQ-061</t>
  </si>
  <si>
    <t>BOQ-064</t>
  </si>
  <si>
    <t>BOQ-066</t>
  </si>
  <si>
    <t>BOQ-067</t>
  </si>
  <si>
    <t>BOQ-068</t>
  </si>
  <si>
    <t>SAP</t>
  </si>
  <si>
    <t>KL HĐ A</t>
  </si>
  <si>
    <t>Phiên bản hiện hành</t>
  </si>
  <si>
    <t>Phiên bản ngay trước đó</t>
  </si>
  <si>
    <t>[7]</t>
  </si>
  <si>
    <t>THCT</t>
  </si>
  <si>
    <t>[12]=[11]-[9]</t>
  </si>
  <si>
    <t>[13]=[11]-[10]</t>
  </si>
  <si>
    <t>BOS-Code</t>
  </si>
  <si>
    <t>BOS</t>
  </si>
  <si>
    <t>1.10010.C.10.01.01</t>
  </si>
  <si>
    <t>Cọc khoan nhồi - DC1</t>
  </si>
  <si>
    <t>1.10010.C.10.01.01.01</t>
  </si>
  <si>
    <t>Cọc nhồi loại D800 - Dây chuyền 1</t>
  </si>
  <si>
    <t>S11.11(D800-DC1)</t>
  </si>
  <si>
    <t>1.10010.C.10.01.01.01.01</t>
  </si>
  <si>
    <t>Cọc nhồi loại D1000  - Dây chuyền 1</t>
  </si>
  <si>
    <t>S11.12(D1000-DC1)</t>
  </si>
  <si>
    <t>1.10010.C.10.01.01.01.02</t>
  </si>
  <si>
    <t>1.10010.C.10.01.02</t>
  </si>
  <si>
    <t>Cọc khoan nhồi - DC2</t>
  </si>
  <si>
    <t>1.10010.C.10.01.02.01</t>
  </si>
  <si>
    <t>Cọc nhồi loại D800 - Dây chuyền 2</t>
  </si>
  <si>
    <t>S11.21(D800-DC2)</t>
  </si>
  <si>
    <t>1.10010.C.10.01.02.01.01</t>
  </si>
  <si>
    <t>Cọc nhồi loại D1000  - Dây chuyền 2</t>
  </si>
  <si>
    <t>S11.22(D1000-DC2)</t>
  </si>
  <si>
    <t>1.10010.C.10.01.02.01.02</t>
  </si>
  <si>
    <t>1.10010.C.10.01.03</t>
  </si>
  <si>
    <t>Cọc khoan nhồi - DC3</t>
  </si>
  <si>
    <t>1.10010.C.10.01.03.01</t>
  </si>
  <si>
    <t>Cọc nhồi loại D800 - Dây chuyền 3</t>
  </si>
  <si>
    <t>S11.31(D800-DC3)</t>
  </si>
  <si>
    <t>1.10010.C.10.01.03.01.01</t>
  </si>
  <si>
    <t>Cọc nhồi loại D1000  - Dây chuyền 3</t>
  </si>
  <si>
    <t>S11.32(D1000-DC3)</t>
  </si>
  <si>
    <t>1.10010.C.10.01.03.01.02</t>
  </si>
  <si>
    <t>1.10010.C.20.01.01</t>
  </si>
  <si>
    <t>Công tác đất - zone 1</t>
  </si>
  <si>
    <t>1.10010.C.20.01.01.01</t>
  </si>
  <si>
    <t>Thi công lớp 1 đến cos -3.750</t>
  </si>
  <si>
    <t>M11.11</t>
  </si>
  <si>
    <t>1.10010.C.20.01.01.01.01</t>
  </si>
  <si>
    <t>Thi công lớp 2 đến cos -7.250</t>
  </si>
  <si>
    <t>M11.12</t>
  </si>
  <si>
    <t>1.10010.C.20.01.01.01.02</t>
  </si>
  <si>
    <t>Đào đất cục bộ đài, giằng (đào, đắp, vận chuyển ...)</t>
  </si>
  <si>
    <t>M11.13</t>
  </si>
  <si>
    <t>1.10010.C.20.01.01.01.03</t>
  </si>
  <si>
    <t>Công tác đất - zone 2</t>
  </si>
  <si>
    <t>1.10010.C.20.01.01.02</t>
  </si>
  <si>
    <t>M11.21</t>
  </si>
  <si>
    <t>1.10010.C.20.01.01.02.01</t>
  </si>
  <si>
    <t>M11.22</t>
  </si>
  <si>
    <t>1.10010.C.20.01.01.02.02</t>
  </si>
  <si>
    <t>M11.23</t>
  </si>
  <si>
    <t>1.10010.C.20.01.01.02.03</t>
  </si>
  <si>
    <t>Công tác đất - zone 3</t>
  </si>
  <si>
    <t>1.10010.C.20.01.01.03</t>
  </si>
  <si>
    <t>M11.31</t>
  </si>
  <si>
    <t>1.10010.C.20.01.01.03.01</t>
  </si>
  <si>
    <t>M11.32</t>
  </si>
  <si>
    <t>1.10010.C.20.01.01.03.02</t>
  </si>
  <si>
    <t>M11.33</t>
  </si>
  <si>
    <t>1.10010.C.20.01.01.03.03</t>
  </si>
  <si>
    <t>Công tác đất - zone 4</t>
  </si>
  <si>
    <t>1.10010.C.20.01.01.04</t>
  </si>
  <si>
    <t>M11.41</t>
  </si>
  <si>
    <t>1.10010.C.20.01.01.04.01</t>
  </si>
  <si>
    <t>M11.42</t>
  </si>
  <si>
    <t>1.10010.C.20.01.01.04.02</t>
  </si>
  <si>
    <t>M11.43</t>
  </si>
  <si>
    <t>1.10010.C.20.01.01.04.03</t>
  </si>
  <si>
    <t>1.10010.C.20.02.01</t>
  </si>
  <si>
    <t>Đài zone 1</t>
  </si>
  <si>
    <t>1.10010.C.20.02.01.01</t>
  </si>
  <si>
    <t>Đài thang máy zone 1</t>
  </si>
  <si>
    <t>1.10010.C.20.02.01.01.01</t>
  </si>
  <si>
    <t>Đài đơn zone 1</t>
  </si>
  <si>
    <t>1.10010.C.20.02.01.01.02</t>
  </si>
  <si>
    <t>Nền B2 zone 1</t>
  </si>
  <si>
    <t>1.10010.C.20.02.01.02</t>
  </si>
  <si>
    <t>Giằng, sàn nền B2 zone 1</t>
  </si>
  <si>
    <t>1.10010.C.20.02.01.02.01</t>
  </si>
  <si>
    <t>Đài zone 2</t>
  </si>
  <si>
    <t>1.10010.C.20.02.01.03</t>
  </si>
  <si>
    <t>Đài thang máy Zone 2</t>
  </si>
  <si>
    <t>1.10010.C.20.02.01.03.01</t>
  </si>
  <si>
    <t>Đài đơn zone 2</t>
  </si>
  <si>
    <t>S21.22</t>
  </si>
  <si>
    <t>1.10010.C.20.02.01.03.02</t>
  </si>
  <si>
    <t>Nền B2 zone 2</t>
  </si>
  <si>
    <t>1.10010.C.20.02.01.04</t>
  </si>
  <si>
    <t>Giằng, sàn nền B2 Zone 2</t>
  </si>
  <si>
    <t>1.10010.C.20.02.01.04.01</t>
  </si>
  <si>
    <t>Đài zone 3</t>
  </si>
  <si>
    <t>1.10010.C.20.02.01.05</t>
  </si>
  <si>
    <t>Đài thang máy Zone 3</t>
  </si>
  <si>
    <t>S21.31</t>
  </si>
  <si>
    <t>1.10010.C.20.02.01.05.01</t>
  </si>
  <si>
    <t>Đài đơn Zone 3</t>
  </si>
  <si>
    <t>S21.32</t>
  </si>
  <si>
    <t>1.10010.C.20.02.01.05.02</t>
  </si>
  <si>
    <t>Nền B2 zone 3</t>
  </si>
  <si>
    <t>1.10010.C.20.02.01.06</t>
  </si>
  <si>
    <t>Giằng, sàn nền B2 Zone 3</t>
  </si>
  <si>
    <t>S22.31</t>
  </si>
  <si>
    <t>1.10010.C.20.02.01.06.01</t>
  </si>
  <si>
    <t>1.10010.C.20.02.02</t>
  </si>
  <si>
    <t>B1 zone 1</t>
  </si>
  <si>
    <t>1.10010.C.20.02.02.01</t>
  </si>
  <si>
    <t>Tường bê tông vách hầm từ B2 lên B1 Zone 1</t>
  </si>
  <si>
    <t>S23.11(B2)</t>
  </si>
  <si>
    <t>1.10010.C.20.02.02.01.01</t>
  </si>
  <si>
    <t>Cột, vách từ B2 lên B1 Zone 1</t>
  </si>
  <si>
    <t>S24.11(B2)</t>
  </si>
  <si>
    <t>1.10010.C.20.02.02.01.02</t>
  </si>
  <si>
    <t>Dầm sàn B1 Zone 1</t>
  </si>
  <si>
    <t>1.10010.C.20.02.02.01.03</t>
  </si>
  <si>
    <t>Thang bộ từ B2 lên B1 Zone 1</t>
  </si>
  <si>
    <t>S31.11(B2)</t>
  </si>
  <si>
    <t>1.10010.C.20.02.02.01.04</t>
  </si>
  <si>
    <t>B1 zone 2</t>
  </si>
  <si>
    <t>1.10010.C.20.02.02.02</t>
  </si>
  <si>
    <t>Tường bê tông vách hầm từ B2 lên B1 Zone 2</t>
  </si>
  <si>
    <t>S23.21(B2)</t>
  </si>
  <si>
    <t>1.10010.C.20.02.02.02.01</t>
  </si>
  <si>
    <t>Cột, vách từ B2 lên B1 Zone 2</t>
  </si>
  <si>
    <t>S24.21(B2)</t>
  </si>
  <si>
    <t>1.10010.C.20.02.02.02.02</t>
  </si>
  <si>
    <t>Dầm sàn B1 Zone 2</t>
  </si>
  <si>
    <t>1.10010.C.20.02.02.02.03</t>
  </si>
  <si>
    <t>Thang bộ từ B2 lên B1 Zone 2</t>
  </si>
  <si>
    <t>S31.21(B2)</t>
  </si>
  <si>
    <t>1.10010.C.20.02.02.02.04</t>
  </si>
  <si>
    <t>B1 zone 3</t>
  </si>
  <si>
    <t>1.10010.C.20.02.02.03</t>
  </si>
  <si>
    <t>Tường bê tông vách hầm từ B2 lên B1 Zone 3</t>
  </si>
  <si>
    <t>S23.31(B2)</t>
  </si>
  <si>
    <t>1.10010.C.20.02.02.03.01</t>
  </si>
  <si>
    <t>Cột, vách từ B2 lên B1 Zone 3</t>
  </si>
  <si>
    <t>S24.31(B2)</t>
  </si>
  <si>
    <t>1.10010.C.20.02.02.03.02</t>
  </si>
  <si>
    <t>Dầm sàn B1 Zone 3</t>
  </si>
  <si>
    <t>S25.31</t>
  </si>
  <si>
    <t>1.10010.C.20.02.02.03.03</t>
  </si>
  <si>
    <t>Thang bộ từ B2 lên B1 Zone 3</t>
  </si>
  <si>
    <t>S31.31(B2)</t>
  </si>
  <si>
    <t>1.10010.C.20.02.02.03.04</t>
  </si>
  <si>
    <t>1.10010.C.20.02.03</t>
  </si>
  <si>
    <t>L1 zone 1</t>
  </si>
  <si>
    <t>1.10010.C.20.02.03.01</t>
  </si>
  <si>
    <t>Tường bê tông vách hầm từ B1 lên L1 Zone 1</t>
  </si>
  <si>
    <t>S23.12(B1)</t>
  </si>
  <si>
    <t>1.10010.C.20.02.03.01.01</t>
  </si>
  <si>
    <t>Cột, vách từ B1 lên L1 Zone 1</t>
  </si>
  <si>
    <t>S24.12(B1)</t>
  </si>
  <si>
    <t>1.10010.C.20.02.03.01.02</t>
  </si>
  <si>
    <t>Dầm sàn L1 (T1) Zone 1</t>
  </si>
  <si>
    <t>1.10010.C.20.02.03.01.03</t>
  </si>
  <si>
    <t>Dầm sàn L1 (Ground) Zone 1</t>
  </si>
  <si>
    <t>1.10010.C.20.02.03.01.04</t>
  </si>
  <si>
    <t>Thang bộ từ B1 lên L1 Zone 1</t>
  </si>
  <si>
    <t>S31.12(B1)</t>
  </si>
  <si>
    <t>1.10010.C.20.02.03.01.05</t>
  </si>
  <si>
    <t>L1 zone 2</t>
  </si>
  <si>
    <t>1.10010.C.20.02.03.02</t>
  </si>
  <si>
    <t>Tường bê tông vách hầm từ B1 lên L1 Zone 2</t>
  </si>
  <si>
    <t>S23.22(B1)</t>
  </si>
  <si>
    <t>1.10010.C.20.02.03.02.01</t>
  </si>
  <si>
    <t>Cột, vách từ B1 lên L1 Zone 2</t>
  </si>
  <si>
    <t>S24.22(B1)</t>
  </si>
  <si>
    <t>1.10010.C.20.02.03.02.02</t>
  </si>
  <si>
    <t>Dầm sàn L1 (T1) Zone 2</t>
  </si>
  <si>
    <t>S25.22</t>
  </si>
  <si>
    <t>1.10010.C.20.02.03.02.03</t>
  </si>
  <si>
    <t>Dầm sàn L1 (Ground) Zone 2</t>
  </si>
  <si>
    <t>S25.23</t>
  </si>
  <si>
    <t>1.10010.C.20.02.03.02.04</t>
  </si>
  <si>
    <t>Thang bộ từ B1 lên L1 Zone 2</t>
  </si>
  <si>
    <t>S31.22(B1)</t>
  </si>
  <si>
    <t>1.10010.C.20.02.03.02.05</t>
  </si>
  <si>
    <t>Đường dốc từ B1 lên L1 Zone 2</t>
  </si>
  <si>
    <t>S32.22(B1)</t>
  </si>
  <si>
    <t>1.10010.C.20.02.03.02.06</t>
  </si>
  <si>
    <t>L1 zone 3</t>
  </si>
  <si>
    <t>1.10010.C.20.02.03.03</t>
  </si>
  <si>
    <t>Tường bê tông vách hầm từ B1 lên L1 Zone 3</t>
  </si>
  <si>
    <t>S23.32(B1)</t>
  </si>
  <si>
    <t>1.10010.C.20.02.03.03.01</t>
  </si>
  <si>
    <t>Cột, vách từ B1 lên L1 Zone 3</t>
  </si>
  <si>
    <t>S24.32(B1)</t>
  </si>
  <si>
    <t>1.10010.C.20.02.03.03.02</t>
  </si>
  <si>
    <t>Dầm sàn L1 (T1) Zone 3</t>
  </si>
  <si>
    <t>S25.32</t>
  </si>
  <si>
    <t>1.10010.C.20.02.03.03.03</t>
  </si>
  <si>
    <t>Dầm sàn L1 (Ground) Zone 3</t>
  </si>
  <si>
    <t>S25.33</t>
  </si>
  <si>
    <t>1.10010.C.20.02.03.03.04</t>
  </si>
  <si>
    <t>Thang bộ từ B1 lên L1 Zone 3</t>
  </si>
  <si>
    <t>S31.32(B1)</t>
  </si>
  <si>
    <t>1.10010.C.20.02.03.03.05</t>
  </si>
  <si>
    <t>Đường dốc từ B1 lên L1 Zone 3</t>
  </si>
  <si>
    <t>S32.32(B1)</t>
  </si>
  <si>
    <t>1.10010.C.20.02.03.03.06</t>
  </si>
  <si>
    <t>1.10010.C.20.03.01</t>
  </si>
  <si>
    <t>Đài zone 4</t>
  </si>
  <si>
    <t>1.10010.C.20.03.01.01</t>
  </si>
  <si>
    <t>Đài đơn Zone 4</t>
  </si>
  <si>
    <t>S21.42</t>
  </si>
  <si>
    <t>1.10010.C.20.03.01.01.01</t>
  </si>
  <si>
    <t>Nền B2 zone 4</t>
  </si>
  <si>
    <t>1.10010.C.20.03.01.02</t>
  </si>
  <si>
    <t>Giằng, sàn nền B2 Zone 4</t>
  </si>
  <si>
    <t>S22.41</t>
  </si>
  <si>
    <t>1.10010.C.20.03.01.02.01</t>
  </si>
  <si>
    <t>1.10010.C.20.03.02</t>
  </si>
  <si>
    <t>B1 zone 4</t>
  </si>
  <si>
    <t>1.10010.C.20.03.02.01</t>
  </si>
  <si>
    <t>Tường bê tông vách hầm từ B2 lên B1 Zone 4</t>
  </si>
  <si>
    <t>S23.41(B2)</t>
  </si>
  <si>
    <t>1.10010.C.20.03.02.01.01</t>
  </si>
  <si>
    <t>Cột, vách từ B2 lên B1 Zone 4</t>
  </si>
  <si>
    <t>S24.41(B2)</t>
  </si>
  <si>
    <t>1.10010.C.20.03.02.01.02</t>
  </si>
  <si>
    <t>Dầm sàn B1 Zone 4</t>
  </si>
  <si>
    <t>S25.41</t>
  </si>
  <si>
    <t>1.10010.C.20.03.02.01.03</t>
  </si>
  <si>
    <t>Thang bộ từ B2 lên B1 Zone 4</t>
  </si>
  <si>
    <t>S31.41(B2)</t>
  </si>
  <si>
    <t>1.10010.C.20.03.02.01.04</t>
  </si>
  <si>
    <t>Đường dốc B2 từ B2 lên B1 Zone 4</t>
  </si>
  <si>
    <t>S32.41(B2)</t>
  </si>
  <si>
    <t>1.10010.C.20.03.02.01.05</t>
  </si>
  <si>
    <t>1.10010.C.20.03.03</t>
  </si>
  <si>
    <t>L1 zone 4</t>
  </si>
  <si>
    <t>1.10010.C.20.03.03.01</t>
  </si>
  <si>
    <t>Tường bê tông vách hầm từ B1 lên L1 Zone 4</t>
  </si>
  <si>
    <t>S23.42(B1)</t>
  </si>
  <si>
    <t>1.10010.C.20.03.03.01.01</t>
  </si>
  <si>
    <t>Cột, vách từ B1 lên L1 Zone 4</t>
  </si>
  <si>
    <t>S24.42(B1)</t>
  </si>
  <si>
    <t>1.10010.C.20.03.03.01.02</t>
  </si>
  <si>
    <t>Dầm sàn L1 (T1) Zone 4</t>
  </si>
  <si>
    <t>S25.42</t>
  </si>
  <si>
    <t>1.10010.C.20.03.03.01.03</t>
  </si>
  <si>
    <t>Dầm sàn L1 (Ground) Zone 4</t>
  </si>
  <si>
    <t>S25.43</t>
  </si>
  <si>
    <t>1.10010.C.20.03.03.01.04</t>
  </si>
  <si>
    <t>Thang bộ từ B1 lên L1 Zone 4</t>
  </si>
  <si>
    <t>S31.42(B1)</t>
  </si>
  <si>
    <t>1.10010.C.20.03.03.01.05</t>
  </si>
  <si>
    <t>1.10010.C.20.04.01</t>
  </si>
  <si>
    <t>Bể nước sinh hoạt</t>
  </si>
  <si>
    <t>1.10010.C.20.04.01.01</t>
  </si>
  <si>
    <t>S34.11</t>
  </si>
  <si>
    <t>1.10010.C.20.04.01.01.01</t>
  </si>
  <si>
    <t>Bể tự hoại T1</t>
  </si>
  <si>
    <t>1.10010.C.20.04.01.02</t>
  </si>
  <si>
    <t>S34.21</t>
  </si>
  <si>
    <t>1.10010.C.20.04.01.02.01</t>
  </si>
  <si>
    <t>Bể tự hoại T2</t>
  </si>
  <si>
    <t>1.10010.C.20.04.01.03</t>
  </si>
  <si>
    <t>S34.22</t>
  </si>
  <si>
    <t>1.10010.C.20.04.01.03.01</t>
  </si>
  <si>
    <t>Bể tự hoại T3</t>
  </si>
  <si>
    <t>1.10010.C.20.04.01.04</t>
  </si>
  <si>
    <t>S34.23</t>
  </si>
  <si>
    <t>1.10010.C.20.04.01.04.01</t>
  </si>
  <si>
    <t>Bể phốt hầm 1 (trục X12-X13; Y3)</t>
  </si>
  <si>
    <t>1.10010.C.20.04.01.05</t>
  </si>
  <si>
    <t>S34.24</t>
  </si>
  <si>
    <t>1.10010.C.20.04.01.05.01</t>
  </si>
  <si>
    <t>Bể phốt hầm 1 (trục X12-X13; Y18)</t>
  </si>
  <si>
    <t>1.10010.C.20.04.01.06</t>
  </si>
  <si>
    <t>1.10010.C.20.04.01.06.01</t>
  </si>
  <si>
    <t>Bể phốt hầm 2 trục (X3-X4; Y13)</t>
  </si>
  <si>
    <t>1.10010.C.20.04.01.07</t>
  </si>
  <si>
    <t>1.10010.C.20.04.01.07.01</t>
  </si>
  <si>
    <t>Bể tách mỡ T1</t>
  </si>
  <si>
    <t>1.10010.C.20.04.01.08</t>
  </si>
  <si>
    <t>S34.31</t>
  </si>
  <si>
    <t>1.10010.C.20.04.01.08.01</t>
  </si>
  <si>
    <t>Bể tách mỡ T2</t>
  </si>
  <si>
    <t>1.10010.C.20.04.01.09</t>
  </si>
  <si>
    <t>S34.32</t>
  </si>
  <si>
    <t>1.10010.C.20.04.01.09.01</t>
  </si>
  <si>
    <t>Bể tách mỡ T3</t>
  </si>
  <si>
    <t>1.10010.C.20.04.01.10</t>
  </si>
  <si>
    <t>S34.33</t>
  </si>
  <si>
    <t>1.10010.C.20.04.01.10.01</t>
  </si>
  <si>
    <t>Bể nước chữa cháy</t>
  </si>
  <si>
    <t>1.10010.C.20.04.01.11</t>
  </si>
  <si>
    <t>S34.41</t>
  </si>
  <si>
    <t>1.10010.C.20.04.01.11.01</t>
  </si>
  <si>
    <t>Bể dầu 1</t>
  </si>
  <si>
    <t>1.10010.C.20.04.01.12</t>
  </si>
  <si>
    <t>S34.51</t>
  </si>
  <si>
    <t>1.10010.C.20.04.01.12.01</t>
  </si>
  <si>
    <t>Bể dầu 2</t>
  </si>
  <si>
    <t>1.10010.C.20.04.01.13</t>
  </si>
  <si>
    <t>1.10010.C.20.04.01.13.01</t>
  </si>
  <si>
    <t>1.10010.C.TB.01.01</t>
  </si>
  <si>
    <t>CỪ</t>
  </si>
  <si>
    <t>1.10010.C.TB.01.01.01</t>
  </si>
  <si>
    <t xml:space="preserve">Thi công cừ </t>
  </si>
  <si>
    <t>E31.01</t>
  </si>
  <si>
    <t>1.10010.C.TB.01.01.01.01</t>
  </si>
  <si>
    <t>NEO</t>
  </si>
  <si>
    <t>1.10010.C.TB.01.01.02</t>
  </si>
  <si>
    <t>Thi công neo</t>
  </si>
  <si>
    <t>E31.02</t>
  </si>
  <si>
    <t>1.10010.C.TB.01.01.02.01</t>
  </si>
  <si>
    <t>BP khác</t>
  </si>
  <si>
    <t>1.10010.C.TB.01.01.04</t>
  </si>
  <si>
    <t>Thi công chống mối</t>
  </si>
  <si>
    <t>X11.01</t>
  </si>
  <si>
    <t>1.10010.C.TB.01.01.04.01</t>
  </si>
  <si>
    <t>S-13</t>
  </si>
  <si>
    <t>S-991</t>
  </si>
  <si>
    <t>S-01.1</t>
  </si>
  <si>
    <t>S-01.2</t>
  </si>
  <si>
    <t>S-01.3</t>
  </si>
  <si>
    <t>S-01.4</t>
  </si>
  <si>
    <t>S-01.5</t>
  </si>
  <si>
    <t>S-01.a</t>
  </si>
  <si>
    <t>S-03</t>
  </si>
  <si>
    <t>S-04</t>
  </si>
  <si>
    <t>S-02.1</t>
  </si>
  <si>
    <t>S-02.2</t>
  </si>
  <si>
    <t>S-02.3</t>
  </si>
  <si>
    <t>S-02.4</t>
  </si>
  <si>
    <t>S-02.5</t>
  </si>
  <si>
    <t>S-02.a</t>
  </si>
  <si>
    <t>S-11.1</t>
  </si>
  <si>
    <t>S-12</t>
  </si>
  <si>
    <t>S-10.1</t>
  </si>
  <si>
    <t>S-10.b</t>
  </si>
  <si>
    <t>S-10.a</t>
  </si>
  <si>
    <t>S-37.1</t>
  </si>
  <si>
    <t>S-38</t>
  </si>
  <si>
    <t>S-38.a</t>
  </si>
  <si>
    <t>S-14</t>
  </si>
  <si>
    <t>S-17</t>
  </si>
  <si>
    <t>S-19</t>
  </si>
  <si>
    <t>S-33</t>
  </si>
  <si>
    <t>S-36</t>
  </si>
  <si>
    <t>S-22</t>
  </si>
  <si>
    <t>S-23</t>
  </si>
  <si>
    <t>S-26</t>
  </si>
  <si>
    <t>S-29</t>
  </si>
  <si>
    <t>S-30</t>
  </si>
  <si>
    <t>S-06</t>
  </si>
  <si>
    <t>S-09</t>
  </si>
  <si>
    <t>S-16</t>
  </si>
  <si>
    <t>S-40</t>
  </si>
  <si>
    <t>S-18</t>
  </si>
  <si>
    <t>S-31</t>
  </si>
  <si>
    <t>S-34</t>
  </si>
  <si>
    <t>S-20</t>
  </si>
  <si>
    <t>S-24</t>
  </si>
  <si>
    <t>S-27</t>
  </si>
  <si>
    <t>S-08</t>
  </si>
  <si>
    <t>S-15.1</t>
  </si>
  <si>
    <t>S-15.a</t>
  </si>
  <si>
    <t>S-15.b</t>
  </si>
  <si>
    <t>S-32</t>
  </si>
  <si>
    <t>S-35</t>
  </si>
  <si>
    <t>S-21</t>
  </si>
  <si>
    <t>S-25</t>
  </si>
  <si>
    <t>S-28</t>
  </si>
  <si>
    <t>S-07</t>
  </si>
  <si>
    <t>S-41</t>
  </si>
  <si>
    <t>S-42</t>
  </si>
  <si>
    <t>S-43</t>
  </si>
  <si>
    <t>S-44</t>
  </si>
  <si>
    <t>A-08</t>
  </si>
  <si>
    <t>A-03</t>
  </si>
  <si>
    <t>A-04</t>
  </si>
  <si>
    <t>A-05</t>
  </si>
  <si>
    <t>A-05.a</t>
  </si>
  <si>
    <t>Chờ CBS S-13</t>
  </si>
  <si>
    <t>Chờ CBS-S-991</t>
  </si>
  <si>
    <t>SI10050500</t>
  </si>
  <si>
    <t>SI50030300</t>
  </si>
  <si>
    <t>SI10050600</t>
  </si>
  <si>
    <t>SG30010200</t>
  </si>
  <si>
    <t>SG70010000</t>
  </si>
  <si>
    <t>SG10010200</t>
  </si>
  <si>
    <t>SG20010000</t>
  </si>
  <si>
    <t>SG30030200</t>
  </si>
  <si>
    <t>TD10020000</t>
  </si>
  <si>
    <t>TD60000000</t>
  </si>
  <si>
    <t>SD10010000</t>
  </si>
  <si>
    <t>SD10070001</t>
  </si>
  <si>
    <t>SD10060000</t>
  </si>
  <si>
    <t>Chờ CBS S-23</t>
  </si>
  <si>
    <t>SD10110000</t>
  </si>
  <si>
    <t>SD10070000</t>
  </si>
  <si>
    <t>SD10050000</t>
  </si>
  <si>
    <t>SE10000000</t>
  </si>
  <si>
    <t>SF10010000</t>
  </si>
  <si>
    <t>SF10040000</t>
  </si>
  <si>
    <t>SF10020000</t>
  </si>
  <si>
    <t>SF10030000</t>
  </si>
  <si>
    <t>SF10060000</t>
  </si>
  <si>
    <t>SJ10000000</t>
  </si>
  <si>
    <t>SJ20000000</t>
  </si>
  <si>
    <t>AI10020000</t>
  </si>
  <si>
    <t>CBS chờ spec</t>
  </si>
  <si>
    <t>2.10</t>
  </si>
  <si>
    <t>1.1</t>
  </si>
  <si>
    <t>1.2</t>
  </si>
  <si>
    <t>1.3</t>
  </si>
  <si>
    <t>1.4</t>
  </si>
  <si>
    <t>1.5</t>
  </si>
  <si>
    <t>1.11</t>
  </si>
  <si>
    <t>1.12</t>
  </si>
  <si>
    <t>1.6</t>
  </si>
  <si>
    <t>1.7</t>
  </si>
  <si>
    <t>1.8</t>
  </si>
  <si>
    <t>1.9</t>
  </si>
  <si>
    <t>1.10</t>
  </si>
  <si>
    <t>2.8</t>
  </si>
  <si>
    <t>2.9</t>
  </si>
  <si>
    <t>2.7</t>
  </si>
  <si>
    <t>2.34</t>
  </si>
  <si>
    <t>2.35</t>
  </si>
  <si>
    <t>2.11</t>
  </si>
  <si>
    <t>2.14</t>
  </si>
  <si>
    <t>2.16</t>
  </si>
  <si>
    <t>2.30</t>
  </si>
  <si>
    <t>2.33</t>
  </si>
  <si>
    <t>2.19</t>
  </si>
  <si>
    <t>2.20</t>
  </si>
  <si>
    <t>2.23</t>
  </si>
  <si>
    <t>2.26</t>
  </si>
  <si>
    <t>2.27</t>
  </si>
  <si>
    <t>2.1</t>
  </si>
  <si>
    <t>2.4</t>
  </si>
  <si>
    <t>2.13</t>
  </si>
  <si>
    <t>2.37</t>
  </si>
  <si>
    <t>2.15</t>
  </si>
  <si>
    <t>2.28</t>
  </si>
  <si>
    <t>2.31</t>
  </si>
  <si>
    <t>2.17</t>
  </si>
  <si>
    <t>2.21</t>
  </si>
  <si>
    <t>2.24</t>
  </si>
  <si>
    <t>2.3</t>
  </si>
  <si>
    <t>2.12</t>
  </si>
  <si>
    <t>2.29</t>
  </si>
  <si>
    <t>2.32</t>
  </si>
  <si>
    <t>2.18</t>
  </si>
  <si>
    <t>2.22</t>
  </si>
  <si>
    <t>2.25</t>
  </si>
  <si>
    <t>2.2</t>
  </si>
  <si>
    <t>2.38</t>
  </si>
  <si>
    <t>2.39</t>
  </si>
  <si>
    <t>2.40</t>
  </si>
  <si>
    <t>2.41</t>
  </si>
  <si>
    <t>2.47</t>
  </si>
  <si>
    <t>2.42</t>
  </si>
  <si>
    <t>2.43</t>
  </si>
  <si>
    <t>2.44</t>
  </si>
  <si>
    <t/>
  </si>
  <si>
    <t>00.Cọc Nhồi</t>
  </si>
  <si>
    <t>01. Đất</t>
  </si>
  <si>
    <t>02. Cừ</t>
  </si>
  <si>
    <t>03. Neo</t>
  </si>
  <si>
    <t>10. Bê tông</t>
  </si>
  <si>
    <t>11. Cốt thép</t>
  </si>
  <si>
    <t>12. Ván khuôn</t>
  </si>
  <si>
    <t>20. Chống mối</t>
  </si>
  <si>
    <t>21. Chống thấm</t>
  </si>
  <si>
    <t>Xử lý liên kết đầu cọc và hố móng (bao gồm vệ sinh nắn chỉnh thép đầu cọc, cắt ống siêu âm) - Lưu ý tính cả đầu cọc thí nghiệm</t>
  </si>
  <si>
    <t>Vật tư lưới tách mác bê tông - phần hầm</t>
  </si>
  <si>
    <t>Khoan tạo lỗ_Cọc D800</t>
  </si>
  <si>
    <t>Cốt thép cọc D800 (BOQ không gồm vật tư thép )_Cọc D800</t>
  </si>
  <si>
    <t>Bê tông M500_Cọc D800</t>
  </si>
  <si>
    <t>Ống siêu âm D59.9x1.8mm_Cọc D800</t>
  </si>
  <si>
    <t>Lấp đất đầu cọc đại trà ( sử dụng đất tận dụng đào lên để lấp)_Cọc D800</t>
  </si>
  <si>
    <t>Cọc nhồi D800 - cọc đại trà,</t>
  </si>
  <si>
    <t>Siêu âm cọc đại trà (25% KL cọc đại trà)</t>
  </si>
  <si>
    <t>(M.)Vật tư Thép cho cọc nhồi (bằng KL công tác x hao hụt áp 1.015)</t>
  </si>
  <si>
    <t>Khoan tạo lỗ_Cọc D1000</t>
  </si>
  <si>
    <t>Cốt thép cọc D1000 (BOQ không gồm vật tư thép)_Cọc D1000</t>
  </si>
  <si>
    <t>Bê tông M500_Cọc D1000</t>
  </si>
  <si>
    <t>Ống siêu âm D59.9x1.8mm_Cọc D1000</t>
  </si>
  <si>
    <t>Lấp đất đầu cọc đại trà ( sử dụng đất tận dụng đào lên để lấp)_Cọc D1000</t>
  </si>
  <si>
    <t>Cọc nhồi D100 - cọc đại trà,</t>
  </si>
  <si>
    <t>Lấp cát hố móng và khe cừ</t>
  </si>
  <si>
    <t>Công tác đập đầu cọc khoan nhồi (bao gồm cả đổ thải BT đầu cọc, đổ bù đầu cọc do biện pháp phá dỡ nếu có) - Lưu ý tính cả đầu cọc thí nghiệm</t>
  </si>
  <si>
    <t>Đào đất tầng hầm và hố móng</t>
  </si>
  <si>
    <t>Vận chuyển đổ đất thừa ra khỏi dự án</t>
  </si>
  <si>
    <t>Đắp trả bằng đất tận dụng (cần review lại BPTC với công tác này để tính KL nếu có dùng đất tận dụng) K95</t>
  </si>
  <si>
    <t>Thi công hệ cừ Larsen IV (tính theo md ép thanh cừ)</t>
  </si>
  <si>
    <t>Chi phí biện pháp neo đất</t>
  </si>
  <si>
    <t>Thi công cừ neo và văng chống, cừ larsen IV</t>
  </si>
  <si>
    <t>Công tác bê tông lót móng, nền tầng hầm, bê tông thương phẩm, M100</t>
  </si>
  <si>
    <t>Bê tông móng M400, phụ gia chống thấm W8</t>
  </si>
  <si>
    <t>Bê tông nền tầng hầm (Dầm sàn), M400 phụ gia chống thấm W8</t>
  </si>
  <si>
    <t>Bê tông thang bộ tầng hầm M350</t>
  </si>
  <si>
    <t>Bê tông đường dốc M350</t>
  </si>
  <si>
    <t>Bê tông tường tầng hầm M400, phụ gia chống thấm W8 (tạm để sụt S16) - NS lưu ý vật tư băng cản nước</t>
  </si>
  <si>
    <t>Băng cản nước tường hầm</t>
  </si>
  <si>
    <t>Bê tông cột vách hầm, M600 (dầm sàn hầm, tách mác M400 - M600)</t>
  </si>
  <si>
    <t>Bê tông dầm  hầm M400</t>
  </si>
  <si>
    <t>Bê tông sàn hầm M400</t>
  </si>
  <si>
    <t>Bê tông bể nước M300, phụ gia chống thấm W8_Bể ngầm (NS lưu ý vật tư băng cản nước)</t>
  </si>
  <si>
    <t>Băng cản nước thành bể</t>
  </si>
  <si>
    <t>Cốt thép móng - các loại ĐK (BOQ chỉ tính NC / CBS full)</t>
  </si>
  <si>
    <t>(M.) vật tư Thép cho kết cấu móng hầm (bằng KL công tác x hao hụt áp 1.03)</t>
  </si>
  <si>
    <t>Cốt thép nền tầng hầm (dầm sàn)- các loại ĐK (BOQ chỉ tính NC / CBS full)</t>
  </si>
  <si>
    <t>Cốt thép thang bộ tầng hầm - các loại ĐK (BOQ chỉ tính NC / CBS full)</t>
  </si>
  <si>
    <t>Cốt thép đường dốc - các loại ĐK (BOQ chỉ tính NC / CBS full)</t>
  </si>
  <si>
    <t>Cốt thép tường tầng hầm- các loại ĐK (BOQ chỉ tính NC / CBS full)</t>
  </si>
  <si>
    <t>Cốt thép cột, vách hầm - các loại ĐK (BOQ chỉ tính NC / CBS full)</t>
  </si>
  <si>
    <t>Cốt thép dầm sàn hầm - các loại ĐK (BOQ chỉ tính NC / CBS full)</t>
  </si>
  <si>
    <t>Cốt thép bể - các loại ĐK (BOQ chỉ tính NC / CBS full)</t>
  </si>
  <si>
    <t>Ván khuôn móng, lót móng tầng hầm</t>
  </si>
  <si>
    <t>Ván khuôn cho bê tông lót</t>
  </si>
  <si>
    <t>Ván khuôn móng, giằng móng, nền hầm</t>
  </si>
  <si>
    <t>Ván khuôn thang bộ tầng hầm</t>
  </si>
  <si>
    <t>Ván khuôn đường dốc</t>
  </si>
  <si>
    <t>Ván khuôn tường tầng hầm</t>
  </si>
  <si>
    <t>Ván khuôn cột vách hầm</t>
  </si>
  <si>
    <t>Ván khuôn dầm sàn hầm</t>
  </si>
  <si>
    <t>Ván khuôn bể nước các loại</t>
  </si>
  <si>
    <t>Chống mối nền hầm (Termize 200SC /Map Boxec 30EC 1,8% hoặc tương đương)</t>
  </si>
  <si>
    <t>Chống mối tường tầng hầm  (Termize 200SC /Map Boxec 30EC 1,8% hoặc tương đương)</t>
  </si>
  <si>
    <t>Hào chống mối xung quanh tầng hầm  (Termize 200SC /Map Boxec 30EC 1,8% hoặc tương đương)</t>
  </si>
  <si>
    <t>Chống mối nền sàn tầng 1 (Termize 200SC /Map Boxec 30EC 1,8% hoặc tương đương)</t>
  </si>
  <si>
    <t>Hố pít thang máy - Tạm áp sika proof membrane</t>
  </si>
  <si>
    <t>C.thấm nền hầm (GPS/Schomburg/ Sika/ Mapei hoặc tương đương) - Tạm áp mã CBS cho SikaBit W15</t>
  </si>
  <si>
    <t>Ctthấm tường tầng hầm (mặt trong) - chưa rõ spec</t>
  </si>
  <si>
    <t>C.thấm tường tầng hầm - Tạm áp sika proof membrane</t>
  </si>
  <si>
    <t>Lớp xốp (bảo vệ) mặt ngoài - tường hầm</t>
  </si>
  <si>
    <t>mặt cắt</t>
  </si>
  <si>
    <t>lot</t>
  </si>
  <si>
    <t>[28]</t>
  </si>
  <si>
    <t>[29]</t>
  </si>
  <si>
    <t>[30]</t>
  </si>
  <si>
    <t>[31]</t>
  </si>
  <si>
    <t>[32]</t>
  </si>
  <si>
    <t>[33]</t>
  </si>
  <si>
    <t>[34]</t>
  </si>
  <si>
    <t>[35]</t>
  </si>
  <si>
    <t>[36]</t>
  </si>
  <si>
    <t>[37]</t>
  </si>
  <si>
    <t>[38]</t>
  </si>
  <si>
    <t>[39]</t>
  </si>
  <si>
    <t>[40]</t>
  </si>
  <si>
    <t>[41]</t>
  </si>
  <si>
    <t>[42]</t>
  </si>
  <si>
    <t>[43]</t>
  </si>
  <si>
    <t>[44]</t>
  </si>
  <si>
    <t>[45]</t>
  </si>
  <si>
    <t>[46]</t>
  </si>
  <si>
    <t>[47]</t>
  </si>
  <si>
    <t>[48]</t>
  </si>
  <si>
    <t>[49]</t>
  </si>
  <si>
    <t>[50]</t>
  </si>
  <si>
    <t>[51]</t>
  </si>
  <si>
    <t>[52]</t>
  </si>
  <si>
    <t>[53]</t>
  </si>
  <si>
    <t>[54]</t>
  </si>
  <si>
    <t>[55]</t>
  </si>
  <si>
    <t>[56]</t>
  </si>
  <si>
    <t>[57]</t>
  </si>
  <si>
    <t>[58]</t>
  </si>
  <si>
    <t>[59]</t>
  </si>
  <si>
    <t>[60]</t>
  </si>
  <si>
    <t>[61]</t>
  </si>
  <si>
    <t>[62]</t>
  </si>
  <si>
    <t>[63]</t>
  </si>
  <si>
    <t>[64]</t>
  </si>
  <si>
    <t>[65]</t>
  </si>
  <si>
    <t>[66]</t>
  </si>
  <si>
    <t>[67]</t>
  </si>
  <si>
    <t>[68]</t>
  </si>
  <si>
    <t>[69]</t>
  </si>
  <si>
    <t>[70]</t>
  </si>
  <si>
    <t>[71]</t>
  </si>
  <si>
    <t>[72]</t>
  </si>
  <si>
    <t>Mã WBS level 7</t>
  </si>
  <si>
    <t>Tên WBS</t>
  </si>
  <si>
    <t>Chiều dọc: Cây cấu trúc WBS của dự án (đầy đủ  level từ 1-7)</t>
  </si>
  <si>
    <t>Chiều ngang: Xoay trường ID theo chiều ngang</t>
  </si>
  <si>
    <t>Có thể Lọc hiển thị ID: theo THCT; Bỏ BOS rỗng; Bỏ BOQ rỗng</t>
  </si>
  <si>
    <t>Có thể lọc hiển thị theo nhánh</t>
  </si>
  <si>
    <t>Dữ liệu khối lượng nếu không có thì để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</si>
</sst>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&quot;$&quot;* #,##0_);_(&quot;$&quot;* \(#,##0\);_(&quot;$&quot;* &quot;-&quot;_);_(@_)"/>
    <numFmt numFmtId="165" formatCode="_-* #,##0.00\ _₫_-;\-* #,##0.00\ _₫_-;_-* &quot;-&quot;??\ _₫_-;_-@_-"/>
    <numFmt numFmtId="166" formatCode="0.000"/>
    <numFmt numFmtId="167" formatCode="_(* #,##0_);_(* \(#,##0\);_(* &quot;-&quot;??_);_(@_)"/>
    <numFmt numFmtId="168" formatCode="[$-409]d\-mmm\-yyyy;@"/>
    <numFmt numFmtId="169" formatCode="_(* #,##0.0_);_(* \(#,##0.0\);_(* &quot;-&quot;??_);_(@_)"/>
    <numFmt numFmtId="170" formatCode="_-* #,##0_-;\-* #,##0_-;_-* &quot;-&quot;??_-;_-@_-"/>
    <numFmt numFmtId="171" formatCode="#,##0.0"/>
    <numFmt numFmtId="172" formatCode="_-* #,##0.000\ _₫_-;\-* #,##0.000\ _₫_-;_-* &quot;-&quot;??\ _₫_-;_-@_-"/>
    <numFmt numFmtId="173" formatCode="&quot;(&quot;#&quot;)&quot;"/>
  </numFmts>
  <fonts count="50">
    <font>
      <sz val="11"/>
      <color theme="1"/>
      <name val="Calibri"/>
      <family val="2"/>
      <scheme val="minor"/>
    </font>
    <font>
      <sz val="11"/>
      <name val="돋움"/>
      <family val="3"/>
      <charset val="129"/>
    </font>
    <font>
      <sz val="10"/>
      <name val="Arial"/>
      <family val="2"/>
    </font>
    <font>
      <sz val="10"/>
      <name val="VNI-Times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Times New Roman"/>
      <family val="1"/>
    </font>
    <font>
      <b/>
      <sz val="10"/>
      <color theme="1"/>
      <name val="Arial"/>
      <family val="2"/>
    </font>
    <font>
      <b/>
      <sz val="12"/>
      <color theme="1"/>
      <name val="Times New Roman"/>
      <family val="1"/>
    </font>
    <font>
      <b/>
      <sz val="14"/>
      <color theme="1"/>
      <name val="Arial"/>
      <family val="2"/>
    </font>
    <font>
      <sz val="12"/>
      <color theme="9" tint="0.79998168889431442"/>
      <name val="Times New Roman"/>
      <family val="1"/>
    </font>
    <font>
      <sz val="12"/>
      <color rgb="FFFF0000"/>
      <name val="Times New Roman"/>
      <family val="1"/>
    </font>
    <font>
      <b/>
      <sz val="11"/>
      <color theme="1"/>
      <name val="Calibri"/>
      <family val="2"/>
      <scheme val="minor"/>
    </font>
    <font>
      <b/>
      <i/>
      <u/>
      <sz val="12"/>
      <color rgb="FFFF0000"/>
      <name val="Times New Roman"/>
      <family val="1"/>
    </font>
    <font>
      <b/>
      <u/>
      <sz val="12"/>
      <color theme="1"/>
      <name val="Times New Roman"/>
      <family val="1"/>
    </font>
    <font>
      <b/>
      <sz val="20"/>
      <color theme="1"/>
      <name val="Calibri"/>
      <family val="2"/>
      <scheme val="minor"/>
    </font>
    <font>
      <b/>
      <i/>
      <u/>
      <sz val="12"/>
      <name val="Times New Roman"/>
      <family val="1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theme="1"/>
      <name val="Times New Roman"/>
      <family val="1"/>
    </font>
    <font>
      <b/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rgb="FF0070C0"/>
      <name val="Times New Roman"/>
      <family val="1"/>
    </font>
    <font>
      <u/>
      <sz val="10"/>
      <color theme="1"/>
      <name val="Arial"/>
      <family val="2"/>
    </font>
    <font>
      <sz val="12"/>
      <color indexed="0"/>
      <name val="Arial"/>
      <family val="2"/>
    </font>
    <font>
      <b/>
      <sz val="14"/>
      <color theme="1"/>
      <name val="Times New Roman"/>
      <family val="1"/>
      <charset val="163"/>
    </font>
    <font>
      <sz val="12"/>
      <name val="Times New Roman"/>
      <family val="1"/>
    </font>
    <font>
      <b/>
      <sz val="16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Times New Roman"/>
      <family val="1"/>
    </font>
    <font>
      <b/>
      <sz val="14"/>
      <color theme="1"/>
      <name val="Times New Roman"/>
      <family val="1"/>
    </font>
    <font>
      <b/>
      <u/>
      <sz val="11"/>
      <color theme="1"/>
      <name val="Times New Roman"/>
      <family val="1"/>
    </font>
    <font>
      <strike/>
      <sz val="11"/>
      <color rgb="FFFF0000"/>
      <name val="Times New Roman"/>
      <family val="1"/>
    </font>
    <font>
      <b/>
      <sz val="11"/>
      <color rgb="FF00206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3">
    <xf numFmtId="0" fontId="0" fillId="0" borderId="0"/>
    <xf numFmtId="166" fontId="2" fillId="0" borderId="0" applyFont="0" applyFill="0" applyBorder="0" applyAlignment="0" applyProtection="0"/>
    <xf numFmtId="0" fontId="2" fillId="0" borderId="0"/>
    <xf numFmtId="0" fontId="2" fillId="0" borderId="0"/>
    <xf numFmtId="0" fontId="4" fillId="0" borderId="0"/>
    <xf numFmtId="164" fontId="3" fillId="0" borderId="0" applyFont="0" applyFill="0" applyBorder="0" applyAlignment="0" applyProtection="0"/>
    <xf numFmtId="0" fontId="1" fillId="0" borderId="0"/>
    <xf numFmtId="165" fontId="4" fillId="0" borderId="0" applyFont="0" applyFill="0" applyBorder="0" applyAlignment="0" applyProtection="0"/>
    <xf numFmtId="0" fontId="27" fillId="0" borderId="0">
      <alignment vertical="top"/>
    </xf>
    <xf numFmtId="43" fontId="28" fillId="0" borderId="0" applyFont="0" applyFill="0" applyBorder="0" applyAlignment="0" applyProtection="0"/>
    <xf numFmtId="0" fontId="28" fillId="0" borderId="0"/>
    <xf numFmtId="0" fontId="2" fillId="0" borderId="0"/>
    <xf numFmtId="0" fontId="4" fillId="0" borderId="0"/>
    <xf numFmtId="0" fontId="30" fillId="0" borderId="1">
      <alignment horizontal="left" vertical="center" wrapText="1"/>
    </xf>
    <xf numFmtId="0" fontId="27" fillId="0" borderId="1">
      <alignment horizontal="left" vertical="center" wrapText="1" indent="1"/>
    </xf>
    <xf numFmtId="0" fontId="2" fillId="0" borderId="0"/>
    <xf numFmtId="0" fontId="31" fillId="0" borderId="0">
      <alignment horizontal="left" vertical="top" wrapText="1"/>
    </xf>
    <xf numFmtId="0" fontId="2" fillId="0" borderId="0"/>
    <xf numFmtId="0" fontId="7" fillId="0" borderId="1">
      <alignment horizontal="left" vertical="center" wrapText="1"/>
    </xf>
    <xf numFmtId="0" fontId="27" fillId="0" borderId="1">
      <alignment horizontal="left" vertical="center" wrapText="1" indent="1"/>
    </xf>
    <xf numFmtId="0" fontId="27" fillId="0" borderId="1">
      <alignment horizontal="center" vertical="center" wrapText="1"/>
    </xf>
    <xf numFmtId="0" fontId="4" fillId="0" borderId="0"/>
    <xf numFmtId="43" fontId="4" fillId="0" borderId="0" applyFont="0" applyFill="0" applyBorder="0" applyAlignment="0" applyProtection="0"/>
  </cellStyleXfs>
  <cellXfs count="454">
    <xf numFmtId="0" fontId="0" fillId="0" borderId="0" xfId="0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vertical="center" textRotation="90"/>
    </xf>
    <xf numFmtId="0" fontId="7" fillId="0" borderId="0" xfId="0" applyFont="1" applyAlignment="1">
      <alignment vertical="center" textRotation="90"/>
    </xf>
    <xf numFmtId="0" fontId="6" fillId="0" borderId="0" xfId="0" applyFont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0" fontId="5" fillId="0" borderId="0" xfId="0" applyFont="1" applyAlignment="1" applyProtection="1">
      <alignment horizontal="center" vertical="center"/>
      <protection locked="0"/>
    </xf>
    <xf numFmtId="0" fontId="12" fillId="0" borderId="0" xfId="0" applyFont="1"/>
    <xf numFmtId="0" fontId="12" fillId="0" borderId="0" xfId="0" applyFont="1" applyAlignment="1">
      <alignment horizontal="right"/>
    </xf>
    <xf numFmtId="0" fontId="9" fillId="0" borderId="0" xfId="0" applyFont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15" fillId="0" borderId="0" xfId="0" applyFont="1"/>
    <xf numFmtId="165" fontId="0" fillId="0" borderId="0" xfId="7" applyFont="1"/>
    <xf numFmtId="0" fontId="0" fillId="4" borderId="0" xfId="0" applyFill="1"/>
    <xf numFmtId="0" fontId="0" fillId="0" borderId="4" xfId="0" applyBorder="1"/>
    <xf numFmtId="0" fontId="12" fillId="4" borderId="6" xfId="0" applyFont="1" applyFill="1" applyBorder="1" applyAlignment="1">
      <alignment horizontal="centerContinuous" vertical="center"/>
    </xf>
    <xf numFmtId="0" fontId="12" fillId="4" borderId="5" xfId="0" applyFont="1" applyFill="1" applyBorder="1" applyAlignment="1">
      <alignment horizontal="centerContinuous" vertical="center"/>
    </xf>
    <xf numFmtId="0" fontId="17" fillId="0" borderId="0" xfId="0" applyFont="1" applyAlignment="1">
      <alignment vertical="top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vertical="center" wrapText="1"/>
    </xf>
    <xf numFmtId="0" fontId="12" fillId="4" borderId="7" xfId="0" applyFont="1" applyFill="1" applyBorder="1" applyAlignment="1">
      <alignment horizontal="center" vertical="center" wrapText="1"/>
    </xf>
    <xf numFmtId="43" fontId="0" fillId="0" borderId="0" xfId="0" applyNumberFormat="1"/>
    <xf numFmtId="0" fontId="7" fillId="3" borderId="7" xfId="0" applyFont="1" applyFill="1" applyBorder="1" applyAlignment="1">
      <alignment vertical="center" wrapText="1"/>
    </xf>
    <xf numFmtId="0" fontId="10" fillId="0" borderId="7" xfId="0" applyFont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Continuous" vertical="center"/>
    </xf>
    <xf numFmtId="0" fontId="6" fillId="0" borderId="7" xfId="0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0" fillId="0" borderId="12" xfId="0" applyBorder="1"/>
    <xf numFmtId="0" fontId="12" fillId="0" borderId="9" xfId="0" applyFont="1" applyBorder="1" applyAlignment="1">
      <alignment horizontal="center" vertical="center"/>
    </xf>
    <xf numFmtId="0" fontId="12" fillId="0" borderId="9" xfId="0" applyFont="1" applyBorder="1" applyAlignment="1">
      <alignment vertical="top"/>
    </xf>
    <xf numFmtId="165" fontId="12" fillId="0" borderId="9" xfId="7" applyFont="1" applyBorder="1" applyAlignment="1">
      <alignment vertical="top"/>
    </xf>
    <xf numFmtId="0" fontId="12" fillId="4" borderId="8" xfId="0" applyFont="1" applyFill="1" applyBorder="1" applyAlignment="1">
      <alignment horizontal="centerContinuous" vertical="center"/>
    </xf>
    <xf numFmtId="0" fontId="12" fillId="4" borderId="9" xfId="0" applyFont="1" applyFill="1" applyBorder="1" applyAlignment="1">
      <alignment horizontal="centerContinuous" vertical="center"/>
    </xf>
    <xf numFmtId="0" fontId="12" fillId="4" borderId="8" xfId="0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/>
    </xf>
    <xf numFmtId="0" fontId="12" fillId="0" borderId="9" xfId="0" applyFont="1" applyBorder="1" applyAlignment="1">
      <alignment vertical="top" wrapText="1"/>
    </xf>
    <xf numFmtId="0" fontId="7" fillId="3" borderId="9" xfId="0" applyFont="1" applyFill="1" applyBorder="1" applyAlignment="1">
      <alignment horizontal="centerContinuous" vertical="center"/>
    </xf>
    <xf numFmtId="0" fontId="7" fillId="3" borderId="10" xfId="0" applyFont="1" applyFill="1" applyBorder="1" applyAlignment="1">
      <alignment horizontal="centerContinuous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21" fillId="0" borderId="0" xfId="0" applyFont="1"/>
    <xf numFmtId="0" fontId="12" fillId="0" borderId="14" xfId="0" applyFont="1" applyBorder="1" applyAlignment="1">
      <alignment vertical="top"/>
    </xf>
    <xf numFmtId="0" fontId="12" fillId="0" borderId="15" xfId="0" applyFont="1" applyBorder="1" applyAlignment="1">
      <alignment vertical="top"/>
    </xf>
    <xf numFmtId="0" fontId="8" fillId="0" borderId="16" xfId="0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vertical="center"/>
    </xf>
    <xf numFmtId="2" fontId="11" fillId="0" borderId="16" xfId="0" applyNumberFormat="1" applyFont="1" applyBorder="1" applyAlignment="1">
      <alignment horizontal="center" vertical="center"/>
    </xf>
    <xf numFmtId="0" fontId="7" fillId="3" borderId="11" xfId="0" applyFont="1" applyFill="1" applyBorder="1" applyAlignment="1">
      <alignment vertical="center"/>
    </xf>
    <xf numFmtId="0" fontId="7" fillId="3" borderId="11" xfId="0" applyFont="1" applyFill="1" applyBorder="1" applyAlignment="1">
      <alignment horizontal="centerContinuous" vertical="center"/>
    </xf>
    <xf numFmtId="0" fontId="12" fillId="2" borderId="9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2" fillId="2" borderId="21" xfId="0" applyFont="1" applyFill="1" applyBorder="1"/>
    <xf numFmtId="0" fontId="12" fillId="2" borderId="22" xfId="0" applyFont="1" applyFill="1" applyBorder="1"/>
    <xf numFmtId="0" fontId="12" fillId="2" borderId="22" xfId="0" applyFont="1" applyFill="1" applyBorder="1" applyAlignment="1">
      <alignment wrapText="1"/>
    </xf>
    <xf numFmtId="0" fontId="12" fillId="2" borderId="23" xfId="0" applyFont="1" applyFill="1" applyBorder="1" applyAlignment="1">
      <alignment wrapText="1"/>
    </xf>
    <xf numFmtId="0" fontId="0" fillId="0" borderId="24" xfId="0" applyBorder="1"/>
    <xf numFmtId="0" fontId="15" fillId="0" borderId="0" xfId="0" applyFont="1" applyAlignment="1">
      <alignment wrapText="1"/>
    </xf>
    <xf numFmtId="0" fontId="23" fillId="0" borderId="0" xfId="0" applyFont="1"/>
    <xf numFmtId="0" fontId="23" fillId="5" borderId="16" xfId="0" applyFont="1" applyFill="1" applyBorder="1" applyAlignment="1">
      <alignment horizontal="center" vertical="center" wrapText="1"/>
    </xf>
    <xf numFmtId="0" fontId="21" fillId="0" borderId="0" xfId="0" applyFont="1" applyAlignment="1">
      <alignment wrapText="1"/>
    </xf>
    <xf numFmtId="0" fontId="23" fillId="0" borderId="16" xfId="0" applyFont="1" applyBorder="1" applyAlignment="1">
      <alignment horizontal="center" vertical="center"/>
    </xf>
    <xf numFmtId="0" fontId="23" fillId="0" borderId="16" xfId="0" applyFont="1" applyBorder="1" applyAlignment="1">
      <alignment vertical="center" wrapText="1"/>
    </xf>
    <xf numFmtId="0" fontId="21" fillId="0" borderId="19" xfId="0" applyFont="1" applyBorder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21" fillId="0" borderId="6" xfId="0" applyFont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vertical="center" wrapText="1"/>
    </xf>
    <xf numFmtId="0" fontId="21" fillId="0" borderId="23" xfId="0" applyFont="1" applyBorder="1" applyAlignment="1">
      <alignment horizontal="left" vertical="center"/>
    </xf>
    <xf numFmtId="0" fontId="21" fillId="0" borderId="26" xfId="0" applyFont="1" applyBorder="1" applyAlignment="1">
      <alignment horizontal="left" vertical="center"/>
    </xf>
    <xf numFmtId="0" fontId="21" fillId="0" borderId="26" xfId="0" applyFont="1" applyBorder="1" applyAlignment="1">
      <alignment vertical="center"/>
    </xf>
    <xf numFmtId="0" fontId="21" fillId="0" borderId="27" xfId="0" applyFont="1" applyBorder="1" applyAlignment="1">
      <alignment vertical="center"/>
    </xf>
    <xf numFmtId="0" fontId="21" fillId="0" borderId="28" xfId="0" applyFont="1" applyBorder="1" applyAlignment="1">
      <alignment vertical="center"/>
    </xf>
    <xf numFmtId="0" fontId="21" fillId="0" borderId="19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right" vertical="center" wrapText="1"/>
    </xf>
    <xf numFmtId="0" fontId="21" fillId="0" borderId="29" xfId="0" applyFont="1" applyBorder="1" applyAlignment="1">
      <alignment vertical="center"/>
    </xf>
    <xf numFmtId="0" fontId="21" fillId="0" borderId="30" xfId="0" applyFont="1" applyBorder="1" applyAlignment="1">
      <alignment vertical="center"/>
    </xf>
    <xf numFmtId="0" fontId="21" fillId="0" borderId="31" xfId="0" applyFont="1" applyBorder="1" applyAlignment="1">
      <alignment vertical="center"/>
    </xf>
    <xf numFmtId="0" fontId="21" fillId="0" borderId="20" xfId="0" applyFont="1" applyBorder="1" applyAlignment="1">
      <alignment horizontal="center" vertical="center"/>
    </xf>
    <xf numFmtId="0" fontId="21" fillId="0" borderId="20" xfId="0" applyFont="1" applyBorder="1" applyAlignment="1">
      <alignment vertical="center" wrapText="1"/>
    </xf>
    <xf numFmtId="0" fontId="21" fillId="0" borderId="20" xfId="0" applyFont="1" applyBorder="1" applyAlignment="1">
      <alignment horizontal="left" vertical="center"/>
    </xf>
    <xf numFmtId="0" fontId="21" fillId="0" borderId="32" xfId="0" applyFont="1" applyBorder="1" applyAlignment="1">
      <alignment horizontal="left" vertical="center"/>
    </xf>
    <xf numFmtId="0" fontId="21" fillId="0" borderId="32" xfId="0" applyFont="1" applyBorder="1" applyAlignment="1">
      <alignment vertical="center"/>
    </xf>
    <xf numFmtId="0" fontId="21" fillId="0" borderId="33" xfId="0" applyFont="1" applyBorder="1" applyAlignment="1">
      <alignment vertical="center"/>
    </xf>
    <xf numFmtId="0" fontId="21" fillId="0" borderId="34" xfId="0" applyFont="1" applyBorder="1" applyAlignment="1">
      <alignment vertical="center"/>
    </xf>
    <xf numFmtId="0" fontId="21" fillId="0" borderId="19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3" fillId="0" borderId="16" xfId="0" applyFont="1" applyBorder="1"/>
    <xf numFmtId="0" fontId="12" fillId="2" borderId="16" xfId="0" applyFont="1" applyFill="1" applyBorder="1" applyAlignment="1">
      <alignment horizontal="centerContinuous" vertical="center"/>
    </xf>
    <xf numFmtId="0" fontId="0" fillId="2" borderId="16" xfId="0" applyFill="1" applyBorder="1" applyAlignment="1">
      <alignment horizontal="centerContinuous" vertical="center"/>
    </xf>
    <xf numFmtId="0" fontId="12" fillId="2" borderId="16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8" fillId="0" borderId="19" xfId="0" applyFont="1" applyBorder="1" applyAlignment="1">
      <alignment vertical="top"/>
    </xf>
    <xf numFmtId="0" fontId="18" fillId="0" borderId="25" xfId="0" applyFont="1" applyBorder="1" applyAlignment="1">
      <alignment vertical="top"/>
    </xf>
    <xf numFmtId="0" fontId="18" fillId="0" borderId="25" xfId="0" applyFont="1" applyBorder="1" applyAlignment="1">
      <alignment horizontal="right" vertical="top"/>
    </xf>
    <xf numFmtId="0" fontId="0" fillId="0" borderId="20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19" xfId="0" applyBorder="1" applyAlignment="1">
      <alignment horizontal="right" vertical="top"/>
    </xf>
    <xf numFmtId="0" fontId="0" fillId="0" borderId="19" xfId="0" applyBorder="1" applyAlignment="1">
      <alignment vertical="top" wrapText="1"/>
    </xf>
    <xf numFmtId="0" fontId="0" fillId="0" borderId="25" xfId="0" applyBorder="1" applyAlignment="1">
      <alignment horizontal="right" vertical="top"/>
    </xf>
    <xf numFmtId="0" fontId="0" fillId="0" borderId="25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25" xfId="0" applyBorder="1" applyAlignment="1">
      <alignment horizontal="right" vertical="top" wrapText="1"/>
    </xf>
    <xf numFmtId="0" fontId="26" fillId="0" borderId="0" xfId="0" applyFont="1"/>
    <xf numFmtId="0" fontId="12" fillId="4" borderId="23" xfId="0" applyFont="1" applyFill="1" applyBorder="1" applyAlignment="1">
      <alignment vertical="top"/>
    </xf>
    <xf numFmtId="0" fontId="12" fillId="4" borderId="23" xfId="0" applyFont="1" applyFill="1" applyBorder="1" applyAlignment="1">
      <alignment vertical="top" wrapText="1"/>
    </xf>
    <xf numFmtId="168" fontId="0" fillId="0" borderId="0" xfId="0" applyNumberFormat="1"/>
    <xf numFmtId="168" fontId="0" fillId="2" borderId="16" xfId="0" applyNumberFormat="1" applyFill="1" applyBorder="1" applyAlignment="1">
      <alignment horizontal="centerContinuous" vertical="center"/>
    </xf>
    <xf numFmtId="168" fontId="12" fillId="2" borderId="16" xfId="0" applyNumberFormat="1" applyFont="1" applyFill="1" applyBorder="1" applyAlignment="1">
      <alignment horizontal="center" vertical="center" wrapText="1"/>
    </xf>
    <xf numFmtId="168" fontId="0" fillId="0" borderId="20" xfId="0" applyNumberFormat="1" applyBorder="1" applyAlignment="1">
      <alignment vertical="top"/>
    </xf>
    <xf numFmtId="168" fontId="0" fillId="0" borderId="19" xfId="0" applyNumberFormat="1" applyBorder="1" applyAlignment="1">
      <alignment vertical="top"/>
    </xf>
    <xf numFmtId="168" fontId="0" fillId="0" borderId="25" xfId="0" applyNumberFormat="1" applyBorder="1" applyAlignment="1">
      <alignment vertical="top"/>
    </xf>
    <xf numFmtId="168" fontId="12" fillId="4" borderId="23" xfId="0" applyNumberFormat="1" applyFont="1" applyFill="1" applyBorder="1" applyAlignment="1">
      <alignment vertical="top"/>
    </xf>
    <xf numFmtId="168" fontId="0" fillId="0" borderId="4" xfId="0" applyNumberFormat="1" applyBorder="1" applyAlignment="1">
      <alignment vertical="top"/>
    </xf>
    <xf numFmtId="0" fontId="18" fillId="4" borderId="19" xfId="0" applyFont="1" applyFill="1" applyBorder="1" applyAlignment="1">
      <alignment vertical="top"/>
    </xf>
    <xf numFmtId="0" fontId="18" fillId="4" borderId="19" xfId="0" applyFont="1" applyFill="1" applyBorder="1" applyAlignment="1">
      <alignment horizontal="right" vertical="top"/>
    </xf>
    <xf numFmtId="0" fontId="18" fillId="4" borderId="25" xfId="0" applyFont="1" applyFill="1" applyBorder="1" applyAlignment="1">
      <alignment vertical="top"/>
    </xf>
    <xf numFmtId="0" fontId="18" fillId="4" borderId="25" xfId="0" applyFont="1" applyFill="1" applyBorder="1" applyAlignment="1">
      <alignment horizontal="right" vertical="top"/>
    </xf>
    <xf numFmtId="168" fontId="18" fillId="4" borderId="25" xfId="0" applyNumberFormat="1" applyFont="1" applyFill="1" applyBorder="1" applyAlignment="1">
      <alignment vertical="top"/>
    </xf>
    <xf numFmtId="0" fontId="18" fillId="4" borderId="25" xfId="0" applyFont="1" applyFill="1" applyBorder="1" applyAlignment="1">
      <alignment vertical="top" wrapText="1"/>
    </xf>
    <xf numFmtId="0" fontId="0" fillId="4" borderId="20" xfId="0" applyFill="1" applyBorder="1" applyAlignment="1">
      <alignment vertical="top"/>
    </xf>
    <xf numFmtId="168" fontId="0" fillId="4" borderId="20" xfId="0" applyNumberFormat="1" applyFill="1" applyBorder="1" applyAlignment="1">
      <alignment vertical="top"/>
    </xf>
    <xf numFmtId="16" fontId="12" fillId="4" borderId="23" xfId="0" applyNumberFormat="1" applyFont="1" applyFill="1" applyBorder="1" applyAlignment="1">
      <alignment horizontal="right" vertical="top"/>
    </xf>
    <xf numFmtId="0" fontId="0" fillId="4" borderId="19" xfId="0" applyFill="1" applyBorder="1" applyAlignment="1">
      <alignment vertical="top"/>
    </xf>
    <xf numFmtId="168" fontId="0" fillId="4" borderId="19" xfId="0" applyNumberFormat="1" applyFill="1" applyBorder="1" applyAlignment="1">
      <alignment vertical="top"/>
    </xf>
    <xf numFmtId="0" fontId="20" fillId="0" borderId="0" xfId="3" applyFont="1" applyAlignment="1">
      <alignment vertical="center"/>
    </xf>
    <xf numFmtId="0" fontId="20" fillId="0" borderId="0" xfId="8" applyFont="1" applyAlignment="1">
      <alignment vertical="center" wrapText="1"/>
    </xf>
    <xf numFmtId="0" fontId="28" fillId="0" borderId="0" xfId="10"/>
    <xf numFmtId="0" fontId="29" fillId="0" borderId="0" xfId="8" applyFont="1" applyAlignment="1">
      <alignment vertical="center" wrapText="1"/>
    </xf>
    <xf numFmtId="0" fontId="20" fillId="0" borderId="0" xfId="3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12" fillId="0" borderId="16" xfId="0" applyFont="1" applyBorder="1" applyAlignment="1">
      <alignment horizontal="center" vertical="center"/>
    </xf>
    <xf numFmtId="0" fontId="15" fillId="0" borderId="0" xfId="10" applyFont="1"/>
    <xf numFmtId="49" fontId="28" fillId="0" borderId="0" xfId="10" applyNumberFormat="1"/>
    <xf numFmtId="0" fontId="22" fillId="0" borderId="0" xfId="12" applyFont="1" applyAlignment="1" applyProtection="1">
      <alignment horizontal="left" vertical="center"/>
      <protection locked="0"/>
    </xf>
    <xf numFmtId="169" fontId="22" fillId="0" borderId="0" xfId="12" applyNumberFormat="1" applyFont="1" applyAlignment="1" applyProtection="1">
      <alignment horizontal="left" vertical="center"/>
      <protection locked="0"/>
    </xf>
    <xf numFmtId="3" fontId="22" fillId="0" borderId="0" xfId="22" applyNumberFormat="1" applyFont="1" applyFill="1" applyBorder="1" applyAlignment="1" applyProtection="1">
      <alignment horizontal="left" vertical="center"/>
      <protection locked="0"/>
    </xf>
    <xf numFmtId="170" fontId="22" fillId="0" borderId="0" xfId="22" applyNumberFormat="1" applyFont="1" applyFill="1" applyBorder="1" applyAlignment="1" applyProtection="1">
      <alignment horizontal="center" vertical="center"/>
      <protection locked="0"/>
    </xf>
    <xf numFmtId="0" fontId="22" fillId="0" borderId="0" xfId="22" applyNumberFormat="1" applyFont="1" applyBorder="1" applyAlignment="1" applyProtection="1">
      <alignment horizontal="left" vertical="center"/>
    </xf>
    <xf numFmtId="0" fontId="6" fillId="7" borderId="16" xfId="10" applyFont="1" applyFill="1" applyBorder="1"/>
    <xf numFmtId="0" fontId="8" fillId="7" borderId="16" xfId="10" applyFont="1" applyFill="1" applyBorder="1"/>
    <xf numFmtId="0" fontId="8" fillId="7" borderId="16" xfId="10" applyFont="1" applyFill="1" applyBorder="1" applyAlignment="1">
      <alignment horizontal="centerContinuous"/>
    </xf>
    <xf numFmtId="0" fontId="6" fillId="0" borderId="0" xfId="10" applyFont="1"/>
    <xf numFmtId="0" fontId="6" fillId="7" borderId="16" xfId="10" applyFont="1" applyFill="1" applyBorder="1" applyAlignment="1">
      <alignment horizontal="left" vertical="center"/>
    </xf>
    <xf numFmtId="0" fontId="8" fillId="7" borderId="16" xfId="10" applyFont="1" applyFill="1" applyBorder="1" applyAlignment="1">
      <alignment horizontal="left" vertical="center"/>
    </xf>
    <xf numFmtId="0" fontId="32" fillId="8" borderId="16" xfId="10" applyFont="1" applyFill="1" applyBorder="1"/>
    <xf numFmtId="167" fontId="32" fillId="8" borderId="16" xfId="9" applyNumberFormat="1" applyFont="1" applyFill="1" applyBorder="1" applyAlignment="1"/>
    <xf numFmtId="0" fontId="6" fillId="4" borderId="16" xfId="10" applyFont="1" applyFill="1" applyBorder="1"/>
    <xf numFmtId="0" fontId="8" fillId="4" borderId="16" xfId="10" applyFont="1" applyFill="1" applyBorder="1"/>
    <xf numFmtId="167" fontId="8" fillId="4" borderId="16" xfId="9" applyNumberFormat="1" applyFont="1" applyFill="1" applyBorder="1" applyAlignment="1"/>
    <xf numFmtId="0" fontId="6" fillId="0" borderId="19" xfId="10" applyFont="1" applyBorder="1"/>
    <xf numFmtId="0" fontId="33" fillId="0" borderId="19" xfId="8" applyFont="1" applyBorder="1" applyAlignment="1" applyProtection="1">
      <alignment horizontal="center" vertical="center" shrinkToFit="1"/>
      <protection locked="0"/>
    </xf>
    <xf numFmtId="169" fontId="33" fillId="0" borderId="19" xfId="10" applyNumberFormat="1" applyFont="1" applyBorder="1" applyAlignment="1" applyProtection="1">
      <alignment horizontal="center" vertical="center" wrapText="1"/>
      <protection locked="0"/>
    </xf>
    <xf numFmtId="170" fontId="33" fillId="0" borderId="19" xfId="9" applyNumberFormat="1" applyFont="1" applyFill="1" applyBorder="1" applyAlignment="1" applyProtection="1">
      <alignment horizontal="right" vertical="center" wrapText="1"/>
      <protection locked="0"/>
    </xf>
    <xf numFmtId="0" fontId="33" fillId="0" borderId="19" xfId="10" applyFont="1" applyBorder="1" applyAlignment="1" applyProtection="1">
      <alignment horizontal="center" vertical="center"/>
      <protection locked="0"/>
    </xf>
    <xf numFmtId="0" fontId="33" fillId="0" borderId="19" xfId="8" applyFont="1" applyBorder="1" applyAlignment="1" applyProtection="1">
      <alignment horizontal="center" vertical="center"/>
      <protection locked="0"/>
    </xf>
    <xf numFmtId="0" fontId="33" fillId="0" borderId="19" xfId="8" applyFont="1" applyBorder="1" applyAlignment="1" applyProtection="1">
      <alignment horizontal="left" vertical="center" wrapText="1"/>
      <protection locked="0"/>
    </xf>
    <xf numFmtId="0" fontId="34" fillId="8" borderId="16" xfId="10" applyFont="1" applyFill="1" applyBorder="1"/>
    <xf numFmtId="0" fontId="8" fillId="0" borderId="23" xfId="0" applyFont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165" fontId="13" fillId="0" borderId="23" xfId="7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left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2" fillId="2" borderId="23" xfId="0" applyFont="1" applyFill="1" applyBorder="1"/>
    <xf numFmtId="0" fontId="0" fillId="9" borderId="0" xfId="0" applyFill="1"/>
    <xf numFmtId="0" fontId="12" fillId="0" borderId="4" xfId="0" applyFont="1" applyBorder="1"/>
    <xf numFmtId="167" fontId="12" fillId="2" borderId="23" xfId="7" applyNumberFormat="1" applyFont="1" applyFill="1" applyBorder="1" applyAlignment="1">
      <alignment wrapText="1"/>
    </xf>
    <xf numFmtId="0" fontId="8" fillId="10" borderId="16" xfId="10" applyFont="1" applyFill="1" applyBorder="1" applyAlignment="1">
      <alignment horizontal="centerContinuous"/>
    </xf>
    <xf numFmtId="0" fontId="8" fillId="10" borderId="16" xfId="10" applyFont="1" applyFill="1" applyBorder="1" applyAlignment="1">
      <alignment horizontal="left" vertical="center"/>
    </xf>
    <xf numFmtId="0" fontId="8" fillId="10" borderId="16" xfId="10" applyFont="1" applyFill="1" applyBorder="1"/>
    <xf numFmtId="167" fontId="32" fillId="10" borderId="16" xfId="9" applyNumberFormat="1" applyFont="1" applyFill="1" applyBorder="1" applyAlignment="1"/>
    <xf numFmtId="165" fontId="12" fillId="4" borderId="0" xfId="7" applyFont="1" applyFill="1"/>
    <xf numFmtId="0" fontId="12" fillId="2" borderId="10" xfId="0" applyFont="1" applyFill="1" applyBorder="1" applyAlignment="1">
      <alignment vertical="center"/>
    </xf>
    <xf numFmtId="0" fontId="12" fillId="2" borderId="10" xfId="0" applyFont="1" applyFill="1" applyBorder="1"/>
    <xf numFmtId="0" fontId="8" fillId="4" borderId="16" xfId="10" applyFont="1" applyFill="1" applyBorder="1" applyAlignment="1">
      <alignment horizontal="centerContinuous" wrapText="1"/>
    </xf>
    <xf numFmtId="0" fontId="8" fillId="4" borderId="16" xfId="10" applyFont="1" applyFill="1" applyBorder="1" applyAlignment="1">
      <alignment horizontal="left" vertical="center"/>
    </xf>
    <xf numFmtId="167" fontId="32" fillId="4" borderId="16" xfId="9" applyNumberFormat="1" applyFont="1" applyFill="1" applyBorder="1" applyAlignment="1"/>
    <xf numFmtId="0" fontId="8" fillId="4" borderId="16" xfId="10" applyFont="1" applyFill="1" applyBorder="1" applyAlignment="1">
      <alignment horizontal="left" vertical="center" wrapText="1"/>
    </xf>
    <xf numFmtId="0" fontId="8" fillId="8" borderId="16" xfId="10" applyFont="1" applyFill="1" applyBorder="1" applyAlignment="1">
      <alignment horizontal="left" vertical="center"/>
    </xf>
    <xf numFmtId="0" fontId="8" fillId="8" borderId="16" xfId="10" applyFont="1" applyFill="1" applyBorder="1"/>
    <xf numFmtId="0" fontId="8" fillId="8" borderId="16" xfId="10" applyFont="1" applyFill="1" applyBorder="1" applyAlignment="1">
      <alignment horizontal="centerContinuous" wrapText="1"/>
    </xf>
    <xf numFmtId="0" fontId="8" fillId="8" borderId="16" xfId="10" applyFont="1" applyFill="1" applyBorder="1" applyAlignment="1">
      <alignment horizontal="centerContinuous"/>
    </xf>
    <xf numFmtId="0" fontId="8" fillId="0" borderId="23" xfId="0" applyFont="1" applyBorder="1" applyAlignment="1">
      <alignment horizontal="center" vertical="center" wrapText="1"/>
    </xf>
    <xf numFmtId="165" fontId="16" fillId="0" borderId="23" xfId="7" applyFont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 wrapText="1"/>
    </xf>
    <xf numFmtId="0" fontId="35" fillId="0" borderId="23" xfId="0" applyFont="1" applyBorder="1" applyAlignment="1">
      <alignment horizontal="left" vertical="center"/>
    </xf>
    <xf numFmtId="0" fontId="36" fillId="0" borderId="19" xfId="0" applyFont="1" applyBorder="1" applyAlignment="1">
      <alignment horizontal="center" vertical="center"/>
    </xf>
    <xf numFmtId="0" fontId="35" fillId="0" borderId="19" xfId="0" applyFont="1" applyBorder="1" applyAlignment="1">
      <alignment horizontal="left" vertical="center"/>
    </xf>
    <xf numFmtId="0" fontId="36" fillId="0" borderId="25" xfId="0" applyFont="1" applyBorder="1" applyAlignment="1">
      <alignment horizontal="center" vertical="center"/>
    </xf>
    <xf numFmtId="0" fontId="35" fillId="0" borderId="25" xfId="0" applyFont="1" applyBorder="1" applyAlignment="1">
      <alignment horizontal="left" vertical="center"/>
    </xf>
    <xf numFmtId="0" fontId="24" fillId="3" borderId="9" xfId="0" applyFont="1" applyFill="1" applyBorder="1" applyAlignment="1">
      <alignment horizontal="left" vertical="center"/>
    </xf>
    <xf numFmtId="0" fontId="24" fillId="3" borderId="9" xfId="0" applyFont="1" applyFill="1" applyBorder="1" applyAlignment="1">
      <alignment horizontal="centerContinuous" vertical="center"/>
    </xf>
    <xf numFmtId="0" fontId="24" fillId="3" borderId="10" xfId="0" applyFont="1" applyFill="1" applyBorder="1" applyAlignment="1">
      <alignment horizontal="centerContinuous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left" vertical="top" wrapText="1"/>
    </xf>
    <xf numFmtId="0" fontId="8" fillId="4" borderId="16" xfId="10" applyFont="1" applyFill="1" applyBorder="1" applyAlignment="1">
      <alignment horizontal="center"/>
    </xf>
    <xf numFmtId="171" fontId="33" fillId="0" borderId="19" xfId="9" applyNumberFormat="1" applyFont="1" applyFill="1" applyBorder="1" applyAlignment="1" applyProtection="1">
      <alignment horizontal="right" vertical="center" wrapText="1"/>
      <protection locked="0"/>
    </xf>
    <xf numFmtId="0" fontId="6" fillId="0" borderId="1" xfId="10" applyFont="1" applyBorder="1"/>
    <xf numFmtId="169" fontId="33" fillId="0" borderId="1" xfId="10" applyNumberFormat="1" applyFont="1" applyBorder="1" applyAlignment="1" applyProtection="1">
      <alignment horizontal="center" vertical="center" wrapText="1"/>
      <protection locked="0"/>
    </xf>
    <xf numFmtId="0" fontId="33" fillId="0" borderId="1" xfId="8" applyFont="1" applyBorder="1" applyAlignment="1" applyProtection="1">
      <alignment horizontal="center" vertical="center" shrinkToFit="1"/>
      <protection locked="0"/>
    </xf>
    <xf numFmtId="0" fontId="33" fillId="0" borderId="1" xfId="8" applyFont="1" applyBorder="1" applyAlignment="1" applyProtection="1">
      <alignment horizontal="left" vertical="center" wrapText="1"/>
      <protection locked="0"/>
    </xf>
    <xf numFmtId="171" fontId="33" fillId="0" borderId="1" xfId="9" applyNumberFormat="1" applyFont="1" applyFill="1" applyBorder="1" applyAlignment="1" applyProtection="1">
      <alignment horizontal="right" vertical="center" wrapText="1"/>
      <protection locked="0"/>
    </xf>
    <xf numFmtId="170" fontId="33" fillId="0" borderId="1" xfId="9" applyNumberFormat="1" applyFont="1" applyFill="1" applyBorder="1" applyAlignment="1" applyProtection="1">
      <alignment horizontal="right" vertical="center" wrapText="1"/>
      <protection locked="0"/>
    </xf>
    <xf numFmtId="0" fontId="22" fillId="6" borderId="1" xfId="0" applyFont="1" applyFill="1" applyBorder="1" applyAlignment="1">
      <alignment horizontal="center" vertical="center"/>
    </xf>
    <xf numFmtId="0" fontId="22" fillId="6" borderId="25" xfId="0" applyFont="1" applyFill="1" applyBorder="1" applyAlignment="1">
      <alignment horizontal="center" vertical="center"/>
    </xf>
    <xf numFmtId="167" fontId="22" fillId="0" borderId="25" xfId="0" applyNumberFormat="1" applyFont="1" applyBorder="1" applyAlignment="1">
      <alignment vertical="center" wrapText="1"/>
    </xf>
    <xf numFmtId="167" fontId="22" fillId="0" borderId="1" xfId="0" applyNumberFormat="1" applyFont="1" applyBorder="1" applyAlignment="1">
      <alignment vertical="center" wrapText="1"/>
    </xf>
    <xf numFmtId="0" fontId="8" fillId="7" borderId="16" xfId="10" applyFont="1" applyFill="1" applyBorder="1" applyAlignment="1">
      <alignment horizontal="center" vertical="center"/>
    </xf>
    <xf numFmtId="0" fontId="28" fillId="0" borderId="0" xfId="10" applyAlignment="1">
      <alignment horizontal="center" vertical="center"/>
    </xf>
    <xf numFmtId="0" fontId="6" fillId="0" borderId="19" xfId="10" applyFont="1" applyBorder="1" applyAlignment="1">
      <alignment horizontal="center" vertical="center"/>
    </xf>
    <xf numFmtId="0" fontId="6" fillId="0" borderId="0" xfId="10" applyFont="1" applyAlignment="1">
      <alignment horizontal="center" vertical="center"/>
    </xf>
    <xf numFmtId="0" fontId="6" fillId="0" borderId="19" xfId="10" applyFont="1" applyBorder="1" applyAlignment="1">
      <alignment vertical="center"/>
    </xf>
    <xf numFmtId="0" fontId="6" fillId="0" borderId="19" xfId="10" applyFont="1" applyBorder="1" applyAlignment="1">
      <alignment vertical="center" wrapText="1"/>
    </xf>
    <xf numFmtId="0" fontId="6" fillId="0" borderId="0" xfId="10" applyFont="1" applyAlignment="1">
      <alignment vertical="center"/>
    </xf>
    <xf numFmtId="0" fontId="0" fillId="0" borderId="0" xfId="0" applyAlignment="1">
      <alignment vertical="center"/>
    </xf>
    <xf numFmtId="0" fontId="6" fillId="0" borderId="1" xfId="10" applyFont="1" applyBorder="1" applyAlignment="1">
      <alignment vertical="center"/>
    </xf>
    <xf numFmtId="0" fontId="8" fillId="7" borderId="16" xfId="10" applyFont="1" applyFill="1" applyBorder="1" applyAlignment="1">
      <alignment horizontal="center" vertical="center" wrapText="1"/>
    </xf>
    <xf numFmtId="0" fontId="6" fillId="0" borderId="1" xfId="10" applyFont="1" applyBorder="1" applyAlignment="1">
      <alignment horizontal="center" vertical="center"/>
    </xf>
    <xf numFmtId="0" fontId="6" fillId="0" borderId="0" xfId="10" applyFont="1" applyAlignment="1">
      <alignment vertical="center" wrapText="1"/>
    </xf>
    <xf numFmtId="169" fontId="33" fillId="0" borderId="0" xfId="10" applyNumberFormat="1" applyFont="1" applyAlignment="1" applyProtection="1">
      <alignment horizontal="center" vertical="center" wrapText="1"/>
      <protection locked="0"/>
    </xf>
    <xf numFmtId="0" fontId="22" fillId="6" borderId="0" xfId="0" applyFont="1" applyFill="1" applyAlignment="1">
      <alignment horizontal="center" vertical="center"/>
    </xf>
    <xf numFmtId="0" fontId="33" fillId="0" borderId="0" xfId="8" applyFont="1" applyAlignment="1" applyProtection="1">
      <alignment horizontal="left" vertical="center" wrapText="1"/>
      <protection locked="0"/>
    </xf>
    <xf numFmtId="171" fontId="33" fillId="0" borderId="0" xfId="9" applyNumberFormat="1" applyFont="1" applyFill="1" applyBorder="1" applyAlignment="1" applyProtection="1">
      <alignment horizontal="right" vertical="center" wrapText="1"/>
      <protection locked="0"/>
    </xf>
    <xf numFmtId="170" fontId="33" fillId="0" borderId="0" xfId="9" applyNumberFormat="1" applyFont="1" applyFill="1" applyBorder="1" applyAlignment="1" applyProtection="1">
      <alignment horizontal="right" vertical="center" wrapText="1"/>
      <protection locked="0"/>
    </xf>
    <xf numFmtId="0" fontId="0" fillId="0" borderId="18" xfId="0" applyBorder="1" applyAlignment="1">
      <alignment vertical="center" wrapText="1"/>
    </xf>
    <xf numFmtId="0" fontId="6" fillId="0" borderId="20" xfId="10" applyFont="1" applyBorder="1" applyAlignment="1">
      <alignment vertical="center"/>
    </xf>
    <xf numFmtId="0" fontId="6" fillId="0" borderId="20" xfId="10" applyFont="1" applyBorder="1" applyAlignment="1">
      <alignment vertical="center" wrapText="1"/>
    </xf>
    <xf numFmtId="169" fontId="33" fillId="0" borderId="20" xfId="10" applyNumberFormat="1" applyFont="1" applyBorder="1" applyAlignment="1" applyProtection="1">
      <alignment horizontal="center" vertical="center" wrapText="1"/>
      <protection locked="0"/>
    </xf>
    <xf numFmtId="0" fontId="6" fillId="0" borderId="20" xfId="10" applyFont="1" applyBorder="1"/>
    <xf numFmtId="0" fontId="22" fillId="6" borderId="20" xfId="0" applyFont="1" applyFill="1" applyBorder="1" applyAlignment="1">
      <alignment horizontal="center" vertical="center"/>
    </xf>
    <xf numFmtId="0" fontId="33" fillId="0" borderId="20" xfId="8" applyFont="1" applyBorder="1" applyAlignment="1" applyProtection="1">
      <alignment horizontal="left" vertical="center" wrapText="1"/>
      <protection locked="0"/>
    </xf>
    <xf numFmtId="171" fontId="33" fillId="0" borderId="20" xfId="9" applyNumberFormat="1" applyFont="1" applyFill="1" applyBorder="1" applyAlignment="1" applyProtection="1">
      <alignment horizontal="right" vertical="center" wrapText="1"/>
      <protection locked="0"/>
    </xf>
    <xf numFmtId="170" fontId="33" fillId="0" borderId="20" xfId="9" applyNumberFormat="1" applyFont="1" applyFill="1" applyBorder="1" applyAlignment="1" applyProtection="1">
      <alignment horizontal="right" vertical="center" wrapText="1"/>
      <protection locked="0"/>
    </xf>
    <xf numFmtId="0" fontId="6" fillId="0" borderId="23" xfId="10" applyFont="1" applyBorder="1" applyAlignment="1">
      <alignment vertical="center"/>
    </xf>
    <xf numFmtId="165" fontId="6" fillId="0" borderId="19" xfId="7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6" xfId="0" applyFont="1" applyBorder="1" applyAlignment="1">
      <alignment vertical="center"/>
    </xf>
    <xf numFmtId="0" fontId="21" fillId="0" borderId="16" xfId="0" quotePrefix="1" applyFont="1" applyBorder="1" applyAlignment="1">
      <alignment vertical="center" wrapText="1"/>
    </xf>
    <xf numFmtId="0" fontId="21" fillId="0" borderId="16" xfId="0" quotePrefix="1" applyFont="1" applyBorder="1" applyAlignment="1">
      <alignment horizontal="left" vertical="center"/>
    </xf>
    <xf numFmtId="0" fontId="21" fillId="0" borderId="16" xfId="0" quotePrefix="1" applyFont="1" applyBorder="1" applyAlignment="1">
      <alignment vertical="center"/>
    </xf>
    <xf numFmtId="0" fontId="21" fillId="0" borderId="16" xfId="0" applyFont="1" applyBorder="1" applyAlignment="1">
      <alignment horizontal="left" vertical="center" wrapText="1"/>
    </xf>
    <xf numFmtId="0" fontId="21" fillId="0" borderId="16" xfId="0" applyFont="1" applyBorder="1" applyAlignment="1">
      <alignment vertical="center" wrapText="1"/>
    </xf>
    <xf numFmtId="0" fontId="6" fillId="0" borderId="19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6" fillId="0" borderId="25" xfId="10" applyFont="1" applyBorder="1" applyAlignment="1">
      <alignment vertical="center"/>
    </xf>
    <xf numFmtId="165" fontId="6" fillId="0" borderId="25" xfId="7" applyFont="1" applyBorder="1" applyAlignment="1">
      <alignment horizontal="center" vertical="center"/>
    </xf>
    <xf numFmtId="165" fontId="6" fillId="0" borderId="19" xfId="0" applyNumberFormat="1" applyFont="1" applyBorder="1" applyAlignment="1">
      <alignment horizontal="center" vertical="center"/>
    </xf>
    <xf numFmtId="165" fontId="6" fillId="0" borderId="25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16" xfId="0" applyFont="1" applyFill="1" applyBorder="1" applyAlignment="1">
      <alignment horizontal="right" vertical="center"/>
    </xf>
    <xf numFmtId="0" fontId="25" fillId="0" borderId="12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14" fontId="12" fillId="4" borderId="23" xfId="0" applyNumberFormat="1" applyFont="1" applyFill="1" applyBorder="1" applyAlignment="1">
      <alignment vertical="top"/>
    </xf>
    <xf numFmtId="0" fontId="37" fillId="4" borderId="25" xfId="0" applyFont="1" applyFill="1" applyBorder="1" applyAlignment="1">
      <alignment vertical="top" wrapText="1"/>
    </xf>
    <xf numFmtId="0" fontId="38" fillId="4" borderId="25" xfId="0" applyFont="1" applyFill="1" applyBorder="1" applyAlignment="1">
      <alignment vertical="top"/>
    </xf>
    <xf numFmtId="14" fontId="18" fillId="4" borderId="19" xfId="0" applyNumberFormat="1" applyFont="1" applyFill="1" applyBorder="1" applyAlignment="1">
      <alignment vertical="top"/>
    </xf>
    <xf numFmtId="0" fontId="39" fillId="4" borderId="25" xfId="0" applyFont="1" applyFill="1" applyBorder="1" applyAlignment="1">
      <alignment vertical="top" wrapText="1"/>
    </xf>
    <xf numFmtId="0" fontId="23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0" fontId="21" fillId="0" borderId="0" xfId="0" applyFont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173" fontId="40" fillId="0" borderId="16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0" fontId="21" fillId="0" borderId="16" xfId="0" applyFont="1" applyBorder="1" applyAlignment="1">
      <alignment horizontal="center" vertical="center" wrapText="1"/>
    </xf>
    <xf numFmtId="172" fontId="21" fillId="0" borderId="16" xfId="7" applyNumberFormat="1" applyFont="1" applyFill="1" applyBorder="1" applyAlignment="1">
      <alignment vertical="center" wrapText="1"/>
    </xf>
    <xf numFmtId="0" fontId="21" fillId="4" borderId="16" xfId="0" applyFont="1" applyFill="1" applyBorder="1" applyAlignment="1">
      <alignment horizontal="center" vertical="center" wrapText="1"/>
    </xf>
    <xf numFmtId="0" fontId="21" fillId="4" borderId="16" xfId="0" applyFont="1" applyFill="1" applyBorder="1" applyAlignment="1">
      <alignment vertical="center" wrapText="1"/>
    </xf>
    <xf numFmtId="172" fontId="21" fillId="4" borderId="16" xfId="7" applyNumberFormat="1" applyFont="1" applyFill="1" applyBorder="1" applyAlignment="1">
      <alignment vertical="center" wrapText="1"/>
    </xf>
    <xf numFmtId="0" fontId="21" fillId="4" borderId="0" xfId="0" applyFont="1" applyFill="1" applyAlignment="1">
      <alignment vertical="center" wrapText="1"/>
    </xf>
    <xf numFmtId="0" fontId="0" fillId="0" borderId="25" xfId="0" applyBorder="1"/>
    <xf numFmtId="0" fontId="0" fillId="0" borderId="18" xfId="0" applyBorder="1" applyAlignment="1">
      <alignment vertical="top" wrapText="1"/>
    </xf>
    <xf numFmtId="0" fontId="25" fillId="0" borderId="4" xfId="0" applyFont="1" applyBorder="1"/>
    <xf numFmtId="0" fontId="0" fillId="0" borderId="4" xfId="0" applyBorder="1" applyAlignment="1">
      <alignment vertical="top" wrapText="1"/>
    </xf>
    <xf numFmtId="0" fontId="12" fillId="0" borderId="16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2" fillId="8" borderId="6" xfId="0" applyFont="1" applyFill="1" applyBorder="1"/>
    <xf numFmtId="0" fontId="12" fillId="8" borderId="5" xfId="0" applyFont="1" applyFill="1" applyBorder="1"/>
    <xf numFmtId="0" fontId="12" fillId="8" borderId="8" xfId="0" applyFont="1" applyFill="1" applyBorder="1"/>
    <xf numFmtId="0" fontId="12" fillId="4" borderId="9" xfId="0" applyFont="1" applyFill="1" applyBorder="1" applyAlignment="1">
      <alignment horizontal="centerContinuous" vertical="center" wrapText="1"/>
    </xf>
    <xf numFmtId="0" fontId="12" fillId="0" borderId="16" xfId="0" applyFont="1" applyBorder="1" applyAlignment="1">
      <alignment horizontal="centerContinuous"/>
    </xf>
    <xf numFmtId="0" fontId="41" fillId="0" borderId="0" xfId="0" applyFont="1"/>
    <xf numFmtId="0" fontId="42" fillId="0" borderId="0" xfId="0" applyFont="1"/>
    <xf numFmtId="0" fontId="21" fillId="0" borderId="16" xfId="0" quotePrefix="1" applyFont="1" applyBorder="1" applyAlignment="1">
      <alignment horizontal="left" vertical="center" wrapText="1"/>
    </xf>
    <xf numFmtId="0" fontId="42" fillId="0" borderId="9" xfId="0" applyFont="1" applyBorder="1" applyAlignment="1">
      <alignment horizontal="centerContinuous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72" fontId="21" fillId="0" borderId="0" xfId="7" applyNumberFormat="1" applyFont="1" applyFill="1" applyAlignment="1">
      <alignment horizontal="center" vertical="center" wrapText="1"/>
    </xf>
    <xf numFmtId="172" fontId="23" fillId="0" borderId="16" xfId="7" applyNumberFormat="1" applyFont="1" applyFill="1" applyBorder="1" applyAlignment="1">
      <alignment horizontal="center" vertical="center" wrapText="1"/>
    </xf>
    <xf numFmtId="172" fontId="23" fillId="0" borderId="16" xfId="7" applyNumberFormat="1" applyFont="1" applyFill="1" applyBorder="1" applyAlignment="1">
      <alignment vertical="center" wrapText="1"/>
    </xf>
    <xf numFmtId="172" fontId="21" fillId="0" borderId="0" xfId="7" applyNumberFormat="1" applyFont="1" applyFill="1" applyAlignment="1">
      <alignment vertical="center" wrapText="1"/>
    </xf>
    <xf numFmtId="0" fontId="6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165" fontId="16" fillId="0" borderId="1" xfId="7" applyFont="1" applyBorder="1" applyAlignment="1">
      <alignment horizontal="center" vertical="center"/>
    </xf>
    <xf numFmtId="165" fontId="6" fillId="0" borderId="19" xfId="7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165" fontId="13" fillId="0" borderId="1" xfId="7" applyFont="1" applyBorder="1" applyAlignment="1">
      <alignment horizontal="center" vertical="center"/>
    </xf>
    <xf numFmtId="0" fontId="6" fillId="0" borderId="20" xfId="10" applyFont="1" applyBorder="1" applyAlignment="1">
      <alignment horizontal="center" vertical="center"/>
    </xf>
    <xf numFmtId="0" fontId="5" fillId="0" borderId="0" xfId="0" applyFont="1" applyAlignment="1">
      <alignment horizontal="centerContinuous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6" xfId="0" applyFont="1" applyBorder="1" applyAlignment="1">
      <alignment vertical="center" wrapText="1"/>
    </xf>
    <xf numFmtId="0" fontId="8" fillId="0" borderId="7" xfId="0" applyFont="1" applyBorder="1" applyAlignment="1">
      <alignment horizontal="centerContinuous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23" fillId="2" borderId="16" xfId="0" applyFont="1" applyFill="1" applyBorder="1" applyAlignment="1">
      <alignment horizontal="center" vertical="center" wrapText="1"/>
    </xf>
    <xf numFmtId="0" fontId="23" fillId="2" borderId="10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vertical="center" wrapText="1"/>
    </xf>
    <xf numFmtId="0" fontId="21" fillId="11" borderId="38" xfId="0" applyFont="1" applyFill="1" applyBorder="1" applyAlignment="1">
      <alignment vertical="center" wrapText="1"/>
    </xf>
    <xf numFmtId="0" fontId="23" fillId="11" borderId="7" xfId="0" applyFont="1" applyFill="1" applyBorder="1" applyAlignment="1">
      <alignment horizontal="center" vertical="center" wrapText="1"/>
    </xf>
    <xf numFmtId="0" fontId="45" fillId="0" borderId="10" xfId="0" applyFont="1" applyBorder="1" applyAlignment="1">
      <alignment horizontal="center" vertical="center" wrapText="1"/>
    </xf>
    <xf numFmtId="0" fontId="45" fillId="0" borderId="10" xfId="0" applyFont="1" applyBorder="1" applyAlignment="1">
      <alignment vertical="center" wrapText="1"/>
    </xf>
    <xf numFmtId="0" fontId="45" fillId="0" borderId="0" xfId="0" applyFont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23" fillId="0" borderId="40" xfId="0" applyFont="1" applyBorder="1" applyAlignment="1">
      <alignment horizontal="center" vertical="center" wrapText="1"/>
    </xf>
    <xf numFmtId="0" fontId="23" fillId="0" borderId="40" xfId="0" applyFont="1" applyBorder="1" applyAlignment="1">
      <alignment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0" xfId="0" applyFont="1" applyBorder="1" applyAlignment="1">
      <alignment horizontal="left" vertical="center" wrapText="1"/>
    </xf>
    <xf numFmtId="0" fontId="21" fillId="0" borderId="40" xfId="0" applyFont="1" applyBorder="1" applyAlignment="1">
      <alignment vertical="center" wrapText="1"/>
    </xf>
    <xf numFmtId="0" fontId="21" fillId="0" borderId="41" xfId="0" applyFont="1" applyBorder="1" applyAlignment="1">
      <alignment vertical="center" wrapText="1"/>
    </xf>
    <xf numFmtId="0" fontId="21" fillId="0" borderId="42" xfId="0" applyFont="1" applyBorder="1" applyAlignment="1">
      <alignment horizontal="right" vertical="center" wrapText="1"/>
    </xf>
    <xf numFmtId="0" fontId="21" fillId="0" borderId="43" xfId="0" applyFont="1" applyBorder="1" applyAlignment="1">
      <alignment horizontal="center" vertical="center" wrapText="1"/>
    </xf>
    <xf numFmtId="0" fontId="21" fillId="0" borderId="43" xfId="0" applyFont="1" applyBorder="1" applyAlignment="1">
      <alignment horizontal="left" vertical="center" wrapText="1"/>
    </xf>
    <xf numFmtId="0" fontId="21" fillId="0" borderId="43" xfId="0" applyFont="1" applyBorder="1" applyAlignment="1">
      <alignment vertical="center" wrapText="1"/>
    </xf>
    <xf numFmtId="0" fontId="21" fillId="0" borderId="44" xfId="0" applyFont="1" applyBorder="1" applyAlignment="1">
      <alignment vertical="center" wrapText="1"/>
    </xf>
    <xf numFmtId="0" fontId="21" fillId="0" borderId="45" xfId="0" applyFont="1" applyBorder="1" applyAlignment="1">
      <alignment horizontal="right" vertical="center" wrapText="1"/>
    </xf>
    <xf numFmtId="0" fontId="21" fillId="0" borderId="46" xfId="0" applyFont="1" applyBorder="1" applyAlignment="1">
      <alignment horizontal="center" vertical="center" wrapText="1"/>
    </xf>
    <xf numFmtId="0" fontId="21" fillId="0" borderId="46" xfId="0" applyFont="1" applyBorder="1" applyAlignment="1">
      <alignment horizontal="left" vertical="center" wrapText="1"/>
    </xf>
    <xf numFmtId="0" fontId="21" fillId="0" borderId="46" xfId="0" applyFont="1" applyBorder="1" applyAlignment="1">
      <alignment vertical="center" wrapText="1"/>
    </xf>
    <xf numFmtId="0" fontId="21" fillId="0" borderId="47" xfId="0" applyFont="1" applyBorder="1" applyAlignment="1">
      <alignment vertical="center" wrapText="1"/>
    </xf>
    <xf numFmtId="0" fontId="21" fillId="0" borderId="39" xfId="0" applyFont="1" applyBorder="1" applyAlignment="1">
      <alignment horizontal="right" vertical="center" wrapText="1"/>
    </xf>
    <xf numFmtId="0" fontId="21" fillId="0" borderId="48" xfId="0" applyFont="1" applyBorder="1" applyAlignment="1">
      <alignment horizontal="right" vertical="center" wrapText="1"/>
    </xf>
    <xf numFmtId="0" fontId="21" fillId="0" borderId="49" xfId="0" applyFont="1" applyBorder="1" applyAlignment="1">
      <alignment horizontal="center" vertical="center" wrapText="1"/>
    </xf>
    <xf numFmtId="0" fontId="21" fillId="0" borderId="49" xfId="0" applyFont="1" applyBorder="1" applyAlignment="1">
      <alignment horizontal="left" vertical="center" wrapText="1"/>
    </xf>
    <xf numFmtId="0" fontId="21" fillId="0" borderId="49" xfId="0" applyFont="1" applyBorder="1" applyAlignment="1">
      <alignment vertical="center" wrapText="1"/>
    </xf>
    <xf numFmtId="0" fontId="21" fillId="0" borderId="50" xfId="0" applyFont="1" applyBorder="1" applyAlignment="1">
      <alignment vertical="center" wrapText="1"/>
    </xf>
    <xf numFmtId="0" fontId="46" fillId="0" borderId="40" xfId="0" applyFont="1" applyBorder="1" applyAlignment="1">
      <alignment horizontal="left" vertical="center" wrapText="1"/>
    </xf>
    <xf numFmtId="0" fontId="46" fillId="0" borderId="40" xfId="0" applyFont="1" applyBorder="1" applyAlignment="1">
      <alignment horizontal="center" vertical="center" wrapText="1"/>
    </xf>
    <xf numFmtId="0" fontId="46" fillId="0" borderId="43" xfId="0" applyFont="1" applyBorder="1" applyAlignment="1">
      <alignment horizontal="left" vertical="center" wrapText="1"/>
    </xf>
    <xf numFmtId="0" fontId="46" fillId="0" borderId="43" xfId="0" applyFont="1" applyBorder="1" applyAlignment="1">
      <alignment horizontal="center" vertical="center" wrapText="1"/>
    </xf>
    <xf numFmtId="0" fontId="46" fillId="0" borderId="46" xfId="0" applyFont="1" applyBorder="1" applyAlignment="1">
      <alignment horizontal="left" vertical="center" wrapText="1"/>
    </xf>
    <xf numFmtId="0" fontId="46" fillId="0" borderId="46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vertical="center" wrapText="1"/>
    </xf>
    <xf numFmtId="0" fontId="21" fillId="0" borderId="1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42" xfId="0" applyFont="1" applyBorder="1" applyAlignment="1">
      <alignment horizontal="center" vertical="center" wrapText="1"/>
    </xf>
    <xf numFmtId="0" fontId="21" fillId="0" borderId="4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left" vertical="center" wrapText="1"/>
    </xf>
    <xf numFmtId="0" fontId="23" fillId="2" borderId="37" xfId="0" applyFont="1" applyFill="1" applyBorder="1" applyAlignment="1">
      <alignment horizontal="center" vertical="center" wrapText="1"/>
    </xf>
    <xf numFmtId="0" fontId="12" fillId="4" borderId="38" xfId="0" applyFont="1" applyFill="1" applyBorder="1" applyAlignment="1">
      <alignment horizontal="centerContinuous" vertical="center"/>
    </xf>
    <xf numFmtId="0" fontId="12" fillId="0" borderId="38" xfId="0" applyFont="1" applyBorder="1" applyAlignment="1">
      <alignment horizontal="center" vertical="center" wrapText="1"/>
    </xf>
    <xf numFmtId="0" fontId="25" fillId="0" borderId="44" xfId="0" applyFont="1" applyBorder="1" applyAlignment="1">
      <alignment horizontal="center"/>
    </xf>
    <xf numFmtId="165" fontId="4" fillId="0" borderId="41" xfId="7" applyFont="1" applyBorder="1"/>
    <xf numFmtId="165" fontId="4" fillId="0" borderId="47" xfId="7" applyFont="1" applyBorder="1"/>
    <xf numFmtId="0" fontId="0" fillId="0" borderId="44" xfId="0" applyBorder="1"/>
    <xf numFmtId="165" fontId="4" fillId="0" borderId="44" xfId="7" applyFont="1" applyBorder="1"/>
    <xf numFmtId="165" fontId="4" fillId="0" borderId="38" xfId="7" applyFont="1" applyBorder="1"/>
    <xf numFmtId="167" fontId="13" fillId="0" borderId="23" xfId="7" applyNumberFormat="1" applyFont="1" applyBorder="1" applyAlignment="1">
      <alignment horizontal="center" vertical="center"/>
    </xf>
    <xf numFmtId="0" fontId="0" fillId="0" borderId="41" xfId="0" applyBorder="1"/>
    <xf numFmtId="0" fontId="0" fillId="0" borderId="47" xfId="0" applyBorder="1"/>
    <xf numFmtId="0" fontId="0" fillId="0" borderId="38" xfId="0" applyBorder="1"/>
    <xf numFmtId="170" fontId="33" fillId="0" borderId="19" xfId="9" quotePrefix="1" applyNumberFormat="1" applyFont="1" applyFill="1" applyBorder="1" applyAlignment="1" applyProtection="1">
      <alignment horizontal="right" vertical="center" wrapText="1"/>
      <protection locked="0"/>
    </xf>
    <xf numFmtId="0" fontId="8" fillId="8" borderId="16" xfId="10" applyFont="1" applyFill="1" applyBorder="1" applyAlignment="1">
      <alignment horizontal="left" vertical="center" wrapText="1"/>
    </xf>
    <xf numFmtId="0" fontId="8" fillId="10" borderId="16" xfId="10" applyFont="1" applyFill="1" applyBorder="1" applyAlignment="1">
      <alignment horizontal="left" vertical="center" wrapText="1"/>
    </xf>
    <xf numFmtId="0" fontId="8" fillId="7" borderId="38" xfId="10" applyFont="1" applyFill="1" applyBorder="1"/>
    <xf numFmtId="0" fontId="8" fillId="7" borderId="38" xfId="10" applyFont="1" applyFill="1" applyBorder="1" applyAlignment="1">
      <alignment horizontal="left" vertical="center"/>
    </xf>
    <xf numFmtId="0" fontId="6" fillId="0" borderId="44" xfId="10" applyFont="1" applyBorder="1" applyAlignment="1">
      <alignment vertical="center"/>
    </xf>
    <xf numFmtId="0" fontId="6" fillId="0" borderId="44" xfId="10" applyFont="1" applyBorder="1"/>
    <xf numFmtId="0" fontId="6" fillId="0" borderId="47" xfId="10" applyFont="1" applyBorder="1" applyAlignment="1">
      <alignment vertical="center"/>
    </xf>
    <xf numFmtId="0" fontId="12" fillId="0" borderId="38" xfId="0" applyFont="1" applyBorder="1" applyAlignment="1">
      <alignment vertical="top" wrapText="1"/>
    </xf>
    <xf numFmtId="0" fontId="0" fillId="0" borderId="0" xfId="0" quotePrefix="1"/>
    <xf numFmtId="0" fontId="12" fillId="4" borderId="0" xfId="0" applyFont="1" applyFill="1"/>
    <xf numFmtId="0" fontId="0" fillId="2" borderId="41" xfId="0" applyFill="1" applyBorder="1" applyAlignment="1">
      <alignment horizontal="center"/>
    </xf>
    <xf numFmtId="165" fontId="4" fillId="2" borderId="41" xfId="7" applyFont="1" applyFill="1" applyBorder="1" applyAlignment="1">
      <alignment horizontal="center"/>
    </xf>
    <xf numFmtId="0" fontId="12" fillId="12" borderId="0" xfId="0" applyFont="1" applyFill="1"/>
    <xf numFmtId="165" fontId="12" fillId="12" borderId="0" xfId="7" applyFont="1" applyFill="1"/>
    <xf numFmtId="0" fontId="12" fillId="0" borderId="51" xfId="0" applyFont="1" applyBorder="1"/>
    <xf numFmtId="0" fontId="12" fillId="0" borderId="52" xfId="0" applyFont="1" applyBorder="1"/>
    <xf numFmtId="0" fontId="42" fillId="0" borderId="0" xfId="0" applyFont="1" applyAlignment="1">
      <alignment horizontal="left"/>
    </xf>
    <xf numFmtId="0" fontId="47" fillId="0" borderId="0" xfId="0" applyFont="1"/>
    <xf numFmtId="0" fontId="12" fillId="0" borderId="53" xfId="0" applyFont="1" applyBorder="1"/>
    <xf numFmtId="0" fontId="12" fillId="0" borderId="3" xfId="0" applyFont="1" applyBorder="1"/>
    <xf numFmtId="0" fontId="0" fillId="0" borderId="0" xfId="0" applyAlignment="1">
      <alignment horizontal="centerContinuous"/>
    </xf>
    <xf numFmtId="0" fontId="0" fillId="0" borderId="0" xfId="0" applyAlignment="1">
      <alignment horizontal="centerContinuous" wrapText="1"/>
    </xf>
    <xf numFmtId="0" fontId="0" fillId="4" borderId="54" xfId="0" applyFill="1" applyBorder="1"/>
    <xf numFmtId="0" fontId="0" fillId="4" borderId="55" xfId="0" applyFill="1" applyBorder="1"/>
    <xf numFmtId="0" fontId="15" fillId="4" borderId="0" xfId="0" applyFont="1" applyFill="1"/>
    <xf numFmtId="0" fontId="12" fillId="4" borderId="0" xfId="0" applyFont="1" applyFill="1" applyAlignment="1">
      <alignment horizontal="right"/>
    </xf>
    <xf numFmtId="0" fontId="47" fillId="4" borderId="0" xfId="0" applyFont="1" applyFill="1"/>
    <xf numFmtId="0" fontId="23" fillId="0" borderId="2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5" borderId="16" xfId="0" applyFont="1" applyFill="1" applyBorder="1" applyAlignment="1">
      <alignment horizontal="center" vertical="center" wrapText="1"/>
    </xf>
    <xf numFmtId="0" fontId="12" fillId="2" borderId="23" xfId="0" applyFont="1" applyFill="1" applyBorder="1" applyAlignment="1">
      <alignment horizontal="center" vertical="center" wrapText="1"/>
    </xf>
    <xf numFmtId="0" fontId="12" fillId="2" borderId="20" xfId="0" applyFont="1" applyFill="1" applyBorder="1" applyAlignment="1">
      <alignment horizontal="center" vertical="center" wrapText="1"/>
    </xf>
    <xf numFmtId="0" fontId="12" fillId="4" borderId="11" xfId="0" applyFont="1" applyFill="1" applyBorder="1" applyAlignment="1">
      <alignment horizontal="center" vertical="center" wrapText="1"/>
    </xf>
    <xf numFmtId="0" fontId="12" fillId="4" borderId="13" xfId="0" applyFont="1" applyFill="1" applyBorder="1" applyAlignment="1">
      <alignment horizontal="center" vertical="center" wrapText="1"/>
    </xf>
    <xf numFmtId="0" fontId="12" fillId="4" borderId="10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167" fontId="22" fillId="0" borderId="10" xfId="0" applyNumberFormat="1" applyFont="1" applyBorder="1" applyAlignment="1">
      <alignment horizontal="left" vertical="center" wrapText="1"/>
    </xf>
    <xf numFmtId="167" fontId="22" fillId="0" borderId="1" xfId="0" applyNumberFormat="1" applyFont="1" applyBorder="1" applyAlignment="1">
      <alignment horizontal="left" vertical="center" wrapText="1"/>
    </xf>
    <xf numFmtId="167" fontId="22" fillId="0" borderId="4" xfId="0" applyNumberFormat="1" applyFont="1" applyBorder="1" applyAlignment="1">
      <alignment horizontal="left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 wrapText="1"/>
    </xf>
    <xf numFmtId="0" fontId="7" fillId="3" borderId="13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172" fontId="23" fillId="0" borderId="16" xfId="7" applyNumberFormat="1" applyFont="1" applyFill="1" applyBorder="1" applyAlignment="1">
      <alignment horizontal="center" vertical="center" wrapText="1"/>
    </xf>
  </cellXfs>
  <cellStyles count="23">
    <cellStyle name="2.DIV-LV3 2" xfId="18" xr:uid="{E3923C15-7B68-4C9F-8F69-879BA73D379D}"/>
    <cellStyle name="4.Descriptions" xfId="13" xr:uid="{F506F2B7-14DE-4B88-B951-89A5E27B52E4}"/>
    <cellStyle name="5.Zone (Qty)" xfId="14" xr:uid="{7355BDB5-02BB-4A95-A80A-52F962BA6F3A}"/>
    <cellStyle name="5.Zone (Qty) 2 2" xfId="19" xr:uid="{F91C0FEA-3D5D-451B-9C05-CD06D1DD26D8}"/>
    <cellStyle name="Comma" xfId="7" builtinId="3"/>
    <cellStyle name="Comma 2" xfId="1" xr:uid="{00000000-0005-0000-0000-000001000000}"/>
    <cellStyle name="Comma 3" xfId="9" xr:uid="{0771992D-80DA-4E78-BA91-D4B534C573B1}"/>
    <cellStyle name="Comma 3 2" xfId="22" xr:uid="{95472A77-A4CD-41B3-88FA-BA545C12AC42}"/>
    <cellStyle name="DIV-Unit 2 2" xfId="20" xr:uid="{2A5A6169-1B2A-4786-95EE-AEB7188D68E4}"/>
    <cellStyle name="Ledger 17 x 11 in 2 2 2" xfId="17" xr:uid="{6164797C-68F0-4A42-AACF-7612E5F31183}"/>
    <cellStyle name="Normal" xfId="0" builtinId="0"/>
    <cellStyle name="Normal - Style1 2" xfId="11" xr:uid="{2C857EAD-4DAE-4211-AEDF-506B55A372C3}"/>
    <cellStyle name="Normal 13 2" xfId="15" xr:uid="{665D444A-1EF4-4AE4-B29E-BB13D42FF667}"/>
    <cellStyle name="Normal 2" xfId="2" xr:uid="{00000000-0005-0000-0000-000003000000}"/>
    <cellStyle name="Normal 2 2 2" xfId="3" xr:uid="{00000000-0005-0000-0000-000004000000}"/>
    <cellStyle name="Normal 2 6 2" xfId="21" xr:uid="{EE2209EA-29B4-42CB-9B4B-AB8AEEC3DF15}"/>
    <cellStyle name="Normal 3" xfId="4" xr:uid="{00000000-0005-0000-0000-000005000000}"/>
    <cellStyle name="Normal 3 2 2" xfId="8" xr:uid="{EFD25F0D-6384-4EB6-8126-93DB50FED3FF}"/>
    <cellStyle name="Normal 4" xfId="10" xr:uid="{97C1F38D-1A25-4CA8-A01A-268B0C051F60}"/>
    <cellStyle name="Normal 4 2" xfId="12" xr:uid="{38682DF4-EA13-494F-8896-AB067A79CDCB}"/>
    <cellStyle name="Normal 4 4" xfId="16" xr:uid="{9E2806A4-F02C-4A2B-A842-74D41CC3D0CF}"/>
    <cellStyle name="Style 1" xfId="5" xr:uid="{00000000-0005-0000-0000-000007000000}"/>
    <cellStyle name="표준_렉스산출" xfId="6" xr:uid="{00000000-0005-0000-0000-000008000000}"/>
  </cellStyles>
  <dxfs count="3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110835</xdr:colOff>
      <xdr:row>1</xdr:row>
      <xdr:rowOff>221672</xdr:rowOff>
    </xdr:from>
    <xdr:to>
      <xdr:col>7</xdr:col>
      <xdr:colOff>658825</xdr:colOff>
      <xdr:row>8</xdr:row>
      <xdr:rowOff>13854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35" y="534092"/>
          <a:ext cx="12092686" cy="19791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330200</xdr:colOff>
          <xdr:row>8</xdr:row>
          <xdr:rowOff>152400</xdr:rowOff>
        </xdr:from>
        <xdr:to>
          <xdr:col>2</xdr:col>
          <xdr:colOff>609600</xdr:colOff>
          <xdr:row>10</xdr:row>
          <xdr:rowOff>25400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330200</xdr:colOff>
          <xdr:row>9</xdr:row>
          <xdr:rowOff>152400</xdr:rowOff>
        </xdr:from>
        <xdr:to>
          <xdr:col>2</xdr:col>
          <xdr:colOff>609600</xdr:colOff>
          <xdr:row>11</xdr:row>
          <xdr:rowOff>25400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2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330200</xdr:colOff>
          <xdr:row>10</xdr:row>
          <xdr:rowOff>152400</xdr:rowOff>
        </xdr:from>
        <xdr:to>
          <xdr:col>2</xdr:col>
          <xdr:colOff>609600</xdr:colOff>
          <xdr:row>12</xdr:row>
          <xdr:rowOff>25400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330200</xdr:colOff>
          <xdr:row>11</xdr:row>
          <xdr:rowOff>152400</xdr:rowOff>
        </xdr:from>
        <xdr:to>
          <xdr:col>2</xdr:col>
          <xdr:colOff>609600</xdr:colOff>
          <xdr:row>13</xdr:row>
          <xdr:rowOff>25400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2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330200</xdr:colOff>
          <xdr:row>12</xdr:row>
          <xdr:rowOff>152400</xdr:rowOff>
        </xdr:from>
        <xdr:to>
          <xdr:col>2</xdr:col>
          <xdr:colOff>609600</xdr:colOff>
          <xdr:row>14</xdr:row>
          <xdr:rowOff>25400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2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330200</xdr:colOff>
          <xdr:row>13</xdr:row>
          <xdr:rowOff>152400</xdr:rowOff>
        </xdr:from>
        <xdr:to>
          <xdr:col>2</xdr:col>
          <xdr:colOff>609600</xdr:colOff>
          <xdr:row>15</xdr:row>
          <xdr:rowOff>25400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2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368300</xdr:colOff>
          <xdr:row>8</xdr:row>
          <xdr:rowOff>152400</xdr:rowOff>
        </xdr:from>
        <xdr:to>
          <xdr:col>3</xdr:col>
          <xdr:colOff>635000</xdr:colOff>
          <xdr:row>10</xdr:row>
          <xdr:rowOff>25400</xdr:rowOff>
        </xdr:to>
        <xdr:sp macro="" textlink="">
          <xdr:nvSpPr>
            <xdr:cNvPr id="30727" name="Check Box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2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368300</xdr:colOff>
          <xdr:row>9</xdr:row>
          <xdr:rowOff>152400</xdr:rowOff>
        </xdr:from>
        <xdr:to>
          <xdr:col>3</xdr:col>
          <xdr:colOff>635000</xdr:colOff>
          <xdr:row>11</xdr:row>
          <xdr:rowOff>25400</xdr:rowOff>
        </xdr:to>
        <xdr:sp macro="" textlink="">
          <xdr:nvSpPr>
            <xdr:cNvPr id="30728" name="Check Box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2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368300</xdr:colOff>
          <xdr:row>10</xdr:row>
          <xdr:rowOff>152400</xdr:rowOff>
        </xdr:from>
        <xdr:to>
          <xdr:col>3</xdr:col>
          <xdr:colOff>635000</xdr:colOff>
          <xdr:row>12</xdr:row>
          <xdr:rowOff>25400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2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368300</xdr:colOff>
          <xdr:row>11</xdr:row>
          <xdr:rowOff>152400</xdr:rowOff>
        </xdr:from>
        <xdr:to>
          <xdr:col>3</xdr:col>
          <xdr:colOff>635000</xdr:colOff>
          <xdr:row>13</xdr:row>
          <xdr:rowOff>25400</xdr:rowOff>
        </xdr:to>
        <xdr:sp macro="" textlink="">
          <xdr:nvSpPr>
            <xdr:cNvPr id="30730" name="Check Box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2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368300</xdr:colOff>
          <xdr:row>12</xdr:row>
          <xdr:rowOff>152400</xdr:rowOff>
        </xdr:from>
        <xdr:to>
          <xdr:col>3</xdr:col>
          <xdr:colOff>635000</xdr:colOff>
          <xdr:row>14</xdr:row>
          <xdr:rowOff>25400</xdr:rowOff>
        </xdr:to>
        <xdr:sp macro="" textlink="">
          <xdr:nvSpPr>
            <xdr:cNvPr id="30731" name="Check Box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2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368300</xdr:colOff>
          <xdr:row>13</xdr:row>
          <xdr:rowOff>152400</xdr:rowOff>
        </xdr:from>
        <xdr:to>
          <xdr:col>3</xdr:col>
          <xdr:colOff>635000</xdr:colOff>
          <xdr:row>15</xdr:row>
          <xdr:rowOff>25400</xdr:rowOff>
        </xdr:to>
        <xdr:sp macro="" textlink="">
          <xdr:nvSpPr>
            <xdr:cNvPr id="30732" name="Check Box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2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330200</xdr:colOff>
          <xdr:row>16</xdr:row>
          <xdr:rowOff>152400</xdr:rowOff>
        </xdr:from>
        <xdr:to>
          <xdr:col>2</xdr:col>
          <xdr:colOff>609600</xdr:colOff>
          <xdr:row>18</xdr:row>
          <xdr:rowOff>25400</xdr:rowOff>
        </xdr:to>
        <xdr:sp macro="" textlink="">
          <xdr:nvSpPr>
            <xdr:cNvPr id="30733" name="Check Box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2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330200</xdr:colOff>
          <xdr:row>17</xdr:row>
          <xdr:rowOff>152400</xdr:rowOff>
        </xdr:from>
        <xdr:to>
          <xdr:col>2</xdr:col>
          <xdr:colOff>609600</xdr:colOff>
          <xdr:row>19</xdr:row>
          <xdr:rowOff>25400</xdr:rowOff>
        </xdr:to>
        <xdr:sp macro="" textlink="">
          <xdr:nvSpPr>
            <xdr:cNvPr id="30734" name="Check Box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2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330200</xdr:colOff>
          <xdr:row>18</xdr:row>
          <xdr:rowOff>152400</xdr:rowOff>
        </xdr:from>
        <xdr:to>
          <xdr:col>2</xdr:col>
          <xdr:colOff>609600</xdr:colOff>
          <xdr:row>20</xdr:row>
          <xdr:rowOff>25400</xdr:rowOff>
        </xdr:to>
        <xdr:sp macro="" textlink="">
          <xdr:nvSpPr>
            <xdr:cNvPr id="30735" name="Check Box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2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330200</xdr:colOff>
          <xdr:row>20</xdr:row>
          <xdr:rowOff>63500</xdr:rowOff>
        </xdr:from>
        <xdr:to>
          <xdr:col>2</xdr:col>
          <xdr:colOff>609600</xdr:colOff>
          <xdr:row>20</xdr:row>
          <xdr:rowOff>292100</xdr:rowOff>
        </xdr:to>
        <xdr:sp macro="" textlink="">
          <xdr:nvSpPr>
            <xdr:cNvPr id="30736" name="Check Box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2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368300</xdr:colOff>
          <xdr:row>16</xdr:row>
          <xdr:rowOff>152400</xdr:rowOff>
        </xdr:from>
        <xdr:to>
          <xdr:col>3</xdr:col>
          <xdr:colOff>635000</xdr:colOff>
          <xdr:row>18</xdr:row>
          <xdr:rowOff>25400</xdr:rowOff>
        </xdr:to>
        <xdr:sp macro="" textlink="">
          <xdr:nvSpPr>
            <xdr:cNvPr id="30737" name="Check Box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2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368300</xdr:colOff>
          <xdr:row>17</xdr:row>
          <xdr:rowOff>152400</xdr:rowOff>
        </xdr:from>
        <xdr:to>
          <xdr:col>3</xdr:col>
          <xdr:colOff>635000</xdr:colOff>
          <xdr:row>19</xdr:row>
          <xdr:rowOff>25400</xdr:rowOff>
        </xdr:to>
        <xdr:sp macro="" textlink="">
          <xdr:nvSpPr>
            <xdr:cNvPr id="30738" name="Check Box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2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368300</xdr:colOff>
          <xdr:row>18</xdr:row>
          <xdr:rowOff>152400</xdr:rowOff>
        </xdr:from>
        <xdr:to>
          <xdr:col>3</xdr:col>
          <xdr:colOff>635000</xdr:colOff>
          <xdr:row>20</xdr:row>
          <xdr:rowOff>25400</xdr:rowOff>
        </xdr:to>
        <xdr:sp macro="" textlink="">
          <xdr:nvSpPr>
            <xdr:cNvPr id="30739" name="Check Box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2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368300</xdr:colOff>
          <xdr:row>20</xdr:row>
          <xdr:rowOff>63500</xdr:rowOff>
        </xdr:from>
        <xdr:to>
          <xdr:col>3</xdr:col>
          <xdr:colOff>635000</xdr:colOff>
          <xdr:row>20</xdr:row>
          <xdr:rowOff>292100</xdr:rowOff>
        </xdr:to>
        <xdr:sp macro="" textlink="">
          <xdr:nvSpPr>
            <xdr:cNvPr id="30740" name="Check Box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2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330200</xdr:colOff>
          <xdr:row>6</xdr:row>
          <xdr:rowOff>330200</xdr:rowOff>
        </xdr:from>
        <xdr:to>
          <xdr:col>2</xdr:col>
          <xdr:colOff>609600</xdr:colOff>
          <xdr:row>8</xdr:row>
          <xdr:rowOff>25400</xdr:rowOff>
        </xdr:to>
        <xdr:sp macro="" textlink="">
          <xdr:nvSpPr>
            <xdr:cNvPr id="30741" name="Check Box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2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1737. Nguyễn Việt Dũng" id="{C7CCF2F1-D923-B04C-8A80-4D6998E0BDFC}" userId="S::nguyenvietdung@Ecobavietnam.com.vn::eeb5999d-380e-41ed-ac40-591de48d661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7" dT="2023-07-18T02:59:36.78" personId="{C7CCF2F1-D923-B04C-8A80-4D6998E0BDFC}" id="{A4273B95-93B7-4F49-827A-0EBFA1BF2358}">
    <text>Mã. Tên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drive.google.com/file/d/1D_zacKh10_xXOkkL1KLWT1OtpNOFvh7B/view" TargetMode="External"/><Relationship Id="rId1" Type="http://schemas.openxmlformats.org/officeDocument/2006/relationships/hyperlink" Target="https://bom.so/GxCWn3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B0DE-EB4A-4B62-BD74-61715B551304}">
  <sheetPr>
    <outlinePr summaryBelow="0"/>
    <pageSetUpPr fitToPage="1"/>
  </sheetPr>
  <dimension ref="A1:K103"/>
  <sheetViews>
    <sheetView showGridLines="0" view="pageBreakPreview" zoomScale="70" zoomScaleNormal="100" zoomScaleSheetLayoutView="70" workbookViewId="0">
      <pane ySplit="11" topLeftCell="A12" activePane="bottomLeft" state="frozen"/>
      <selection activeCell="V5" sqref="V5"/>
      <selection pane="bottomLeft" activeCell="V5" sqref="V5"/>
    </sheetView>
  </sheetViews>
  <sheetFormatPr baseColWidth="10" defaultColWidth="8.83203125" defaultRowHeight="14" outlineLevelRow="1"/>
  <cols>
    <col min="1" max="1" width="10.33203125" style="292" customWidth="1"/>
    <col min="2" max="2" width="42.83203125" style="291" bestFit="1" customWidth="1"/>
    <col min="3" max="3" width="16.6640625" style="291" customWidth="1"/>
    <col min="4" max="4" width="19" style="292" customWidth="1"/>
    <col min="5" max="5" width="43.5" style="291" customWidth="1"/>
    <col min="6" max="6" width="18.1640625" style="292" customWidth="1"/>
    <col min="7" max="7" width="17.83203125" style="292" customWidth="1"/>
    <col min="8" max="8" width="39.6640625" style="292" customWidth="1"/>
    <col min="9" max="9" width="8.83203125" style="291"/>
    <col min="10" max="10" width="13.6640625" style="291" customWidth="1"/>
    <col min="11" max="11" width="19.83203125" style="291" customWidth="1"/>
    <col min="12" max="16384" width="8.83203125" style="291"/>
  </cols>
  <sheetData>
    <row r="1" spans="1:11" ht="25">
      <c r="A1" s="344" t="s">
        <v>623</v>
      </c>
      <c r="D1" s="290"/>
      <c r="F1" s="290"/>
      <c r="G1" s="345"/>
      <c r="H1" s="290"/>
    </row>
    <row r="2" spans="1:11" ht="25">
      <c r="A2" s="344"/>
      <c r="D2" s="290"/>
      <c r="F2" s="290"/>
      <c r="G2" s="345"/>
      <c r="H2" s="290"/>
    </row>
    <row r="3" spans="1:11" ht="25">
      <c r="A3" s="344"/>
      <c r="D3" s="290"/>
      <c r="F3" s="290"/>
      <c r="G3" s="345"/>
      <c r="H3" s="290"/>
    </row>
    <row r="4" spans="1:11" ht="25">
      <c r="A4" s="344"/>
      <c r="D4" s="290"/>
      <c r="F4" s="290"/>
      <c r="G4" s="345"/>
      <c r="H4" s="290"/>
    </row>
    <row r="5" spans="1:11" ht="25">
      <c r="A5" s="344"/>
      <c r="D5" s="290"/>
      <c r="F5" s="290"/>
      <c r="G5" s="345"/>
      <c r="H5" s="290"/>
    </row>
    <row r="6" spans="1:11" ht="25">
      <c r="A6" s="344"/>
      <c r="D6" s="290"/>
      <c r="F6" s="290"/>
      <c r="G6" s="345"/>
      <c r="H6" s="290"/>
    </row>
    <row r="7" spans="1:11" ht="25">
      <c r="A7" s="344"/>
      <c r="D7" s="290"/>
      <c r="F7" s="290"/>
      <c r="G7" s="345"/>
      <c r="H7" s="290"/>
    </row>
    <row r="8" spans="1:11" ht="25">
      <c r="A8" s="344"/>
      <c r="D8" s="290"/>
      <c r="F8" s="290"/>
      <c r="G8" s="345"/>
      <c r="H8" s="290"/>
    </row>
    <row r="10" spans="1:11" ht="41.5" customHeight="1">
      <c r="A10" s="346" t="s">
        <v>624</v>
      </c>
      <c r="B10" s="346" t="s">
        <v>626</v>
      </c>
      <c r="C10" s="346" t="s">
        <v>627</v>
      </c>
      <c r="D10" s="346" t="s">
        <v>628</v>
      </c>
      <c r="E10" s="346" t="s">
        <v>847</v>
      </c>
      <c r="F10" s="347" t="s">
        <v>9</v>
      </c>
      <c r="G10" s="346" t="s">
        <v>625</v>
      </c>
      <c r="H10" s="392" t="s">
        <v>629</v>
      </c>
      <c r="I10" s="271" t="s">
        <v>816</v>
      </c>
      <c r="J10" s="348" t="s">
        <v>826</v>
      </c>
      <c r="K10" s="349" t="s">
        <v>9</v>
      </c>
    </row>
    <row r="11" spans="1:11" ht="22.25" customHeight="1">
      <c r="A11" s="346" t="str">
        <f>"["&amp;COLUMN()&amp;"]"</f>
        <v>[1]</v>
      </c>
      <c r="B11" s="346" t="str">
        <f t="shared" ref="B11:K11" si="0">"["&amp;COLUMN()&amp;"]"</f>
        <v>[2]</v>
      </c>
      <c r="C11" s="346" t="str">
        <f t="shared" si="0"/>
        <v>[3]</v>
      </c>
      <c r="D11" s="346" t="str">
        <f t="shared" si="0"/>
        <v>[4]</v>
      </c>
      <c r="E11" s="346" t="str">
        <f t="shared" si="0"/>
        <v>[5]</v>
      </c>
      <c r="F11" s="346" t="str">
        <f t="shared" si="0"/>
        <v>[6]</v>
      </c>
      <c r="G11" s="346" t="str">
        <f t="shared" si="0"/>
        <v>[7]</v>
      </c>
      <c r="H11" s="346" t="str">
        <f t="shared" si="0"/>
        <v>[8]</v>
      </c>
      <c r="I11" s="293" t="str">
        <f t="shared" si="0"/>
        <v>[9]</v>
      </c>
      <c r="J11" s="346" t="str">
        <f t="shared" si="0"/>
        <v>[10]</v>
      </c>
      <c r="K11" s="350" t="str">
        <f t="shared" si="0"/>
        <v>[11]</v>
      </c>
    </row>
    <row r="12" spans="1:11" ht="21" customHeight="1">
      <c r="A12" s="351" t="s">
        <v>4</v>
      </c>
      <c r="B12" s="352" t="s">
        <v>633</v>
      </c>
      <c r="C12" s="352"/>
      <c r="D12" s="351"/>
      <c r="E12" s="352" t="s">
        <v>633</v>
      </c>
      <c r="F12" s="353"/>
      <c r="G12" s="351"/>
      <c r="H12" s="353"/>
    </row>
    <row r="13" spans="1:11" ht="30" customHeight="1" outlineLevel="1">
      <c r="A13" s="354" t="s">
        <v>634</v>
      </c>
      <c r="B13" s="356"/>
      <c r="C13" s="356"/>
      <c r="D13" s="357"/>
      <c r="E13" s="356" t="s">
        <v>635</v>
      </c>
      <c r="F13" s="358"/>
      <c r="G13" s="355"/>
      <c r="H13" s="358"/>
      <c r="I13" s="359"/>
      <c r="J13" s="359"/>
      <c r="K13" s="360"/>
    </row>
    <row r="14" spans="1:11" ht="20" customHeight="1" outlineLevel="1">
      <c r="A14" s="361">
        <v>1</v>
      </c>
      <c r="B14" s="363" t="s">
        <v>637</v>
      </c>
      <c r="C14" s="363" t="s">
        <v>638</v>
      </c>
      <c r="D14" s="362" t="s">
        <v>639</v>
      </c>
      <c r="E14" s="364" t="s">
        <v>640</v>
      </c>
      <c r="F14" s="363"/>
      <c r="G14" s="362" t="s">
        <v>636</v>
      </c>
      <c r="H14" s="363" t="s">
        <v>641</v>
      </c>
      <c r="I14" s="364" t="s">
        <v>630</v>
      </c>
      <c r="J14" s="364" t="s">
        <v>631</v>
      </c>
      <c r="K14" s="365"/>
    </row>
    <row r="15" spans="1:11" ht="20" customHeight="1" outlineLevel="1">
      <c r="A15" s="361"/>
      <c r="B15" s="363" t="s">
        <v>642</v>
      </c>
      <c r="C15" s="363" t="s">
        <v>643</v>
      </c>
      <c r="D15" s="362" t="s">
        <v>639</v>
      </c>
      <c r="E15" s="364" t="s">
        <v>640</v>
      </c>
      <c r="F15" s="363"/>
      <c r="G15" s="362" t="s">
        <v>636</v>
      </c>
      <c r="H15" s="363" t="s">
        <v>641</v>
      </c>
      <c r="I15" s="364" t="s">
        <v>630</v>
      </c>
      <c r="J15" s="364" t="s">
        <v>631</v>
      </c>
      <c r="K15" s="365"/>
    </row>
    <row r="16" spans="1:11" ht="21" customHeight="1" outlineLevel="1">
      <c r="A16" s="361"/>
      <c r="B16" s="363" t="s">
        <v>644</v>
      </c>
      <c r="C16" s="363" t="s">
        <v>645</v>
      </c>
      <c r="D16" s="362" t="s">
        <v>639</v>
      </c>
      <c r="E16" s="364" t="s">
        <v>640</v>
      </c>
      <c r="F16" s="363"/>
      <c r="G16" s="362" t="s">
        <v>636</v>
      </c>
      <c r="H16" s="363" t="s">
        <v>641</v>
      </c>
      <c r="I16" s="364" t="s">
        <v>630</v>
      </c>
      <c r="J16" s="364" t="s">
        <v>631</v>
      </c>
      <c r="K16" s="365"/>
    </row>
    <row r="17" spans="1:11" ht="23" customHeight="1" outlineLevel="1">
      <c r="A17" s="361"/>
      <c r="B17" s="363" t="s">
        <v>646</v>
      </c>
      <c r="C17" s="363" t="s">
        <v>647</v>
      </c>
      <c r="D17" s="362" t="s">
        <v>639</v>
      </c>
      <c r="E17" s="364" t="s">
        <v>640</v>
      </c>
      <c r="F17" s="363"/>
      <c r="G17" s="362" t="s">
        <v>636</v>
      </c>
      <c r="H17" s="363" t="s">
        <v>641</v>
      </c>
      <c r="I17" s="364" t="s">
        <v>630</v>
      </c>
      <c r="J17" s="364" t="s">
        <v>631</v>
      </c>
      <c r="K17" s="365"/>
    </row>
    <row r="18" spans="1:11" ht="23" customHeight="1" outlineLevel="1">
      <c r="A18" s="361"/>
      <c r="B18" s="364" t="s">
        <v>648</v>
      </c>
      <c r="C18" s="363" t="s">
        <v>647</v>
      </c>
      <c r="D18" s="362" t="s">
        <v>639</v>
      </c>
      <c r="E18" s="364" t="s">
        <v>640</v>
      </c>
      <c r="F18" s="363"/>
      <c r="G18" s="362" t="s">
        <v>636</v>
      </c>
      <c r="H18" s="363" t="s">
        <v>641</v>
      </c>
      <c r="I18" s="364" t="s">
        <v>630</v>
      </c>
      <c r="J18" s="364"/>
      <c r="K18" s="365"/>
    </row>
    <row r="19" spans="1:11" ht="23" customHeight="1" outlineLevel="1">
      <c r="A19" s="361"/>
      <c r="B19" s="364" t="s">
        <v>649</v>
      </c>
      <c r="C19" s="363" t="s">
        <v>650</v>
      </c>
      <c r="D19" s="362" t="s">
        <v>639</v>
      </c>
      <c r="E19" s="364" t="s">
        <v>640</v>
      </c>
      <c r="F19" s="363"/>
      <c r="G19" s="362" t="s">
        <v>636</v>
      </c>
      <c r="H19" s="363" t="s">
        <v>641</v>
      </c>
      <c r="I19" s="364"/>
      <c r="J19" s="364" t="s">
        <v>631</v>
      </c>
      <c r="K19" s="365"/>
    </row>
    <row r="20" spans="1:11" ht="23" customHeight="1" outlineLevel="1">
      <c r="A20" s="361"/>
      <c r="B20" s="364" t="s">
        <v>651</v>
      </c>
      <c r="C20" s="363" t="s">
        <v>652</v>
      </c>
      <c r="D20" s="362" t="s">
        <v>639</v>
      </c>
      <c r="E20" s="364" t="s">
        <v>640</v>
      </c>
      <c r="F20" s="363"/>
      <c r="G20" s="362" t="s">
        <v>636</v>
      </c>
      <c r="H20" s="363" t="s">
        <v>641</v>
      </c>
      <c r="I20" s="364"/>
      <c r="J20" s="364" t="s">
        <v>631</v>
      </c>
      <c r="K20" s="365"/>
    </row>
    <row r="21" spans="1:11" ht="23" customHeight="1" outlineLevel="1">
      <c r="A21" s="366"/>
      <c r="B21" s="368"/>
      <c r="C21" s="368"/>
      <c r="D21" s="367"/>
      <c r="E21" s="369"/>
      <c r="F21" s="368"/>
      <c r="G21" s="367"/>
      <c r="H21" s="368"/>
      <c r="I21" s="369"/>
      <c r="J21" s="369"/>
      <c r="K21" s="370"/>
    </row>
    <row r="22" spans="1:11" ht="19.25" customHeight="1" outlineLevel="1">
      <c r="A22" s="371">
        <v>2</v>
      </c>
      <c r="B22" s="358" t="s">
        <v>653</v>
      </c>
      <c r="C22" s="358" t="s">
        <v>654</v>
      </c>
      <c r="D22" s="357" t="s">
        <v>639</v>
      </c>
      <c r="E22" s="358" t="s">
        <v>655</v>
      </c>
      <c r="F22" s="358"/>
      <c r="G22" s="357" t="s">
        <v>636</v>
      </c>
      <c r="H22" s="358"/>
      <c r="I22" s="359" t="s">
        <v>630</v>
      </c>
      <c r="J22" s="359" t="s">
        <v>631</v>
      </c>
      <c r="K22" s="360"/>
    </row>
    <row r="23" spans="1:11" ht="19.25" customHeight="1" outlineLevel="1">
      <c r="A23" s="366"/>
      <c r="B23" s="368"/>
      <c r="C23" s="368"/>
      <c r="D23" s="367"/>
      <c r="E23" s="368"/>
      <c r="F23" s="368"/>
      <c r="G23" s="367"/>
      <c r="H23" s="368"/>
      <c r="I23" s="369"/>
      <c r="J23" s="369"/>
      <c r="K23" s="370"/>
    </row>
    <row r="24" spans="1:11" ht="15" outlineLevel="1">
      <c r="A24" s="371">
        <v>3</v>
      </c>
      <c r="B24" s="358" t="s">
        <v>656</v>
      </c>
      <c r="C24" s="358" t="s">
        <v>657</v>
      </c>
      <c r="D24" s="357" t="s">
        <v>639</v>
      </c>
      <c r="E24" s="358" t="s">
        <v>658</v>
      </c>
      <c r="F24" s="358"/>
      <c r="G24" s="357" t="s">
        <v>636</v>
      </c>
      <c r="H24" s="358" t="str">
        <f>_xlfn.TEXTJOIN("; ",1,DM_CKDH!$B$6:$B$7,DM_CKDH!$B$22)</f>
        <v>S21.11; S21.12; S21.21</v>
      </c>
      <c r="I24" s="359" t="s">
        <v>630</v>
      </c>
      <c r="J24" s="359" t="s">
        <v>631</v>
      </c>
      <c r="K24" s="360"/>
    </row>
    <row r="25" spans="1:11" ht="30" outlineLevel="1">
      <c r="A25" s="361"/>
      <c r="B25" s="363" t="s">
        <v>659</v>
      </c>
      <c r="C25" s="363" t="s">
        <v>660</v>
      </c>
      <c r="D25" s="362" t="s">
        <v>639</v>
      </c>
      <c r="E25" s="363" t="s">
        <v>658</v>
      </c>
      <c r="F25" s="363"/>
      <c r="G25" s="362" t="s">
        <v>636</v>
      </c>
      <c r="H25" s="363" t="str">
        <f>_xlfn.TEXTJOIN("; ",1,DM_CKDH!$B$8,DM_CKDH!$B$9,DM_CKDH!$B$23)</f>
        <v>S22.11; S33.13; S22.21</v>
      </c>
      <c r="I25" s="364" t="s">
        <v>630</v>
      </c>
      <c r="J25" s="364" t="s">
        <v>631</v>
      </c>
      <c r="K25" s="365"/>
    </row>
    <row r="26" spans="1:11" ht="19.25" customHeight="1" outlineLevel="1">
      <c r="A26" s="366"/>
      <c r="B26" s="368"/>
      <c r="C26" s="368"/>
      <c r="D26" s="367"/>
      <c r="E26" s="368"/>
      <c r="F26" s="368"/>
      <c r="G26" s="367"/>
      <c r="H26" s="368"/>
      <c r="I26" s="369"/>
      <c r="J26" s="369"/>
      <c r="K26" s="370"/>
    </row>
    <row r="27" spans="1:11" ht="19.25" customHeight="1" outlineLevel="1">
      <c r="A27" s="371">
        <v>4</v>
      </c>
      <c r="B27" s="358" t="s">
        <v>661</v>
      </c>
      <c r="C27" s="358" t="s">
        <v>662</v>
      </c>
      <c r="D27" s="357" t="s">
        <v>639</v>
      </c>
      <c r="E27" s="358" t="s">
        <v>663</v>
      </c>
      <c r="F27" s="358"/>
      <c r="G27" s="357" t="s">
        <v>636</v>
      </c>
      <c r="H27" s="358" t="str">
        <f>_xlfn.TEXTJOIN("; ",1,DM_CKDH!$B$13:$B$16,DM_CKDH!$B$26)</f>
        <v>S25.11; S25.12; S25.13; S25.14; S25.21</v>
      </c>
      <c r="I27" s="359" t="s">
        <v>630</v>
      </c>
      <c r="J27" s="359" t="s">
        <v>631</v>
      </c>
      <c r="K27" s="360"/>
    </row>
    <row r="28" spans="1:11" ht="19.25" customHeight="1" outlineLevel="1">
      <c r="A28" s="372"/>
      <c r="B28" s="374" t="s">
        <v>664</v>
      </c>
      <c r="C28" s="374" t="s">
        <v>665</v>
      </c>
      <c r="D28" s="373" t="s">
        <v>639</v>
      </c>
      <c r="E28" s="374" t="s">
        <v>663</v>
      </c>
      <c r="F28" s="374"/>
      <c r="G28" s="373" t="s">
        <v>636</v>
      </c>
      <c r="H28" s="374" t="str">
        <f>_xlfn.TEXTJOIN("; ",1,DM_CKDH!$B$13:$B$16,DM_CKDH!$B$26)</f>
        <v>S25.11; S25.12; S25.13; S25.14; S25.21</v>
      </c>
      <c r="I28" s="375" t="s">
        <v>630</v>
      </c>
      <c r="J28" s="375" t="s">
        <v>631</v>
      </c>
      <c r="K28" s="376"/>
    </row>
    <row r="29" spans="1:11" ht="19.25" customHeight="1" outlineLevel="1">
      <c r="A29" s="371">
        <v>5</v>
      </c>
      <c r="B29" s="377" t="s">
        <v>667</v>
      </c>
      <c r="C29" s="377" t="s">
        <v>668</v>
      </c>
      <c r="D29" s="378"/>
      <c r="E29" s="377" t="s">
        <v>663</v>
      </c>
      <c r="F29" s="358" t="s">
        <v>669</v>
      </c>
      <c r="G29" s="357" t="s">
        <v>666</v>
      </c>
      <c r="H29" s="377"/>
      <c r="I29" s="359"/>
      <c r="J29" s="359"/>
      <c r="K29" s="360"/>
    </row>
    <row r="30" spans="1:11" ht="19.25" customHeight="1" outlineLevel="1">
      <c r="A30" s="361"/>
      <c r="B30" s="379" t="s">
        <v>670</v>
      </c>
      <c r="C30" s="379" t="s">
        <v>671</v>
      </c>
      <c r="D30" s="380"/>
      <c r="E30" s="379" t="s">
        <v>663</v>
      </c>
      <c r="F30" s="363" t="s">
        <v>669</v>
      </c>
      <c r="G30" s="362" t="s">
        <v>666</v>
      </c>
      <c r="H30" s="379"/>
      <c r="I30" s="364"/>
      <c r="J30" s="364"/>
      <c r="K30" s="365"/>
    </row>
    <row r="31" spans="1:11" ht="19.25" customHeight="1" outlineLevel="1">
      <c r="A31" s="361"/>
      <c r="B31" s="379" t="s">
        <v>672</v>
      </c>
      <c r="C31" s="379" t="s">
        <v>673</v>
      </c>
      <c r="D31" s="380"/>
      <c r="E31" s="379" t="s">
        <v>663</v>
      </c>
      <c r="F31" s="363" t="s">
        <v>669</v>
      </c>
      <c r="G31" s="362" t="s">
        <v>666</v>
      </c>
      <c r="H31" s="379"/>
      <c r="I31" s="364"/>
      <c r="J31" s="364"/>
      <c r="K31" s="365"/>
    </row>
    <row r="32" spans="1:11" ht="19.25" customHeight="1" outlineLevel="1">
      <c r="A32" s="361"/>
      <c r="B32" s="379"/>
      <c r="C32" s="379"/>
      <c r="D32" s="380"/>
      <c r="E32" s="379"/>
      <c r="F32" s="379"/>
      <c r="G32" s="362"/>
      <c r="H32" s="379"/>
      <c r="I32" s="364"/>
      <c r="J32" s="364"/>
      <c r="K32" s="365"/>
    </row>
    <row r="33" spans="1:11" ht="19.25" customHeight="1" outlineLevel="1">
      <c r="A33" s="366"/>
      <c r="B33" s="381"/>
      <c r="C33" s="381"/>
      <c r="D33" s="382"/>
      <c r="E33" s="381"/>
      <c r="F33" s="381"/>
      <c r="G33" s="367"/>
      <c r="H33" s="381"/>
      <c r="I33" s="369"/>
      <c r="J33" s="369"/>
      <c r="K33" s="370"/>
    </row>
    <row r="34" spans="1:11" ht="23" customHeight="1" outlineLevel="1">
      <c r="A34" s="371">
        <v>5</v>
      </c>
      <c r="B34" s="358" t="s">
        <v>674</v>
      </c>
      <c r="C34" s="358" t="s">
        <v>675</v>
      </c>
      <c r="D34" s="357" t="s">
        <v>639</v>
      </c>
      <c r="E34" s="359" t="s">
        <v>676</v>
      </c>
      <c r="F34" s="358"/>
      <c r="G34" s="357" t="s">
        <v>636</v>
      </c>
      <c r="H34" s="358" t="str">
        <f>_xlfn.TEXTJOIN("; ",1,DM_CKDH!$B$6:$B$7,DM_CKDH!$B$22)</f>
        <v>S21.11; S21.12; S21.21</v>
      </c>
      <c r="I34" s="359" t="s">
        <v>630</v>
      </c>
      <c r="J34" s="359" t="s">
        <v>632</v>
      </c>
      <c r="K34" s="360"/>
    </row>
    <row r="35" spans="1:11" ht="23" customHeight="1" outlineLevel="1">
      <c r="A35" s="361"/>
      <c r="B35" s="363" t="s">
        <v>677</v>
      </c>
      <c r="C35" s="363" t="s">
        <v>678</v>
      </c>
      <c r="D35" s="362" t="s">
        <v>639</v>
      </c>
      <c r="E35" s="364" t="s">
        <v>676</v>
      </c>
      <c r="F35" s="363"/>
      <c r="G35" s="362" t="s">
        <v>636</v>
      </c>
      <c r="H35" s="363" t="str">
        <f>_xlfn.TEXTJOIN("; ",1,DM_CKDH!$B$6:$B$7,DM_CKDH!$B$22)</f>
        <v>S21.11; S21.12; S21.21</v>
      </c>
      <c r="I35" s="364" t="s">
        <v>630</v>
      </c>
      <c r="J35" s="364" t="s">
        <v>632</v>
      </c>
      <c r="K35" s="365"/>
    </row>
    <row r="36" spans="1:11" ht="23" customHeight="1" outlineLevel="1">
      <c r="A36" s="361"/>
      <c r="B36" s="363" t="s">
        <v>679</v>
      </c>
      <c r="C36" s="363" t="s">
        <v>680</v>
      </c>
      <c r="D36" s="362" t="s">
        <v>639</v>
      </c>
      <c r="E36" s="364" t="s">
        <v>676</v>
      </c>
      <c r="F36" s="363"/>
      <c r="G36" s="362" t="s">
        <v>636</v>
      </c>
      <c r="H36" s="363" t="str">
        <f>_xlfn.TEXTJOIN("; ",1,DM_CKDH!$B$6:$B$7,DM_CKDH!$B$22)</f>
        <v>S21.11; S21.12; S21.21</v>
      </c>
      <c r="I36" s="364" t="s">
        <v>630</v>
      </c>
      <c r="J36" s="364" t="s">
        <v>632</v>
      </c>
      <c r="K36" s="365"/>
    </row>
    <row r="37" spans="1:11" ht="23" customHeight="1" outlineLevel="1">
      <c r="A37" s="361"/>
      <c r="B37" s="363" t="s">
        <v>681</v>
      </c>
      <c r="C37" s="363" t="s">
        <v>682</v>
      </c>
      <c r="D37" s="362" t="s">
        <v>639</v>
      </c>
      <c r="E37" s="364" t="s">
        <v>676</v>
      </c>
      <c r="F37" s="363"/>
      <c r="G37" s="362" t="s">
        <v>636</v>
      </c>
      <c r="H37" s="363" t="str">
        <f>_xlfn.TEXTJOIN("; ",1,DM_CKDH!$B$6:$B$7,DM_CKDH!$B$22)</f>
        <v>S21.11; S21.12; S21.21</v>
      </c>
      <c r="I37" s="364" t="s">
        <v>630</v>
      </c>
      <c r="J37" s="364" t="s">
        <v>632</v>
      </c>
      <c r="K37" s="365"/>
    </row>
    <row r="38" spans="1:11" ht="23" customHeight="1" outlineLevel="1">
      <c r="A38" s="361"/>
      <c r="B38" s="363" t="s">
        <v>683</v>
      </c>
      <c r="C38" s="363" t="s">
        <v>684</v>
      </c>
      <c r="D38" s="362" t="s">
        <v>639</v>
      </c>
      <c r="E38" s="364" t="s">
        <v>676</v>
      </c>
      <c r="F38" s="363"/>
      <c r="G38" s="362" t="s">
        <v>636</v>
      </c>
      <c r="H38" s="363" t="str">
        <f>_xlfn.TEXTJOIN("; ",1,DM_CKDH!$B$6:$B$7,DM_CKDH!$B$22)</f>
        <v>S21.11; S21.12; S21.21</v>
      </c>
      <c r="I38" s="364" t="s">
        <v>630</v>
      </c>
      <c r="J38" s="364" t="s">
        <v>632</v>
      </c>
      <c r="K38" s="365"/>
    </row>
    <row r="39" spans="1:11" ht="23" customHeight="1" outlineLevel="1">
      <c r="A39" s="361"/>
      <c r="B39" s="363" t="s">
        <v>685</v>
      </c>
      <c r="C39" s="363" t="s">
        <v>686</v>
      </c>
      <c r="D39" s="362" t="s">
        <v>639</v>
      </c>
      <c r="E39" s="364" t="s">
        <v>676</v>
      </c>
      <c r="F39" s="363"/>
      <c r="G39" s="362" t="s">
        <v>636</v>
      </c>
      <c r="H39" s="363" t="str">
        <f>_xlfn.TEXTJOIN("; ",1,DM_CKDH!$B$6:$B$7,DM_CKDH!$B$22)</f>
        <v>S21.11; S21.12; S21.21</v>
      </c>
      <c r="I39" s="364" t="s">
        <v>630</v>
      </c>
      <c r="J39" s="364" t="s">
        <v>632</v>
      </c>
      <c r="K39" s="365"/>
    </row>
    <row r="40" spans="1:11" ht="23" customHeight="1" outlineLevel="1">
      <c r="A40" s="361"/>
      <c r="B40" s="363" t="s">
        <v>687</v>
      </c>
      <c r="C40" s="363" t="s">
        <v>688</v>
      </c>
      <c r="D40" s="362" t="s">
        <v>639</v>
      </c>
      <c r="E40" s="364" t="s">
        <v>676</v>
      </c>
      <c r="F40" s="363"/>
      <c r="G40" s="362" t="s">
        <v>636</v>
      </c>
      <c r="H40" s="363" t="str">
        <f>_xlfn.TEXTJOIN("; ",1,DM_CKDH!$B$6:$B$7,DM_CKDH!$B$22)</f>
        <v>S21.11; S21.12; S21.21</v>
      </c>
      <c r="I40" s="364" t="s">
        <v>630</v>
      </c>
      <c r="J40" s="364" t="s">
        <v>632</v>
      </c>
      <c r="K40" s="365"/>
    </row>
    <row r="41" spans="1:11" ht="23" customHeight="1" outlineLevel="1">
      <c r="A41" s="361"/>
      <c r="B41" s="363" t="s">
        <v>689</v>
      </c>
      <c r="C41" s="363" t="s">
        <v>690</v>
      </c>
      <c r="D41" s="362" t="s">
        <v>639</v>
      </c>
      <c r="E41" s="364" t="s">
        <v>676</v>
      </c>
      <c r="F41" s="363"/>
      <c r="G41" s="362" t="s">
        <v>636</v>
      </c>
      <c r="H41" s="363" t="str">
        <f>_xlfn.TEXTJOIN("; ",1,DM_CKDH!$B$6:$B$7,DM_CKDH!$B$22)</f>
        <v>S21.11; S21.12; S21.21</v>
      </c>
      <c r="I41" s="364" t="s">
        <v>630</v>
      </c>
      <c r="J41" s="364" t="s">
        <v>632</v>
      </c>
      <c r="K41" s="365"/>
    </row>
    <row r="42" spans="1:11" ht="23" customHeight="1" outlineLevel="1">
      <c r="A42" s="361"/>
      <c r="B42" s="363" t="s">
        <v>691</v>
      </c>
      <c r="C42" s="363" t="s">
        <v>692</v>
      </c>
      <c r="D42" s="362" t="s">
        <v>639</v>
      </c>
      <c r="E42" s="364" t="s">
        <v>676</v>
      </c>
      <c r="F42" s="363"/>
      <c r="G42" s="362" t="s">
        <v>636</v>
      </c>
      <c r="H42" s="363" t="str">
        <f>_xlfn.TEXTJOIN("; ",1,DM_CKDH!$B$6:$B$7,DM_CKDH!$B$22)</f>
        <v>S21.11; S21.12; S21.21</v>
      </c>
      <c r="I42" s="364" t="s">
        <v>630</v>
      </c>
      <c r="J42" s="364" t="s">
        <v>632</v>
      </c>
      <c r="K42" s="365"/>
    </row>
    <row r="43" spans="1:11" ht="23" customHeight="1" outlineLevel="1">
      <c r="A43" s="361"/>
      <c r="B43" s="363" t="s">
        <v>693</v>
      </c>
      <c r="C43" s="363" t="s">
        <v>694</v>
      </c>
      <c r="D43" s="362" t="s">
        <v>639</v>
      </c>
      <c r="E43" s="364" t="s">
        <v>676</v>
      </c>
      <c r="F43" s="363"/>
      <c r="G43" s="362" t="s">
        <v>636</v>
      </c>
      <c r="H43" s="363" t="str">
        <f>_xlfn.TEXTJOIN("; ",1,DM_CKDH!$B$6:$B$7,DM_CKDH!$B$22)</f>
        <v>S21.11; S21.12; S21.21</v>
      </c>
      <c r="I43" s="364" t="s">
        <v>630</v>
      </c>
      <c r="J43" s="364" t="s">
        <v>632</v>
      </c>
      <c r="K43" s="365"/>
    </row>
    <row r="44" spans="1:11" ht="23" customHeight="1" outlineLevel="1">
      <c r="A44" s="361"/>
      <c r="B44" s="363" t="s">
        <v>695</v>
      </c>
      <c r="C44" s="363" t="s">
        <v>696</v>
      </c>
      <c r="D44" s="362" t="s">
        <v>639</v>
      </c>
      <c r="E44" s="364" t="s">
        <v>676</v>
      </c>
      <c r="F44" s="363"/>
      <c r="G44" s="362" t="s">
        <v>636</v>
      </c>
      <c r="H44" s="363" t="str">
        <f>_xlfn.TEXTJOIN("; ",1,DM_CKDH!$B$6:$B$7,DM_CKDH!$B$22)</f>
        <v>S21.11; S21.12; S21.21</v>
      </c>
      <c r="I44" s="364" t="s">
        <v>630</v>
      </c>
      <c r="J44" s="364" t="s">
        <v>632</v>
      </c>
      <c r="K44" s="365"/>
    </row>
    <row r="45" spans="1:11" ht="23" customHeight="1" outlineLevel="1">
      <c r="A45" s="361"/>
      <c r="B45" s="363" t="s">
        <v>697</v>
      </c>
      <c r="C45" s="363" t="s">
        <v>698</v>
      </c>
      <c r="D45" s="362" t="s">
        <v>639</v>
      </c>
      <c r="E45" s="364" t="s">
        <v>676</v>
      </c>
      <c r="F45" s="363"/>
      <c r="G45" s="362" t="s">
        <v>636</v>
      </c>
      <c r="H45" s="363" t="str">
        <f>_xlfn.TEXTJOIN("; ",1,DM_CKDH!$B$6:$B$7,DM_CKDH!$B$22)</f>
        <v>S21.11; S21.12; S21.21</v>
      </c>
      <c r="I45" s="364" t="s">
        <v>630</v>
      </c>
      <c r="J45" s="364" t="s">
        <v>632</v>
      </c>
      <c r="K45" s="365"/>
    </row>
    <row r="46" spans="1:11" ht="23" customHeight="1" outlineLevel="1">
      <c r="A46" s="361"/>
      <c r="B46" s="363" t="s">
        <v>699</v>
      </c>
      <c r="C46" s="363" t="s">
        <v>700</v>
      </c>
      <c r="D46" s="362" t="s">
        <v>639</v>
      </c>
      <c r="E46" s="364" t="s">
        <v>676</v>
      </c>
      <c r="F46" s="363"/>
      <c r="G46" s="362" t="s">
        <v>636</v>
      </c>
      <c r="H46" s="363" t="str">
        <f>_xlfn.TEXTJOIN("; ",1,DM_CKDH!$B$6:$B$7,DM_CKDH!$B$22)</f>
        <v>S21.11; S21.12; S21.21</v>
      </c>
      <c r="I46" s="364" t="s">
        <v>630</v>
      </c>
      <c r="J46" s="364" t="s">
        <v>632</v>
      </c>
      <c r="K46" s="365"/>
    </row>
    <row r="47" spans="1:11" ht="23" customHeight="1" outlineLevel="1">
      <c r="A47" s="361"/>
      <c r="B47" s="363" t="s">
        <v>701</v>
      </c>
      <c r="C47" s="363" t="s">
        <v>702</v>
      </c>
      <c r="D47" s="362" t="s">
        <v>639</v>
      </c>
      <c r="E47" s="364" t="s">
        <v>676</v>
      </c>
      <c r="F47" s="363"/>
      <c r="G47" s="362" t="s">
        <v>636</v>
      </c>
      <c r="H47" s="363" t="str">
        <f>_xlfn.TEXTJOIN("; ",1,DM_CKDH!$B$6:$B$7,DM_CKDH!$B$22)</f>
        <v>S21.11; S21.12; S21.21</v>
      </c>
      <c r="I47" s="364" t="s">
        <v>630</v>
      </c>
      <c r="J47" s="364" t="s">
        <v>632</v>
      </c>
      <c r="K47" s="365"/>
    </row>
    <row r="48" spans="1:11" ht="23" customHeight="1" outlineLevel="1">
      <c r="A48" s="361"/>
      <c r="B48" s="363" t="s">
        <v>703</v>
      </c>
      <c r="C48" s="363" t="s">
        <v>704</v>
      </c>
      <c r="D48" s="362" t="s">
        <v>639</v>
      </c>
      <c r="E48" s="364" t="s">
        <v>676</v>
      </c>
      <c r="F48" s="363"/>
      <c r="G48" s="362" t="s">
        <v>636</v>
      </c>
      <c r="H48" s="363" t="str">
        <f>_xlfn.TEXTJOIN("; ",1,DM_CKDH!$B$6:$B$7,DM_CKDH!$B$22)</f>
        <v>S21.11; S21.12; S21.21</v>
      </c>
      <c r="I48" s="364" t="s">
        <v>630</v>
      </c>
      <c r="J48" s="364" t="s">
        <v>632</v>
      </c>
      <c r="K48" s="365"/>
    </row>
    <row r="49" spans="1:11" ht="23" customHeight="1" outlineLevel="1">
      <c r="A49" s="366"/>
      <c r="B49" s="368"/>
      <c r="C49" s="368"/>
      <c r="D49" s="367"/>
      <c r="E49" s="369"/>
      <c r="F49" s="368"/>
      <c r="G49" s="367"/>
      <c r="H49" s="368"/>
      <c r="I49" s="369"/>
      <c r="J49" s="369"/>
      <c r="K49" s="370"/>
    </row>
    <row r="50" spans="1:11" ht="19.25" customHeight="1" outlineLevel="1">
      <c r="A50" s="371">
        <v>6</v>
      </c>
      <c r="B50" s="358" t="s">
        <v>705</v>
      </c>
      <c r="C50" s="358" t="s">
        <v>706</v>
      </c>
      <c r="D50" s="357" t="s">
        <v>639</v>
      </c>
      <c r="E50" s="358" t="s">
        <v>707</v>
      </c>
      <c r="F50" s="358"/>
      <c r="G50" s="357" t="s">
        <v>636</v>
      </c>
      <c r="H50" s="363" t="str">
        <f>_xlfn.TEXTJOIN("; ",1,DM_CKDH!B11,DM_CKDH!B12,DM_CKDH!B25)</f>
        <v>S24.11; S24.12; S24.21</v>
      </c>
      <c r="I50" s="359" t="s">
        <v>630</v>
      </c>
      <c r="J50" s="359" t="s">
        <v>631</v>
      </c>
      <c r="K50" s="360"/>
    </row>
    <row r="51" spans="1:11" ht="19.25" customHeight="1" outlineLevel="1">
      <c r="A51" s="361"/>
      <c r="B51" s="363" t="s">
        <v>708</v>
      </c>
      <c r="C51" s="363" t="s">
        <v>709</v>
      </c>
      <c r="D51" s="362" t="s">
        <v>639</v>
      </c>
      <c r="E51" s="363" t="s">
        <v>707</v>
      </c>
      <c r="F51" s="363"/>
      <c r="G51" s="362" t="s">
        <v>636</v>
      </c>
      <c r="H51" s="363"/>
      <c r="I51" s="364" t="s">
        <v>630</v>
      </c>
      <c r="J51" s="364" t="s">
        <v>631</v>
      </c>
      <c r="K51" s="365"/>
    </row>
    <row r="52" spans="1:11" ht="19.25" customHeight="1" outlineLevel="1">
      <c r="A52" s="361"/>
      <c r="B52" s="363" t="s">
        <v>710</v>
      </c>
      <c r="C52" s="363" t="s">
        <v>711</v>
      </c>
      <c r="D52" s="362" t="s">
        <v>639</v>
      </c>
      <c r="E52" s="363" t="s">
        <v>707</v>
      </c>
      <c r="F52" s="363"/>
      <c r="G52" s="362" t="s">
        <v>636</v>
      </c>
      <c r="H52" s="363"/>
      <c r="I52" s="364" t="s">
        <v>630</v>
      </c>
      <c r="J52" s="364" t="s">
        <v>631</v>
      </c>
      <c r="K52" s="365"/>
    </row>
    <row r="53" spans="1:11" ht="19.25" customHeight="1" outlineLevel="1">
      <c r="A53" s="361"/>
      <c r="B53" s="363" t="s">
        <v>712</v>
      </c>
      <c r="C53" s="363" t="s">
        <v>713</v>
      </c>
      <c r="D53" s="362" t="s">
        <v>639</v>
      </c>
      <c r="E53" s="363" t="s">
        <v>707</v>
      </c>
      <c r="F53" s="363"/>
      <c r="G53" s="362" t="s">
        <v>636</v>
      </c>
      <c r="H53" s="363"/>
      <c r="I53" s="364" t="s">
        <v>630</v>
      </c>
      <c r="J53" s="364" t="s">
        <v>631</v>
      </c>
      <c r="K53" s="365"/>
    </row>
    <row r="54" spans="1:11" ht="19.25" customHeight="1" outlineLevel="1">
      <c r="A54" s="361"/>
      <c r="B54" s="363" t="s">
        <v>714</v>
      </c>
      <c r="C54" s="363" t="s">
        <v>715</v>
      </c>
      <c r="D54" s="362" t="s">
        <v>639</v>
      </c>
      <c r="E54" s="363" t="s">
        <v>707</v>
      </c>
      <c r="F54" s="363"/>
      <c r="G54" s="362" t="s">
        <v>636</v>
      </c>
      <c r="H54" s="363"/>
      <c r="I54" s="364" t="s">
        <v>630</v>
      </c>
      <c r="J54" s="364" t="s">
        <v>631</v>
      </c>
      <c r="K54" s="365"/>
    </row>
    <row r="55" spans="1:11" ht="19.25" customHeight="1" outlineLevel="1">
      <c r="A55" s="361"/>
      <c r="B55" s="363" t="s">
        <v>716</v>
      </c>
      <c r="C55" s="363" t="s">
        <v>717</v>
      </c>
      <c r="D55" s="362" t="s">
        <v>639</v>
      </c>
      <c r="E55" s="363" t="s">
        <v>707</v>
      </c>
      <c r="F55" s="363"/>
      <c r="G55" s="362" t="s">
        <v>636</v>
      </c>
      <c r="H55" s="363"/>
      <c r="I55" s="364" t="s">
        <v>630</v>
      </c>
      <c r="J55" s="364" t="s">
        <v>631</v>
      </c>
      <c r="K55" s="365"/>
    </row>
    <row r="56" spans="1:11" ht="19.25" customHeight="1" outlineLevel="1">
      <c r="A56" s="361"/>
      <c r="B56" s="363" t="s">
        <v>718</v>
      </c>
      <c r="C56" s="363" t="s">
        <v>719</v>
      </c>
      <c r="D56" s="362" t="s">
        <v>639</v>
      </c>
      <c r="E56" s="363" t="s">
        <v>707</v>
      </c>
      <c r="F56" s="363"/>
      <c r="G56" s="362" t="s">
        <v>636</v>
      </c>
      <c r="H56" s="363"/>
      <c r="I56" s="364" t="s">
        <v>630</v>
      </c>
      <c r="J56" s="364" t="s">
        <v>631</v>
      </c>
      <c r="K56" s="365"/>
    </row>
    <row r="57" spans="1:11" ht="19.25" customHeight="1" outlineLevel="1">
      <c r="A57" s="366"/>
      <c r="B57" s="368"/>
      <c r="C57" s="368"/>
      <c r="D57" s="367"/>
      <c r="E57" s="368"/>
      <c r="F57" s="368"/>
      <c r="G57" s="367"/>
      <c r="H57" s="368"/>
      <c r="I57" s="369"/>
      <c r="J57" s="369"/>
      <c r="K57" s="370"/>
    </row>
    <row r="58" spans="1:11" ht="19.25" customHeight="1" outlineLevel="1">
      <c r="A58" s="371">
        <v>7</v>
      </c>
      <c r="B58" s="358" t="s">
        <v>720</v>
      </c>
      <c r="C58" s="358" t="s">
        <v>721</v>
      </c>
      <c r="D58" s="357" t="s">
        <v>639</v>
      </c>
      <c r="E58" s="358" t="s">
        <v>722</v>
      </c>
      <c r="F58" s="358"/>
      <c r="G58" s="357" t="s">
        <v>636</v>
      </c>
      <c r="H58" s="358"/>
      <c r="I58" s="359" t="s">
        <v>630</v>
      </c>
      <c r="J58" s="359" t="s">
        <v>631</v>
      </c>
      <c r="K58" s="360"/>
    </row>
    <row r="59" spans="1:11" ht="19.25" customHeight="1" outlineLevel="1">
      <c r="A59" s="361"/>
      <c r="B59" s="363" t="s">
        <v>723</v>
      </c>
      <c r="C59" s="363" t="s">
        <v>724</v>
      </c>
      <c r="D59" s="362" t="s">
        <v>639</v>
      </c>
      <c r="E59" s="363" t="s">
        <v>722</v>
      </c>
      <c r="F59" s="363"/>
      <c r="G59" s="362" t="s">
        <v>636</v>
      </c>
      <c r="H59" s="363"/>
      <c r="I59" s="364" t="s">
        <v>630</v>
      </c>
      <c r="J59" s="364" t="s">
        <v>631</v>
      </c>
      <c r="K59" s="365"/>
    </row>
    <row r="60" spans="1:11" ht="19.25" customHeight="1" outlineLevel="1">
      <c r="A60" s="361"/>
      <c r="B60" s="363" t="s">
        <v>725</v>
      </c>
      <c r="C60" s="363" t="s">
        <v>726</v>
      </c>
      <c r="D60" s="362" t="s">
        <v>639</v>
      </c>
      <c r="E60" s="363" t="s">
        <v>722</v>
      </c>
      <c r="F60" s="363"/>
      <c r="G60" s="362" t="s">
        <v>636</v>
      </c>
      <c r="H60" s="363"/>
      <c r="I60" s="364" t="s">
        <v>630</v>
      </c>
      <c r="J60" s="364" t="s">
        <v>631</v>
      </c>
      <c r="K60" s="365"/>
    </row>
    <row r="61" spans="1:11" ht="19.25" customHeight="1" outlineLevel="1">
      <c r="A61" s="361"/>
      <c r="B61" s="363" t="s">
        <v>727</v>
      </c>
      <c r="C61" s="363" t="s">
        <v>728</v>
      </c>
      <c r="D61" s="362" t="s">
        <v>639</v>
      </c>
      <c r="E61" s="363" t="s">
        <v>722</v>
      </c>
      <c r="F61" s="363"/>
      <c r="G61" s="362" t="s">
        <v>636</v>
      </c>
      <c r="H61" s="363"/>
      <c r="I61" s="364" t="s">
        <v>630</v>
      </c>
      <c r="J61" s="364" t="s">
        <v>631</v>
      </c>
      <c r="K61" s="365"/>
    </row>
    <row r="62" spans="1:11" ht="19.25" customHeight="1" outlineLevel="1">
      <c r="A62" s="361"/>
      <c r="B62" s="363" t="s">
        <v>729</v>
      </c>
      <c r="C62" s="363" t="s">
        <v>730</v>
      </c>
      <c r="D62" s="362" t="s">
        <v>639</v>
      </c>
      <c r="E62" s="363" t="s">
        <v>722</v>
      </c>
      <c r="F62" s="363"/>
      <c r="G62" s="362" t="s">
        <v>636</v>
      </c>
      <c r="H62" s="363"/>
      <c r="I62" s="364" t="s">
        <v>630</v>
      </c>
      <c r="J62" s="364" t="s">
        <v>631</v>
      </c>
      <c r="K62" s="365"/>
    </row>
    <row r="63" spans="1:11" ht="19.25" customHeight="1" outlineLevel="1">
      <c r="A63" s="372"/>
      <c r="B63" s="374" t="s">
        <v>731</v>
      </c>
      <c r="C63" s="374" t="s">
        <v>732</v>
      </c>
      <c r="D63" s="373" t="s">
        <v>639</v>
      </c>
      <c r="E63" s="374" t="s">
        <v>722</v>
      </c>
      <c r="F63" s="374"/>
      <c r="G63" s="373" t="s">
        <v>636</v>
      </c>
      <c r="H63" s="374"/>
      <c r="I63" s="375" t="s">
        <v>630</v>
      </c>
      <c r="J63" s="375" t="s">
        <v>631</v>
      </c>
      <c r="K63" s="376"/>
    </row>
    <row r="64" spans="1:11" ht="19.25" customHeight="1" outlineLevel="1">
      <c r="A64" s="371">
        <v>8</v>
      </c>
      <c r="B64" s="358" t="s">
        <v>733</v>
      </c>
      <c r="C64" s="358" t="s">
        <v>734</v>
      </c>
      <c r="D64" s="357" t="s">
        <v>639</v>
      </c>
      <c r="E64" s="358" t="s">
        <v>735</v>
      </c>
      <c r="F64" s="358"/>
      <c r="G64" s="357" t="s">
        <v>636</v>
      </c>
      <c r="H64" s="358"/>
      <c r="I64" s="359" t="s">
        <v>630</v>
      </c>
      <c r="J64" s="359" t="s">
        <v>631</v>
      </c>
      <c r="K64" s="360"/>
    </row>
    <row r="65" spans="1:11" ht="19.25" customHeight="1" outlineLevel="1">
      <c r="A65" s="361"/>
      <c r="B65" s="363" t="s">
        <v>736</v>
      </c>
      <c r="C65" s="363" t="s">
        <v>737</v>
      </c>
      <c r="D65" s="362" t="s">
        <v>639</v>
      </c>
      <c r="E65" s="363" t="s">
        <v>735</v>
      </c>
      <c r="F65" s="363"/>
      <c r="G65" s="362" t="s">
        <v>636</v>
      </c>
      <c r="H65" s="363"/>
      <c r="I65" s="364" t="s">
        <v>630</v>
      </c>
      <c r="J65" s="364" t="s">
        <v>631</v>
      </c>
      <c r="K65" s="365"/>
    </row>
    <row r="66" spans="1:11" ht="19.25" customHeight="1" outlineLevel="1">
      <c r="A66" s="361"/>
      <c r="B66" s="363" t="s">
        <v>738</v>
      </c>
      <c r="C66" s="363" t="s">
        <v>739</v>
      </c>
      <c r="D66" s="362" t="s">
        <v>639</v>
      </c>
      <c r="E66" s="363" t="s">
        <v>735</v>
      </c>
      <c r="F66" s="363"/>
      <c r="G66" s="362" t="s">
        <v>636</v>
      </c>
      <c r="H66" s="363"/>
      <c r="I66" s="364" t="s">
        <v>630</v>
      </c>
      <c r="J66" s="364" t="s">
        <v>631</v>
      </c>
      <c r="K66" s="365"/>
    </row>
    <row r="67" spans="1:11" ht="19.25" customHeight="1" outlineLevel="1">
      <c r="A67" s="361"/>
      <c r="B67" s="363" t="s">
        <v>740</v>
      </c>
      <c r="C67" s="363" t="s">
        <v>741</v>
      </c>
      <c r="D67" s="362" t="s">
        <v>639</v>
      </c>
      <c r="E67" s="363" t="s">
        <v>735</v>
      </c>
      <c r="F67" s="363"/>
      <c r="G67" s="362" t="s">
        <v>636</v>
      </c>
      <c r="H67" s="363"/>
      <c r="I67" s="364" t="s">
        <v>630</v>
      </c>
      <c r="J67" s="364" t="s">
        <v>631</v>
      </c>
      <c r="K67" s="365"/>
    </row>
    <row r="68" spans="1:11" ht="19.25" customHeight="1" outlineLevel="1">
      <c r="A68" s="361"/>
      <c r="B68" s="363" t="s">
        <v>742</v>
      </c>
      <c r="C68" s="363" t="s">
        <v>743</v>
      </c>
      <c r="D68" s="362" t="s">
        <v>639</v>
      </c>
      <c r="E68" s="363" t="s">
        <v>735</v>
      </c>
      <c r="F68" s="363"/>
      <c r="G68" s="362" t="s">
        <v>636</v>
      </c>
      <c r="H68" s="363"/>
      <c r="I68" s="364" t="s">
        <v>630</v>
      </c>
      <c r="J68" s="364" t="s">
        <v>631</v>
      </c>
      <c r="K68" s="365"/>
    </row>
    <row r="69" spans="1:11" ht="19.25" customHeight="1" outlineLevel="1">
      <c r="A69" s="361"/>
      <c r="B69" s="363" t="s">
        <v>744</v>
      </c>
      <c r="C69" s="363" t="s">
        <v>745</v>
      </c>
      <c r="D69" s="362" t="s">
        <v>639</v>
      </c>
      <c r="E69" s="363" t="s">
        <v>735</v>
      </c>
      <c r="F69" s="363"/>
      <c r="G69" s="362" t="s">
        <v>636</v>
      </c>
      <c r="H69" s="363"/>
      <c r="I69" s="364" t="s">
        <v>630</v>
      </c>
      <c r="J69" s="364" t="s">
        <v>631</v>
      </c>
      <c r="K69" s="365"/>
    </row>
    <row r="70" spans="1:11" ht="19.25" customHeight="1" outlineLevel="1">
      <c r="A70" s="361"/>
      <c r="B70" s="363" t="s">
        <v>746</v>
      </c>
      <c r="C70" s="363" t="s">
        <v>747</v>
      </c>
      <c r="D70" s="362" t="s">
        <v>639</v>
      </c>
      <c r="E70" s="363" t="s">
        <v>735</v>
      </c>
      <c r="F70" s="363"/>
      <c r="G70" s="362" t="s">
        <v>636</v>
      </c>
      <c r="H70" s="363"/>
      <c r="I70" s="364" t="s">
        <v>630</v>
      </c>
      <c r="J70" s="364" t="s">
        <v>631</v>
      </c>
      <c r="K70" s="365"/>
    </row>
    <row r="71" spans="1:11" ht="19.25" customHeight="1" outlineLevel="1">
      <c r="A71" s="361"/>
      <c r="B71" s="363" t="s">
        <v>748</v>
      </c>
      <c r="C71" s="363" t="s">
        <v>749</v>
      </c>
      <c r="D71" s="362" t="s">
        <v>639</v>
      </c>
      <c r="E71" s="363" t="s">
        <v>735</v>
      </c>
      <c r="F71" s="363"/>
      <c r="G71" s="362" t="s">
        <v>636</v>
      </c>
      <c r="H71" s="363"/>
      <c r="I71" s="364" t="s">
        <v>630</v>
      </c>
      <c r="J71" s="364" t="s">
        <v>631</v>
      </c>
      <c r="K71" s="365"/>
    </row>
    <row r="72" spans="1:11" ht="19.25" customHeight="1" outlineLevel="1">
      <c r="A72" s="361"/>
      <c r="B72" s="363" t="s">
        <v>750</v>
      </c>
      <c r="C72" s="363" t="s">
        <v>751</v>
      </c>
      <c r="D72" s="362" t="s">
        <v>639</v>
      </c>
      <c r="E72" s="363" t="s">
        <v>735</v>
      </c>
      <c r="F72" s="363"/>
      <c r="G72" s="362" t="s">
        <v>636</v>
      </c>
      <c r="H72" s="363"/>
      <c r="I72" s="364" t="s">
        <v>630</v>
      </c>
      <c r="J72" s="364" t="s">
        <v>631</v>
      </c>
      <c r="K72" s="365"/>
    </row>
    <row r="73" spans="1:11" ht="19.25" customHeight="1" outlineLevel="1">
      <c r="A73" s="361"/>
      <c r="B73" s="363" t="s">
        <v>752</v>
      </c>
      <c r="C73" s="363" t="s">
        <v>753</v>
      </c>
      <c r="D73" s="362" t="s">
        <v>639</v>
      </c>
      <c r="E73" s="363" t="s">
        <v>735</v>
      </c>
      <c r="F73" s="363"/>
      <c r="G73" s="362" t="s">
        <v>636</v>
      </c>
      <c r="H73" s="363"/>
      <c r="I73" s="364" t="s">
        <v>630</v>
      </c>
      <c r="J73" s="364" t="s">
        <v>631</v>
      </c>
      <c r="K73" s="365"/>
    </row>
    <row r="74" spans="1:11" ht="19.25" customHeight="1" outlineLevel="1">
      <c r="A74" s="361"/>
      <c r="B74" s="363" t="s">
        <v>754</v>
      </c>
      <c r="C74" s="363" t="s">
        <v>753</v>
      </c>
      <c r="D74" s="362" t="s">
        <v>639</v>
      </c>
      <c r="E74" s="363" t="s">
        <v>735</v>
      </c>
      <c r="F74" s="363"/>
      <c r="G74" s="362" t="s">
        <v>636</v>
      </c>
      <c r="H74" s="363"/>
      <c r="I74" s="364" t="s">
        <v>630</v>
      </c>
      <c r="J74" s="364" t="s">
        <v>631</v>
      </c>
      <c r="K74" s="365"/>
    </row>
    <row r="75" spans="1:11" ht="19.25" customHeight="1" outlineLevel="1">
      <c r="A75" s="361"/>
      <c r="B75" s="363" t="s">
        <v>755</v>
      </c>
      <c r="C75" s="363" t="s">
        <v>756</v>
      </c>
      <c r="D75" s="362" t="s">
        <v>639</v>
      </c>
      <c r="E75" s="363" t="s">
        <v>735</v>
      </c>
      <c r="F75" s="363"/>
      <c r="G75" s="362" t="s">
        <v>636</v>
      </c>
      <c r="H75" s="363"/>
      <c r="I75" s="364" t="s">
        <v>630</v>
      </c>
      <c r="J75" s="364" t="s">
        <v>631</v>
      </c>
      <c r="K75" s="365"/>
    </row>
    <row r="76" spans="1:11" ht="19.25" customHeight="1" outlineLevel="1">
      <c r="A76" s="361"/>
      <c r="B76" s="363" t="s">
        <v>757</v>
      </c>
      <c r="C76" s="363" t="s">
        <v>758</v>
      </c>
      <c r="D76" s="362" t="s">
        <v>639</v>
      </c>
      <c r="E76" s="363" t="s">
        <v>735</v>
      </c>
      <c r="F76" s="363"/>
      <c r="G76" s="362" t="s">
        <v>636</v>
      </c>
      <c r="H76" s="363"/>
      <c r="I76" s="364" t="s">
        <v>630</v>
      </c>
      <c r="J76" s="364" t="s">
        <v>631</v>
      </c>
      <c r="K76" s="365"/>
    </row>
    <row r="77" spans="1:11" ht="19.25" customHeight="1" outlineLevel="1">
      <c r="A77" s="361"/>
      <c r="B77" s="363" t="s">
        <v>759</v>
      </c>
      <c r="C77" s="363" t="s">
        <v>760</v>
      </c>
      <c r="D77" s="362" t="s">
        <v>639</v>
      </c>
      <c r="E77" s="363" t="s">
        <v>735</v>
      </c>
      <c r="F77" s="363"/>
      <c r="G77" s="362" t="s">
        <v>636</v>
      </c>
      <c r="H77" s="363"/>
      <c r="I77" s="364" t="s">
        <v>630</v>
      </c>
      <c r="J77" s="364" t="s">
        <v>631</v>
      </c>
      <c r="K77" s="365"/>
    </row>
    <row r="78" spans="1:11" ht="19.25" customHeight="1" outlineLevel="1">
      <c r="A78" s="361"/>
      <c r="B78" s="363" t="s">
        <v>761</v>
      </c>
      <c r="C78" s="363" t="s">
        <v>762</v>
      </c>
      <c r="D78" s="362" t="s">
        <v>639</v>
      </c>
      <c r="E78" s="363" t="s">
        <v>735</v>
      </c>
      <c r="F78" s="363"/>
      <c r="G78" s="362" t="s">
        <v>636</v>
      </c>
      <c r="H78" s="363"/>
      <c r="I78" s="364" t="s">
        <v>630</v>
      </c>
      <c r="J78" s="364" t="s">
        <v>631</v>
      </c>
      <c r="K78" s="365"/>
    </row>
    <row r="79" spans="1:11" ht="19.25" customHeight="1" outlineLevel="1">
      <c r="A79" s="361"/>
      <c r="B79" s="363" t="s">
        <v>763</v>
      </c>
      <c r="C79" s="363" t="s">
        <v>764</v>
      </c>
      <c r="D79" s="362" t="s">
        <v>639</v>
      </c>
      <c r="E79" s="363" t="s">
        <v>735</v>
      </c>
      <c r="F79" s="363"/>
      <c r="G79" s="362" t="s">
        <v>636</v>
      </c>
      <c r="H79" s="363"/>
      <c r="I79" s="364" t="s">
        <v>630</v>
      </c>
      <c r="J79" s="364" t="s">
        <v>631</v>
      </c>
      <c r="K79" s="365"/>
    </row>
    <row r="80" spans="1:11" ht="19.25" customHeight="1" outlineLevel="1">
      <c r="A80" s="366"/>
      <c r="B80" s="368" t="s">
        <v>765</v>
      </c>
      <c r="C80" s="368" t="s">
        <v>766</v>
      </c>
      <c r="D80" s="367" t="s">
        <v>639</v>
      </c>
      <c r="E80" s="368" t="s">
        <v>735</v>
      </c>
      <c r="F80" s="368"/>
      <c r="G80" s="367" t="s">
        <v>636</v>
      </c>
      <c r="H80" s="368"/>
      <c r="I80" s="369" t="s">
        <v>630</v>
      </c>
      <c r="J80" s="369" t="s">
        <v>631</v>
      </c>
      <c r="K80" s="370"/>
    </row>
    <row r="81" spans="1:11" ht="28.75" customHeight="1" outlineLevel="1">
      <c r="A81" s="371">
        <v>9</v>
      </c>
      <c r="B81" s="358" t="s">
        <v>767</v>
      </c>
      <c r="C81" s="358" t="s">
        <v>768</v>
      </c>
      <c r="D81" s="357" t="s">
        <v>639</v>
      </c>
      <c r="E81" s="358" t="s">
        <v>769</v>
      </c>
      <c r="F81" s="358"/>
      <c r="G81" s="357" t="s">
        <v>636</v>
      </c>
      <c r="H81" s="358"/>
      <c r="I81" s="359" t="s">
        <v>630</v>
      </c>
      <c r="J81" s="359" t="s">
        <v>631</v>
      </c>
      <c r="K81" s="360"/>
    </row>
    <row r="82" spans="1:11" ht="15" outlineLevel="1">
      <c r="A82" s="361"/>
      <c r="B82" s="363" t="s">
        <v>770</v>
      </c>
      <c r="C82" s="363" t="s">
        <v>771</v>
      </c>
      <c r="D82" s="362" t="s">
        <v>639</v>
      </c>
      <c r="E82" s="363" t="s">
        <v>769</v>
      </c>
      <c r="F82" s="363"/>
      <c r="G82" s="362" t="s">
        <v>636</v>
      </c>
      <c r="H82" s="363"/>
      <c r="I82" s="364" t="s">
        <v>630</v>
      </c>
      <c r="J82" s="364" t="s">
        <v>631</v>
      </c>
      <c r="K82" s="365"/>
    </row>
    <row r="83" spans="1:11" ht="30" outlineLevel="1">
      <c r="A83" s="361"/>
      <c r="B83" s="363" t="s">
        <v>772</v>
      </c>
      <c r="C83" s="363" t="s">
        <v>773</v>
      </c>
      <c r="D83" s="362" t="s">
        <v>639</v>
      </c>
      <c r="E83" s="363" t="s">
        <v>769</v>
      </c>
      <c r="F83" s="363"/>
      <c r="G83" s="362" t="s">
        <v>636</v>
      </c>
      <c r="H83" s="363"/>
      <c r="I83" s="364" t="s">
        <v>630</v>
      </c>
      <c r="J83" s="364" t="s">
        <v>631</v>
      </c>
      <c r="K83" s="365"/>
    </row>
    <row r="84" spans="1:11" ht="19.25" customHeight="1" outlineLevel="1">
      <c r="A84" s="361"/>
      <c r="B84" s="363" t="s">
        <v>774</v>
      </c>
      <c r="C84" s="363" t="s">
        <v>775</v>
      </c>
      <c r="D84" s="362" t="s">
        <v>639</v>
      </c>
      <c r="E84" s="363" t="s">
        <v>769</v>
      </c>
      <c r="F84" s="363"/>
      <c r="G84" s="362" t="s">
        <v>636</v>
      </c>
      <c r="H84" s="363"/>
      <c r="I84" s="364" t="s">
        <v>630</v>
      </c>
      <c r="J84" s="364" t="s">
        <v>631</v>
      </c>
      <c r="K84" s="365"/>
    </row>
    <row r="85" spans="1:11" ht="19.25" customHeight="1" outlineLevel="1">
      <c r="A85" s="361"/>
      <c r="B85" s="363" t="s">
        <v>776</v>
      </c>
      <c r="C85" s="363" t="s">
        <v>777</v>
      </c>
      <c r="D85" s="362" t="s">
        <v>639</v>
      </c>
      <c r="E85" s="363" t="s">
        <v>769</v>
      </c>
      <c r="F85" s="363"/>
      <c r="G85" s="362" t="s">
        <v>636</v>
      </c>
      <c r="H85" s="363"/>
      <c r="I85" s="364" t="s">
        <v>630</v>
      </c>
      <c r="J85" s="364" t="s">
        <v>631</v>
      </c>
      <c r="K85" s="365"/>
    </row>
    <row r="86" spans="1:11" ht="19.25" customHeight="1" outlineLevel="1">
      <c r="A86" s="372"/>
      <c r="B86" s="374" t="s">
        <v>778</v>
      </c>
      <c r="C86" s="374" t="s">
        <v>779</v>
      </c>
      <c r="D86" s="373" t="s">
        <v>639</v>
      </c>
      <c r="E86" s="374" t="s">
        <v>769</v>
      </c>
      <c r="F86" s="374"/>
      <c r="G86" s="373" t="s">
        <v>636</v>
      </c>
      <c r="H86" s="374"/>
      <c r="I86" s="375" t="s">
        <v>630</v>
      </c>
      <c r="J86" s="375" t="s">
        <v>631</v>
      </c>
      <c r="K86" s="376"/>
    </row>
    <row r="87" spans="1:11" ht="15" outlineLevel="1">
      <c r="A87" s="371">
        <v>10</v>
      </c>
      <c r="B87" s="358" t="s">
        <v>780</v>
      </c>
      <c r="C87" s="358" t="s">
        <v>781</v>
      </c>
      <c r="D87" s="357" t="s">
        <v>639</v>
      </c>
      <c r="E87" s="358" t="s">
        <v>782</v>
      </c>
      <c r="F87" s="358"/>
      <c r="G87" s="357" t="s">
        <v>636</v>
      </c>
      <c r="H87" s="358"/>
      <c r="I87" s="359" t="s">
        <v>630</v>
      </c>
      <c r="J87" s="359" t="s">
        <v>631</v>
      </c>
      <c r="K87" s="360"/>
    </row>
    <row r="88" spans="1:11" ht="15" outlineLevel="1">
      <c r="A88" s="366"/>
      <c r="B88" s="368" t="s">
        <v>783</v>
      </c>
      <c r="C88" s="368" t="s">
        <v>784</v>
      </c>
      <c r="D88" s="367" t="s">
        <v>639</v>
      </c>
      <c r="E88" s="368" t="s">
        <v>782</v>
      </c>
      <c r="F88" s="368"/>
      <c r="G88" s="367" t="s">
        <v>636</v>
      </c>
      <c r="H88" s="368"/>
      <c r="I88" s="369" t="s">
        <v>630</v>
      </c>
      <c r="J88" s="369" t="s">
        <v>631</v>
      </c>
      <c r="K88" s="370"/>
    </row>
    <row r="89" spans="1:11" ht="19.25" customHeight="1" outlineLevel="1">
      <c r="A89" s="371">
        <v>11</v>
      </c>
      <c r="B89" s="358" t="s">
        <v>785</v>
      </c>
      <c r="C89" s="358" t="s">
        <v>786</v>
      </c>
      <c r="D89" s="357" t="s">
        <v>639</v>
      </c>
      <c r="E89" s="358" t="s">
        <v>787</v>
      </c>
      <c r="F89" s="358"/>
      <c r="G89" s="357" t="s">
        <v>636</v>
      </c>
      <c r="H89" s="358"/>
      <c r="I89" s="359" t="s">
        <v>630</v>
      </c>
      <c r="J89" s="359" t="s">
        <v>631</v>
      </c>
      <c r="K89" s="360"/>
    </row>
    <row r="90" spans="1:11" ht="19.25" customHeight="1" outlineLevel="1">
      <c r="A90" s="361"/>
      <c r="B90" s="363" t="s">
        <v>788</v>
      </c>
      <c r="C90" s="363" t="s">
        <v>789</v>
      </c>
      <c r="D90" s="362" t="s">
        <v>639</v>
      </c>
      <c r="E90" s="363" t="s">
        <v>787</v>
      </c>
      <c r="F90" s="363"/>
      <c r="G90" s="362" t="s">
        <v>636</v>
      </c>
      <c r="H90" s="363"/>
      <c r="I90" s="364" t="s">
        <v>630</v>
      </c>
      <c r="J90" s="364" t="s">
        <v>631</v>
      </c>
      <c r="K90" s="365"/>
    </row>
    <row r="91" spans="1:11" ht="19.25" customHeight="1" outlineLevel="1">
      <c r="A91" s="361"/>
      <c r="B91" s="363" t="s">
        <v>790</v>
      </c>
      <c r="C91" s="363" t="s">
        <v>791</v>
      </c>
      <c r="D91" s="362" t="s">
        <v>639</v>
      </c>
      <c r="E91" s="363" t="s">
        <v>787</v>
      </c>
      <c r="F91" s="363"/>
      <c r="G91" s="362" t="s">
        <v>636</v>
      </c>
      <c r="H91" s="363"/>
      <c r="I91" s="364" t="s">
        <v>630</v>
      </c>
      <c r="J91" s="364" t="s">
        <v>631</v>
      </c>
      <c r="K91" s="365"/>
    </row>
    <row r="92" spans="1:11" ht="19.25" customHeight="1" outlineLevel="1">
      <c r="A92" s="366"/>
      <c r="B92" s="368" t="s">
        <v>792</v>
      </c>
      <c r="C92" s="368" t="s">
        <v>793</v>
      </c>
      <c r="D92" s="367" t="s">
        <v>639</v>
      </c>
      <c r="E92" s="368" t="s">
        <v>787</v>
      </c>
      <c r="F92" s="368"/>
      <c r="G92" s="367" t="s">
        <v>636</v>
      </c>
      <c r="H92" s="368"/>
      <c r="I92" s="369" t="s">
        <v>630</v>
      </c>
      <c r="J92" s="369" t="s">
        <v>631</v>
      </c>
      <c r="K92" s="370"/>
    </row>
    <row r="93" spans="1:11" ht="19.25" customHeight="1" outlineLevel="1">
      <c r="A93" s="371">
        <v>12</v>
      </c>
      <c r="B93" s="358" t="s">
        <v>794</v>
      </c>
      <c r="C93" s="358" t="s">
        <v>795</v>
      </c>
      <c r="D93" s="357" t="s">
        <v>639</v>
      </c>
      <c r="E93" s="358" t="s">
        <v>796</v>
      </c>
      <c r="F93" s="358"/>
      <c r="G93" s="357" t="s">
        <v>636</v>
      </c>
      <c r="H93" s="358"/>
      <c r="I93" s="359" t="s">
        <v>630</v>
      </c>
      <c r="J93" s="359" t="s">
        <v>631</v>
      </c>
      <c r="K93" s="360"/>
    </row>
    <row r="94" spans="1:11" ht="19.25" customHeight="1" outlineLevel="1">
      <c r="A94" s="366"/>
      <c r="B94" s="368" t="s">
        <v>797</v>
      </c>
      <c r="C94" s="368" t="s">
        <v>798</v>
      </c>
      <c r="D94" s="367" t="s">
        <v>639</v>
      </c>
      <c r="E94" s="368" t="s">
        <v>796</v>
      </c>
      <c r="F94" s="368"/>
      <c r="G94" s="367" t="s">
        <v>636</v>
      </c>
      <c r="H94" s="368"/>
      <c r="I94" s="369" t="s">
        <v>630</v>
      </c>
      <c r="J94" s="369" t="s">
        <v>631</v>
      </c>
      <c r="K94" s="370"/>
    </row>
    <row r="95" spans="1:11" ht="19.25" customHeight="1">
      <c r="A95" s="383" t="s">
        <v>6</v>
      </c>
      <c r="B95" s="384" t="s">
        <v>799</v>
      </c>
      <c r="C95" s="385"/>
      <c r="D95" s="383"/>
      <c r="E95" s="384"/>
      <c r="F95" s="386"/>
      <c r="G95" s="383"/>
      <c r="H95" s="386"/>
    </row>
    <row r="96" spans="1:11" ht="19.25" customHeight="1" outlineLevel="1">
      <c r="A96" s="387">
        <v>1</v>
      </c>
      <c r="B96" s="358" t="s">
        <v>800</v>
      </c>
      <c r="C96" s="358" t="s">
        <v>801</v>
      </c>
      <c r="D96" s="357" t="s">
        <v>802</v>
      </c>
      <c r="E96" s="358" t="s">
        <v>803</v>
      </c>
      <c r="F96" s="358" t="s">
        <v>804</v>
      </c>
      <c r="G96" s="357"/>
      <c r="H96" s="358"/>
      <c r="I96" s="359"/>
      <c r="J96" s="359"/>
      <c r="K96" s="360"/>
    </row>
    <row r="97" spans="1:11" ht="19.25" customHeight="1" outlineLevel="1">
      <c r="A97" s="388"/>
      <c r="B97" s="363" t="s">
        <v>805</v>
      </c>
      <c r="C97" s="363" t="s">
        <v>806</v>
      </c>
      <c r="D97" s="362" t="s">
        <v>802</v>
      </c>
      <c r="E97" s="363" t="s">
        <v>803</v>
      </c>
      <c r="F97" s="363" t="s">
        <v>804</v>
      </c>
      <c r="G97" s="362"/>
      <c r="H97" s="363"/>
      <c r="I97" s="364"/>
      <c r="J97" s="364"/>
      <c r="K97" s="365"/>
    </row>
    <row r="98" spans="1:11" ht="19.25" customHeight="1" outlineLevel="1">
      <c r="A98" s="389"/>
      <c r="B98" s="368" t="s">
        <v>807</v>
      </c>
      <c r="C98" s="368" t="s">
        <v>808</v>
      </c>
      <c r="D98" s="367" t="s">
        <v>802</v>
      </c>
      <c r="E98" s="368" t="s">
        <v>803</v>
      </c>
      <c r="F98" s="368" t="s">
        <v>804</v>
      </c>
      <c r="G98" s="367"/>
      <c r="H98" s="368"/>
      <c r="I98" s="369"/>
      <c r="J98" s="369"/>
      <c r="K98" s="370"/>
    </row>
    <row r="99" spans="1:11" ht="19.25" customHeight="1" outlineLevel="1">
      <c r="A99" s="387">
        <v>2</v>
      </c>
      <c r="B99" s="358" t="s">
        <v>809</v>
      </c>
      <c r="C99" s="358" t="s">
        <v>810</v>
      </c>
      <c r="D99" s="357" t="s">
        <v>802</v>
      </c>
      <c r="E99" s="358" t="s">
        <v>811</v>
      </c>
      <c r="F99" s="358" t="s">
        <v>812</v>
      </c>
      <c r="G99" s="357"/>
      <c r="H99" s="358"/>
      <c r="I99" s="359"/>
      <c r="J99" s="359"/>
      <c r="K99" s="360" t="s">
        <v>815</v>
      </c>
    </row>
    <row r="100" spans="1:11" ht="19.25" customHeight="1" outlineLevel="1">
      <c r="A100" s="388"/>
      <c r="B100" s="363" t="s">
        <v>813</v>
      </c>
      <c r="C100" s="363" t="s">
        <v>814</v>
      </c>
      <c r="D100" s="362" t="s">
        <v>802</v>
      </c>
      <c r="E100" s="363" t="s">
        <v>811</v>
      </c>
      <c r="F100" s="363" t="s">
        <v>812</v>
      </c>
      <c r="G100" s="362"/>
      <c r="H100" s="363"/>
      <c r="I100" s="364"/>
      <c r="J100" s="364"/>
      <c r="K100" s="365"/>
    </row>
    <row r="101" spans="1:11" ht="19.25" customHeight="1" outlineLevel="1">
      <c r="A101" s="389"/>
      <c r="B101" s="368"/>
      <c r="C101" s="368"/>
      <c r="D101" s="367"/>
      <c r="E101" s="368"/>
      <c r="F101" s="368"/>
      <c r="G101" s="367"/>
      <c r="H101" s="368"/>
      <c r="I101" s="369"/>
      <c r="J101" s="369"/>
      <c r="K101" s="370"/>
    </row>
    <row r="102" spans="1:11" ht="19.25" customHeight="1">
      <c r="A102" s="390"/>
      <c r="B102" s="391"/>
      <c r="C102" s="391"/>
      <c r="D102" s="390"/>
      <c r="E102" s="391"/>
      <c r="F102" s="386"/>
      <c r="G102" s="390"/>
      <c r="H102" s="386"/>
    </row>
    <row r="103" spans="1:11" ht="26" customHeight="1">
      <c r="A103" s="296"/>
      <c r="B103" s="271"/>
      <c r="C103" s="271"/>
      <c r="D103" s="296"/>
      <c r="E103" s="271"/>
      <c r="G103" s="296"/>
    </row>
  </sheetData>
  <autoFilter ref="A11:K103" xr:uid="{F95DF08D-E7D7-4FC3-833D-03EB140CACEA}"/>
  <pageMargins left="0.51" right="0.17" top="0.33" bottom="0.75" header="0.3" footer="0.3"/>
  <pageSetup paperSize="9" scale="3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F05D7-3FE0-4CE5-94F1-D23A77DC3F62}">
  <sheetPr codeName="Sheet7">
    <tabColor rgb="FF7030A0"/>
  </sheetPr>
  <dimension ref="A1:G12"/>
  <sheetViews>
    <sheetView view="pageBreakPreview" zoomScale="130" zoomScaleNormal="100" zoomScaleSheetLayoutView="130" workbookViewId="0">
      <pane xSplit="1" ySplit="3" topLeftCell="B10" activePane="bottomRight" state="frozen"/>
      <selection activeCell="V5" sqref="V5"/>
      <selection pane="topRight" activeCell="V5" sqref="V5"/>
      <selection pane="bottomLeft" activeCell="V5" sqref="V5"/>
      <selection pane="bottomRight" activeCell="V5" sqref="V5"/>
    </sheetView>
  </sheetViews>
  <sheetFormatPr baseColWidth="10" defaultColWidth="8.83203125" defaultRowHeight="14"/>
  <cols>
    <col min="1" max="1" width="5.1640625" style="263" customWidth="1"/>
    <col min="2" max="2" width="14.1640625" style="263" customWidth="1"/>
    <col min="3" max="3" width="20.83203125" style="263" bestFit="1" customWidth="1"/>
    <col min="4" max="4" width="37.33203125" style="263" customWidth="1"/>
    <col min="5" max="5" width="20.83203125" style="263" bestFit="1" customWidth="1"/>
    <col min="6" max="6" width="37.1640625" style="263" customWidth="1"/>
    <col min="7" max="7" width="21.33203125" style="263" bestFit="1" customWidth="1"/>
    <col min="8" max="16384" width="8.83203125" style="263"/>
  </cols>
  <sheetData>
    <row r="1" spans="1:7" ht="20" customHeight="1">
      <c r="A1" s="433" t="s">
        <v>421</v>
      </c>
      <c r="B1" s="433"/>
      <c r="C1" s="433"/>
      <c r="D1" s="433"/>
      <c r="E1" s="433"/>
      <c r="F1" s="433"/>
      <c r="G1" s="433"/>
    </row>
    <row r="2" spans="1:7" s="264" customFormat="1">
      <c r="A2" s="434" t="s">
        <v>0</v>
      </c>
      <c r="B2" s="434" t="s">
        <v>398</v>
      </c>
      <c r="C2" s="434" t="s">
        <v>517</v>
      </c>
      <c r="D2" s="434"/>
      <c r="E2" s="434" t="s">
        <v>518</v>
      </c>
      <c r="F2" s="434"/>
      <c r="G2" s="434" t="s">
        <v>9</v>
      </c>
    </row>
    <row r="3" spans="1:7">
      <c r="A3" s="434"/>
      <c r="B3" s="434"/>
      <c r="C3" s="73" t="s">
        <v>125</v>
      </c>
      <c r="D3" s="73" t="s">
        <v>100</v>
      </c>
      <c r="E3" s="73" t="s">
        <v>125</v>
      </c>
      <c r="F3" s="73" t="s">
        <v>100</v>
      </c>
      <c r="G3" s="434"/>
    </row>
    <row r="4" spans="1:7" ht="45">
      <c r="A4" s="265">
        <v>1</v>
      </c>
      <c r="B4" s="266" t="s">
        <v>101</v>
      </c>
      <c r="C4" s="267" t="s">
        <v>400</v>
      </c>
      <c r="D4" s="267" t="s">
        <v>401</v>
      </c>
      <c r="E4" s="267" t="s">
        <v>400</v>
      </c>
      <c r="F4" s="267" t="s">
        <v>401</v>
      </c>
      <c r="G4" s="271" t="s">
        <v>520</v>
      </c>
    </row>
    <row r="5" spans="1:7" ht="45">
      <c r="A5" s="265">
        <f t="shared" ref="A5:A12" si="0">A4+1</f>
        <v>2</v>
      </c>
      <c r="B5" s="266" t="s">
        <v>126</v>
      </c>
      <c r="C5" s="267" t="s">
        <v>400</v>
      </c>
      <c r="D5" s="267" t="s">
        <v>402</v>
      </c>
      <c r="E5" s="267" t="s">
        <v>400</v>
      </c>
      <c r="F5" s="267" t="s">
        <v>402</v>
      </c>
      <c r="G5" s="271" t="s">
        <v>519</v>
      </c>
    </row>
    <row r="6" spans="1:7" ht="60">
      <c r="A6" s="265">
        <f t="shared" si="0"/>
        <v>3</v>
      </c>
      <c r="B6" s="266" t="s">
        <v>123</v>
      </c>
      <c r="C6" s="268" t="s">
        <v>403</v>
      </c>
      <c r="D6" s="267" t="s">
        <v>404</v>
      </c>
      <c r="E6" s="315" t="s">
        <v>533</v>
      </c>
      <c r="F6" s="267" t="s">
        <v>521</v>
      </c>
      <c r="G6" s="266"/>
    </row>
    <row r="7" spans="1:7" ht="60">
      <c r="A7" s="265">
        <f t="shared" si="0"/>
        <v>4</v>
      </c>
      <c r="B7" s="266" t="s">
        <v>124</v>
      </c>
      <c r="C7" s="269" t="s">
        <v>405</v>
      </c>
      <c r="D7" s="267" t="s">
        <v>522</v>
      </c>
      <c r="E7" s="315" t="s">
        <v>532</v>
      </c>
      <c r="F7" s="267" t="s">
        <v>522</v>
      </c>
      <c r="G7" s="266"/>
    </row>
    <row r="8" spans="1:7">
      <c r="A8" s="265">
        <f t="shared" si="0"/>
        <v>5</v>
      </c>
      <c r="B8" s="266" t="s">
        <v>145</v>
      </c>
      <c r="C8" s="269" t="s">
        <v>400</v>
      </c>
      <c r="D8" s="269" t="s">
        <v>400</v>
      </c>
      <c r="E8" s="269" t="s">
        <v>400</v>
      </c>
      <c r="F8" s="269" t="s">
        <v>400</v>
      </c>
      <c r="G8" s="266"/>
    </row>
    <row r="9" spans="1:7">
      <c r="A9" s="265">
        <f t="shared" si="0"/>
        <v>6</v>
      </c>
      <c r="B9" s="266" t="s">
        <v>407</v>
      </c>
      <c r="C9" s="269" t="s">
        <v>400</v>
      </c>
      <c r="D9" s="269" t="s">
        <v>400</v>
      </c>
      <c r="E9" s="269" t="s">
        <v>400</v>
      </c>
      <c r="F9" s="269" t="s">
        <v>400</v>
      </c>
      <c r="G9" s="266"/>
    </row>
    <row r="10" spans="1:7" ht="60">
      <c r="A10" s="265">
        <f t="shared" si="0"/>
        <v>7</v>
      </c>
      <c r="B10" s="271" t="s">
        <v>529</v>
      </c>
      <c r="C10" s="269" t="s">
        <v>400</v>
      </c>
      <c r="D10" s="267" t="s">
        <v>406</v>
      </c>
      <c r="E10" s="267" t="s">
        <v>531</v>
      </c>
      <c r="F10" s="267" t="s">
        <v>406</v>
      </c>
      <c r="G10" s="266"/>
    </row>
    <row r="11" spans="1:7" ht="30">
      <c r="A11" s="265">
        <f t="shared" si="0"/>
        <v>8</v>
      </c>
      <c r="B11" s="270" t="s">
        <v>528</v>
      </c>
      <c r="C11" s="267" t="s">
        <v>554</v>
      </c>
      <c r="D11" s="267" t="s">
        <v>530</v>
      </c>
      <c r="E11" s="267" t="s">
        <v>531</v>
      </c>
      <c r="F11" s="267" t="s">
        <v>530</v>
      </c>
      <c r="G11" s="266"/>
    </row>
    <row r="12" spans="1:7" ht="75">
      <c r="A12" s="265">
        <f t="shared" si="0"/>
        <v>9</v>
      </c>
      <c r="B12" s="270" t="s">
        <v>553</v>
      </c>
      <c r="C12" s="267" t="s">
        <v>555</v>
      </c>
      <c r="D12" s="267" t="s">
        <v>556</v>
      </c>
      <c r="E12" s="267" t="s">
        <v>557</v>
      </c>
      <c r="F12" s="267" t="s">
        <v>556</v>
      </c>
      <c r="G12" s="266"/>
    </row>
  </sheetData>
  <mergeCells count="6">
    <mergeCell ref="A1:G1"/>
    <mergeCell ref="A2:A3"/>
    <mergeCell ref="B2:B3"/>
    <mergeCell ref="C2:D2"/>
    <mergeCell ref="G2:G3"/>
    <mergeCell ref="E2:F2"/>
  </mergeCells>
  <pageMargins left="0.7" right="0.7" top="0.75" bottom="0.75" header="0.3" footer="0.3"/>
  <pageSetup paperSize="9" scale="34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62BA5-811B-45E6-B74B-A5327DCA7341}">
  <sheetPr codeName="Sheet2">
    <pageSetUpPr fitToPage="1"/>
  </sheetPr>
  <dimension ref="A1:K25"/>
  <sheetViews>
    <sheetView view="pageBreakPreview" zoomScale="85" zoomScaleNormal="160" zoomScaleSheetLayoutView="85" zoomScalePageLayoutView="115" workbookViewId="0">
      <selection activeCell="V5" sqref="V5"/>
    </sheetView>
  </sheetViews>
  <sheetFormatPr baseColWidth="10" defaultColWidth="8.83203125" defaultRowHeight="14"/>
  <cols>
    <col min="1" max="1" width="8.1640625" style="47" customWidth="1"/>
    <col min="2" max="2" width="46.1640625" style="47" customWidth="1"/>
    <col min="3" max="3" width="13.1640625" style="47" customWidth="1"/>
    <col min="4" max="4" width="14.33203125" style="47" customWidth="1"/>
    <col min="5" max="8" width="10" style="47" customWidth="1"/>
    <col min="9" max="16384" width="8.83203125" style="47"/>
  </cols>
  <sheetData>
    <row r="1" spans="1:11">
      <c r="A1" s="70" t="s">
        <v>57</v>
      </c>
    </row>
    <row r="3" spans="1:11">
      <c r="A3" s="47" t="s">
        <v>96</v>
      </c>
      <c r="F3" s="47" t="s">
        <v>58</v>
      </c>
    </row>
    <row r="4" spans="1:11">
      <c r="A4" s="47" t="s">
        <v>59</v>
      </c>
      <c r="F4" s="47" t="s">
        <v>60</v>
      </c>
    </row>
    <row r="5" spans="1:11">
      <c r="A5" s="47" t="s">
        <v>61</v>
      </c>
      <c r="F5" s="47" t="s">
        <v>62</v>
      </c>
    </row>
    <row r="7" spans="1:11" ht="30">
      <c r="A7" s="71" t="s">
        <v>63</v>
      </c>
      <c r="B7" s="71" t="s">
        <v>64</v>
      </c>
      <c r="C7" s="71" t="s">
        <v>65</v>
      </c>
      <c r="D7" s="71" t="s">
        <v>66</v>
      </c>
      <c r="E7" s="435" t="s">
        <v>67</v>
      </c>
      <c r="F7" s="435"/>
      <c r="G7" s="435"/>
      <c r="H7" s="435"/>
      <c r="I7" s="72"/>
      <c r="J7" s="72"/>
      <c r="K7" s="72"/>
    </row>
    <row r="8" spans="1:11" ht="15">
      <c r="A8" s="73" t="s">
        <v>4</v>
      </c>
      <c r="B8" s="74" t="s">
        <v>68</v>
      </c>
      <c r="C8" s="75"/>
      <c r="D8" s="76" t="s">
        <v>5</v>
      </c>
      <c r="E8" s="77"/>
      <c r="F8" s="78"/>
      <c r="G8" s="78"/>
      <c r="H8" s="79"/>
    </row>
    <row r="9" spans="1:11" ht="15">
      <c r="A9" s="80" t="s">
        <v>6</v>
      </c>
      <c r="B9" s="81" t="s">
        <v>69</v>
      </c>
      <c r="C9" s="82"/>
      <c r="D9" s="83"/>
      <c r="E9" s="84"/>
      <c r="F9" s="85"/>
      <c r="G9" s="85"/>
      <c r="H9" s="86"/>
    </row>
    <row r="10" spans="1:11" ht="15">
      <c r="A10" s="87">
        <v>1</v>
      </c>
      <c r="B10" s="88" t="s">
        <v>70</v>
      </c>
      <c r="C10" s="75"/>
      <c r="D10" s="75"/>
      <c r="E10" s="89"/>
      <c r="F10" s="90"/>
      <c r="G10" s="90"/>
      <c r="H10" s="91"/>
    </row>
    <row r="11" spans="1:11" ht="15">
      <c r="A11" s="87">
        <v>2</v>
      </c>
      <c r="B11" s="88" t="s">
        <v>71</v>
      </c>
      <c r="C11" s="75"/>
      <c r="D11" s="75"/>
      <c r="E11" s="89"/>
      <c r="F11" s="90"/>
      <c r="G11" s="90"/>
      <c r="H11" s="91"/>
    </row>
    <row r="12" spans="1:11" ht="15">
      <c r="A12" s="87">
        <v>3</v>
      </c>
      <c r="B12" s="88" t="s">
        <v>72</v>
      </c>
      <c r="C12" s="75"/>
      <c r="D12" s="75"/>
      <c r="E12" s="89"/>
      <c r="F12" s="90"/>
      <c r="G12" s="90"/>
      <c r="H12" s="91"/>
    </row>
    <row r="13" spans="1:11" ht="15">
      <c r="A13" s="87">
        <v>4</v>
      </c>
      <c r="B13" s="88" t="s">
        <v>73</v>
      </c>
      <c r="C13" s="75"/>
      <c r="D13" s="75"/>
      <c r="E13" s="89"/>
      <c r="F13" s="90"/>
      <c r="G13" s="90"/>
      <c r="H13" s="91"/>
    </row>
    <row r="14" spans="1:11" ht="15">
      <c r="A14" s="87">
        <v>5</v>
      </c>
      <c r="B14" s="88" t="s">
        <v>74</v>
      </c>
      <c r="C14" s="75"/>
      <c r="D14" s="75"/>
      <c r="E14" s="89"/>
      <c r="F14" s="90"/>
      <c r="G14" s="90"/>
      <c r="H14" s="91"/>
    </row>
    <row r="15" spans="1:11" ht="15">
      <c r="A15" s="87">
        <v>6</v>
      </c>
      <c r="B15" s="88" t="s">
        <v>75</v>
      </c>
      <c r="C15" s="75"/>
      <c r="D15" s="75"/>
      <c r="E15" s="89"/>
      <c r="F15" s="90"/>
      <c r="G15" s="90"/>
      <c r="H15" s="91"/>
    </row>
    <row r="16" spans="1:11">
      <c r="A16" s="92"/>
      <c r="B16" s="93"/>
      <c r="C16" s="94"/>
      <c r="D16" s="95"/>
      <c r="E16" s="96"/>
      <c r="F16" s="97"/>
      <c r="G16" s="97"/>
      <c r="H16" s="98"/>
    </row>
    <row r="17" spans="1:8" ht="15">
      <c r="A17" s="80" t="s">
        <v>7</v>
      </c>
      <c r="B17" s="81" t="s">
        <v>76</v>
      </c>
      <c r="C17" s="82"/>
      <c r="D17" s="83"/>
      <c r="E17" s="84"/>
      <c r="F17" s="85"/>
      <c r="G17" s="85"/>
      <c r="H17" s="86"/>
    </row>
    <row r="18" spans="1:8" ht="15">
      <c r="A18" s="87">
        <v>1</v>
      </c>
      <c r="B18" s="88" t="s">
        <v>77</v>
      </c>
      <c r="C18" s="75"/>
      <c r="D18" s="75"/>
      <c r="E18" s="89"/>
      <c r="F18" s="90"/>
      <c r="G18" s="90"/>
      <c r="H18" s="91"/>
    </row>
    <row r="19" spans="1:8" ht="15">
      <c r="A19" s="87">
        <v>2</v>
      </c>
      <c r="B19" s="88" t="s">
        <v>78</v>
      </c>
      <c r="C19" s="75"/>
      <c r="D19" s="75"/>
      <c r="E19" s="89"/>
      <c r="F19" s="90"/>
      <c r="G19" s="90"/>
      <c r="H19" s="91"/>
    </row>
    <row r="20" spans="1:8" ht="15">
      <c r="A20" s="87">
        <v>3</v>
      </c>
      <c r="B20" s="88" t="s">
        <v>79</v>
      </c>
      <c r="C20" s="75"/>
      <c r="D20" s="75"/>
      <c r="E20" s="89"/>
      <c r="F20" s="90"/>
      <c r="G20" s="90"/>
      <c r="H20" s="91"/>
    </row>
    <row r="21" spans="1:8" ht="30">
      <c r="A21" s="87">
        <v>4</v>
      </c>
      <c r="B21" s="88" t="s">
        <v>80</v>
      </c>
      <c r="C21" s="75"/>
      <c r="D21" s="75"/>
      <c r="E21" s="89"/>
      <c r="F21" s="90"/>
      <c r="G21" s="90"/>
      <c r="H21" s="91"/>
    </row>
    <row r="22" spans="1:8">
      <c r="A22" s="87"/>
      <c r="B22" s="88"/>
      <c r="C22" s="99"/>
      <c r="D22" s="99"/>
      <c r="E22" s="89"/>
      <c r="F22" s="90"/>
      <c r="G22" s="90"/>
      <c r="H22" s="91"/>
    </row>
    <row r="23" spans="1:8">
      <c r="A23" s="92"/>
      <c r="B23" s="93"/>
      <c r="C23" s="92"/>
      <c r="D23" s="100"/>
      <c r="E23" s="96"/>
      <c r="F23" s="97"/>
      <c r="G23" s="97"/>
      <c r="H23" s="98"/>
    </row>
    <row r="25" spans="1:8">
      <c r="A25" s="101" t="s">
        <v>5</v>
      </c>
      <c r="B25" s="101" t="s">
        <v>81</v>
      </c>
    </row>
  </sheetData>
  <mergeCells count="1">
    <mergeCell ref="E7:H7"/>
  </mergeCells>
  <pageMargins left="0.52" right="0.37" top="0.48" bottom="0.5" header="0.3" footer="0.3"/>
  <pageSetup paperSize="9" scale="72" fitToHeight="0" orientation="portrait" r:id="rId1"/>
  <headerFooter>
    <oddHeader>&amp;L&amp;G&amp;R&amp;"Times New Roman,Regular"SX-QLDA/QT02.01/BM01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Check Box 1">
              <controlPr locked="0" defaultSize="0" autoFill="0" autoLine="0" autoPict="0">
                <anchor moveWithCells="1">
                  <from>
                    <xdr:col>2</xdr:col>
                    <xdr:colOff>330200</xdr:colOff>
                    <xdr:row>8</xdr:row>
                    <xdr:rowOff>152400</xdr:rowOff>
                  </from>
                  <to>
                    <xdr:col>2</xdr:col>
                    <xdr:colOff>609600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Check Box 2">
              <controlPr locked="0" defaultSize="0" autoFill="0" autoLine="0" autoPict="0">
                <anchor moveWithCells="1">
                  <from>
                    <xdr:col>2</xdr:col>
                    <xdr:colOff>330200</xdr:colOff>
                    <xdr:row>9</xdr:row>
                    <xdr:rowOff>152400</xdr:rowOff>
                  </from>
                  <to>
                    <xdr:col>2</xdr:col>
                    <xdr:colOff>609600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Check Box 3">
              <controlPr locked="0" defaultSize="0" autoFill="0" autoLine="0" autoPict="0">
                <anchor moveWithCells="1">
                  <from>
                    <xdr:col>2</xdr:col>
                    <xdr:colOff>330200</xdr:colOff>
                    <xdr:row>10</xdr:row>
                    <xdr:rowOff>152400</xdr:rowOff>
                  </from>
                  <to>
                    <xdr:col>2</xdr:col>
                    <xdr:colOff>609600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Check Box 4">
              <controlPr locked="0" defaultSize="0" autoFill="0" autoLine="0" autoPict="0">
                <anchor moveWithCells="1">
                  <from>
                    <xdr:col>2</xdr:col>
                    <xdr:colOff>330200</xdr:colOff>
                    <xdr:row>11</xdr:row>
                    <xdr:rowOff>152400</xdr:rowOff>
                  </from>
                  <to>
                    <xdr:col>2</xdr:col>
                    <xdr:colOff>609600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Check Box 5">
              <controlPr locked="0" defaultSize="0" autoFill="0" autoLine="0" autoPict="0">
                <anchor moveWithCells="1">
                  <from>
                    <xdr:col>2</xdr:col>
                    <xdr:colOff>330200</xdr:colOff>
                    <xdr:row>12</xdr:row>
                    <xdr:rowOff>152400</xdr:rowOff>
                  </from>
                  <to>
                    <xdr:col>2</xdr:col>
                    <xdr:colOff>609600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10" name="Check Box 6">
              <controlPr locked="0" defaultSize="0" autoFill="0" autoLine="0" autoPict="0">
                <anchor moveWithCells="1">
                  <from>
                    <xdr:col>2</xdr:col>
                    <xdr:colOff>330200</xdr:colOff>
                    <xdr:row>13</xdr:row>
                    <xdr:rowOff>152400</xdr:rowOff>
                  </from>
                  <to>
                    <xdr:col>2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1" name="Check Box 7">
              <controlPr locked="0" defaultSize="0" autoFill="0" autoLine="0" autoPict="0">
                <anchor moveWithCells="1">
                  <from>
                    <xdr:col>3</xdr:col>
                    <xdr:colOff>368300</xdr:colOff>
                    <xdr:row>8</xdr:row>
                    <xdr:rowOff>152400</xdr:rowOff>
                  </from>
                  <to>
                    <xdr:col>3</xdr:col>
                    <xdr:colOff>635000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2" name="Check Box 8">
              <controlPr locked="0" defaultSize="0" autoFill="0" autoLine="0" autoPict="0">
                <anchor moveWithCells="1">
                  <from>
                    <xdr:col>3</xdr:col>
                    <xdr:colOff>368300</xdr:colOff>
                    <xdr:row>9</xdr:row>
                    <xdr:rowOff>152400</xdr:rowOff>
                  </from>
                  <to>
                    <xdr:col>3</xdr:col>
                    <xdr:colOff>635000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3" name="Check Box 9">
              <controlPr locked="0" defaultSize="0" autoFill="0" autoLine="0" autoPict="0">
                <anchor moveWithCells="1">
                  <from>
                    <xdr:col>3</xdr:col>
                    <xdr:colOff>368300</xdr:colOff>
                    <xdr:row>10</xdr:row>
                    <xdr:rowOff>152400</xdr:rowOff>
                  </from>
                  <to>
                    <xdr:col>3</xdr:col>
                    <xdr:colOff>635000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4" name="Check Box 10">
              <controlPr locked="0" defaultSize="0" autoFill="0" autoLine="0" autoPict="0">
                <anchor moveWithCells="1">
                  <from>
                    <xdr:col>3</xdr:col>
                    <xdr:colOff>368300</xdr:colOff>
                    <xdr:row>11</xdr:row>
                    <xdr:rowOff>152400</xdr:rowOff>
                  </from>
                  <to>
                    <xdr:col>3</xdr:col>
                    <xdr:colOff>635000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5" name="Check Box 11">
              <controlPr locked="0" defaultSize="0" autoFill="0" autoLine="0" autoPict="0">
                <anchor moveWithCells="1">
                  <from>
                    <xdr:col>3</xdr:col>
                    <xdr:colOff>368300</xdr:colOff>
                    <xdr:row>12</xdr:row>
                    <xdr:rowOff>152400</xdr:rowOff>
                  </from>
                  <to>
                    <xdr:col>3</xdr:col>
                    <xdr:colOff>635000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6" name="Check Box 12">
              <controlPr locked="0" defaultSize="0" autoFill="0" autoLine="0" autoPict="0">
                <anchor moveWithCells="1">
                  <from>
                    <xdr:col>3</xdr:col>
                    <xdr:colOff>368300</xdr:colOff>
                    <xdr:row>13</xdr:row>
                    <xdr:rowOff>152400</xdr:rowOff>
                  </from>
                  <to>
                    <xdr:col>3</xdr:col>
                    <xdr:colOff>635000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7" name="Check Box 13">
              <controlPr locked="0" defaultSize="0" autoFill="0" autoLine="0" autoPict="0">
                <anchor moveWithCells="1">
                  <from>
                    <xdr:col>2</xdr:col>
                    <xdr:colOff>330200</xdr:colOff>
                    <xdr:row>16</xdr:row>
                    <xdr:rowOff>152400</xdr:rowOff>
                  </from>
                  <to>
                    <xdr:col>2</xdr:col>
                    <xdr:colOff>609600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8" name="Check Box 14">
              <controlPr locked="0" defaultSize="0" autoFill="0" autoLine="0" autoPict="0">
                <anchor moveWithCells="1">
                  <from>
                    <xdr:col>2</xdr:col>
                    <xdr:colOff>330200</xdr:colOff>
                    <xdr:row>17</xdr:row>
                    <xdr:rowOff>152400</xdr:rowOff>
                  </from>
                  <to>
                    <xdr:col>2</xdr:col>
                    <xdr:colOff>609600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9" name="Check Box 15">
              <controlPr locked="0" defaultSize="0" autoFill="0" autoLine="0" autoPict="0">
                <anchor moveWithCells="1">
                  <from>
                    <xdr:col>2</xdr:col>
                    <xdr:colOff>330200</xdr:colOff>
                    <xdr:row>18</xdr:row>
                    <xdr:rowOff>152400</xdr:rowOff>
                  </from>
                  <to>
                    <xdr:col>2</xdr:col>
                    <xdr:colOff>609600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20" name="Check Box 16">
              <controlPr locked="0" defaultSize="0" autoFill="0" autoLine="0" autoPict="0">
                <anchor moveWithCells="1">
                  <from>
                    <xdr:col>2</xdr:col>
                    <xdr:colOff>330200</xdr:colOff>
                    <xdr:row>20</xdr:row>
                    <xdr:rowOff>63500</xdr:rowOff>
                  </from>
                  <to>
                    <xdr:col>2</xdr:col>
                    <xdr:colOff>609600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1" name="Check Box 17">
              <controlPr locked="0" defaultSize="0" autoFill="0" autoLine="0" autoPict="0">
                <anchor moveWithCells="1">
                  <from>
                    <xdr:col>3</xdr:col>
                    <xdr:colOff>368300</xdr:colOff>
                    <xdr:row>16</xdr:row>
                    <xdr:rowOff>152400</xdr:rowOff>
                  </from>
                  <to>
                    <xdr:col>3</xdr:col>
                    <xdr:colOff>635000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2" name="Check Box 18">
              <controlPr locked="0" defaultSize="0" autoFill="0" autoLine="0" autoPict="0">
                <anchor moveWithCells="1">
                  <from>
                    <xdr:col>3</xdr:col>
                    <xdr:colOff>368300</xdr:colOff>
                    <xdr:row>17</xdr:row>
                    <xdr:rowOff>152400</xdr:rowOff>
                  </from>
                  <to>
                    <xdr:col>3</xdr:col>
                    <xdr:colOff>635000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3" name="Check Box 19">
              <controlPr locked="0" defaultSize="0" autoFill="0" autoLine="0" autoPict="0">
                <anchor moveWithCells="1">
                  <from>
                    <xdr:col>3</xdr:col>
                    <xdr:colOff>368300</xdr:colOff>
                    <xdr:row>18</xdr:row>
                    <xdr:rowOff>152400</xdr:rowOff>
                  </from>
                  <to>
                    <xdr:col>3</xdr:col>
                    <xdr:colOff>635000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4" name="Check Box 20">
              <controlPr locked="0" defaultSize="0" autoFill="0" autoLine="0" autoPict="0">
                <anchor moveWithCells="1">
                  <from>
                    <xdr:col>3</xdr:col>
                    <xdr:colOff>368300</xdr:colOff>
                    <xdr:row>20</xdr:row>
                    <xdr:rowOff>63500</xdr:rowOff>
                  </from>
                  <to>
                    <xdr:col>3</xdr:col>
                    <xdr:colOff>635000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5" name="Check Box 21">
              <controlPr locked="0" defaultSize="0" autoFill="0" autoLine="0" autoPict="0">
                <anchor moveWithCells="1">
                  <from>
                    <xdr:col>2</xdr:col>
                    <xdr:colOff>330200</xdr:colOff>
                    <xdr:row>6</xdr:row>
                    <xdr:rowOff>330200</xdr:rowOff>
                  </from>
                  <to>
                    <xdr:col>2</xdr:col>
                    <xdr:colOff>609600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88331-32D0-4575-B856-3350336B4992}">
  <sheetPr codeName="Sheet3">
    <outlinePr summaryBelow="0"/>
    <pageSetUpPr fitToPage="1"/>
  </sheetPr>
  <dimension ref="B1:J22"/>
  <sheetViews>
    <sheetView view="pageBreakPreview" zoomScale="55" zoomScaleNormal="85" zoomScaleSheetLayoutView="55" zoomScalePageLayoutView="70" workbookViewId="0">
      <selection activeCell="V5" sqref="V5"/>
    </sheetView>
  </sheetViews>
  <sheetFormatPr baseColWidth="10" defaultColWidth="8.83203125" defaultRowHeight="15" outlineLevelRow="1"/>
  <cols>
    <col min="1" max="1" width="3.83203125" customWidth="1"/>
    <col min="2" max="2" width="6" customWidth="1"/>
    <col min="3" max="3" width="15" customWidth="1"/>
    <col min="4" max="4" width="37" customWidth="1"/>
    <col min="5" max="5" width="44.1640625" customWidth="1"/>
    <col min="6" max="6" width="31.83203125" customWidth="1"/>
    <col min="7" max="7" width="14.83203125" customWidth="1"/>
    <col min="8" max="8" width="21.33203125" style="121" customWidth="1"/>
    <col min="9" max="9" width="40.5" customWidth="1"/>
    <col min="10" max="10" width="32.5" customWidth="1"/>
  </cols>
  <sheetData>
    <row r="1" spans="2:10" ht="28.25" customHeight="1">
      <c r="B1" s="118" t="s">
        <v>82</v>
      </c>
    </row>
    <row r="3" spans="2:10">
      <c r="B3" s="436" t="s">
        <v>0</v>
      </c>
      <c r="C3" s="436" t="s">
        <v>83</v>
      </c>
      <c r="D3" s="436" t="s">
        <v>84</v>
      </c>
      <c r="E3" s="436" t="s">
        <v>94</v>
      </c>
      <c r="F3" s="436" t="s">
        <v>85</v>
      </c>
      <c r="G3" s="102" t="s">
        <v>86</v>
      </c>
      <c r="H3" s="122"/>
      <c r="I3" s="103"/>
      <c r="J3" s="436" t="s">
        <v>87</v>
      </c>
    </row>
    <row r="4" spans="2:10" ht="16">
      <c r="B4" s="437"/>
      <c r="C4" s="437"/>
      <c r="D4" s="437"/>
      <c r="E4" s="437"/>
      <c r="F4" s="437"/>
      <c r="G4" s="104" t="s">
        <v>88</v>
      </c>
      <c r="H4" s="123" t="s">
        <v>89</v>
      </c>
      <c r="I4" s="104" t="s">
        <v>90</v>
      </c>
      <c r="J4" s="437"/>
    </row>
    <row r="5" spans="2:10" ht="16">
      <c r="B5" s="105" t="str">
        <f>"["&amp;COLUMN()-COUNTBLANK($A$5:A5)&amp;"]"</f>
        <v>[1]</v>
      </c>
      <c r="C5" s="105" t="str">
        <f>"["&amp;COLUMN()-COUNTBLANK($A$5:B5)&amp;"]"</f>
        <v>[2]</v>
      </c>
      <c r="D5" s="105" t="str">
        <f>"["&amp;COLUMN()-COUNTBLANK($A$5:C5)&amp;"]"</f>
        <v>[3]</v>
      </c>
      <c r="E5" s="105" t="str">
        <f>"["&amp;COLUMN()-COUNTBLANK($A$5:D5)&amp;"]"</f>
        <v>[4]</v>
      </c>
      <c r="F5" s="105" t="str">
        <f>"["&amp;COLUMN()-COUNTBLANK($A$5:E5)&amp;"]"</f>
        <v>[5]</v>
      </c>
      <c r="G5" s="105" t="str">
        <f>"["&amp;COLUMN()-COUNTBLANK($A$5:F5)&amp;"]"</f>
        <v>[6]</v>
      </c>
      <c r="H5" s="105" t="str">
        <f>"["&amp;COLUMN()-COUNTBLANK($A$5:G5)&amp;"]"</f>
        <v>[7]</v>
      </c>
      <c r="I5" s="105" t="str">
        <f>"["&amp;COLUMN()-COUNTBLANK($A$5:H5)&amp;"]"</f>
        <v>[8]</v>
      </c>
      <c r="J5" s="105" t="str">
        <f>"["&amp;COLUMN()-COUNTBLANK($A$5:I5)&amp;"]"</f>
        <v>[9]</v>
      </c>
    </row>
    <row r="6" spans="2:10" s="17" customFormat="1" ht="32">
      <c r="B6" s="119">
        <v>1</v>
      </c>
      <c r="C6" s="119" t="s">
        <v>165</v>
      </c>
      <c r="D6" s="119" t="str">
        <f>"Phiên Bản "&amp;C6</f>
        <v>Phiên Bản V_0.0 (EIE HAIPHONG)</v>
      </c>
      <c r="E6" s="120" t="s">
        <v>137</v>
      </c>
      <c r="F6" s="222" t="s">
        <v>138</v>
      </c>
      <c r="G6" s="119" t="s">
        <v>139</v>
      </c>
      <c r="H6" s="285">
        <v>44896</v>
      </c>
      <c r="I6" s="286" t="s">
        <v>166</v>
      </c>
      <c r="J6" s="287" t="s">
        <v>429</v>
      </c>
    </row>
    <row r="7" spans="2:10" s="17" customFormat="1" ht="48" outlineLevel="1">
      <c r="B7" s="129"/>
      <c r="C7" s="130" t="s">
        <v>91</v>
      </c>
      <c r="D7" s="130" t="s">
        <v>93</v>
      </c>
      <c r="E7" s="129" t="s">
        <v>95</v>
      </c>
      <c r="F7" s="129" t="s">
        <v>92</v>
      </c>
      <c r="G7" s="129"/>
      <c r="H7" s="288">
        <v>44902</v>
      </c>
      <c r="I7" s="289" t="s">
        <v>430</v>
      </c>
      <c r="J7" s="134" t="s">
        <v>431</v>
      </c>
    </row>
    <row r="8" spans="2:10" s="17" customFormat="1" outlineLevel="1">
      <c r="B8" s="131"/>
      <c r="C8" s="132"/>
      <c r="D8" s="132"/>
      <c r="E8" s="131"/>
      <c r="F8" s="131"/>
      <c r="G8" s="131"/>
      <c r="H8" s="133"/>
      <c r="I8" s="134"/>
      <c r="J8" s="131"/>
    </row>
    <row r="9" spans="2:10" s="17" customFormat="1" outlineLevel="1">
      <c r="B9" s="135"/>
      <c r="C9" s="135"/>
      <c r="D9" s="135"/>
      <c r="E9" s="135"/>
      <c r="F9" s="135"/>
      <c r="G9" s="135"/>
      <c r="H9" s="136"/>
      <c r="I9" s="135"/>
      <c r="J9" s="135"/>
    </row>
    <row r="10" spans="2:10" s="17" customFormat="1">
      <c r="B10" s="119"/>
      <c r="C10" s="119"/>
      <c r="D10" s="119"/>
      <c r="E10" s="120"/>
      <c r="F10" s="137"/>
      <c r="G10" s="119"/>
      <c r="H10" s="127"/>
      <c r="I10" s="120"/>
      <c r="J10" s="120"/>
    </row>
    <row r="11" spans="2:10" s="17" customFormat="1" outlineLevel="1">
      <c r="B11" s="138"/>
      <c r="C11" s="130"/>
      <c r="D11" s="130"/>
      <c r="E11" s="138"/>
      <c r="F11" s="129"/>
      <c r="G11" s="138"/>
      <c r="H11" s="139"/>
      <c r="I11" s="138"/>
      <c r="J11" s="138"/>
    </row>
    <row r="12" spans="2:10" outlineLevel="1">
      <c r="B12" s="111"/>
      <c r="C12" s="108"/>
      <c r="D12" s="108"/>
      <c r="E12" s="111"/>
      <c r="F12" s="107"/>
      <c r="G12" s="111"/>
      <c r="H12" s="126"/>
      <c r="I12" s="111"/>
      <c r="J12" s="111"/>
    </row>
    <row r="13" spans="2:10" outlineLevel="1">
      <c r="B13" s="109"/>
      <c r="C13" s="109"/>
      <c r="D13" s="109"/>
      <c r="E13" s="109"/>
      <c r="F13" s="109"/>
      <c r="G13" s="109"/>
      <c r="H13" s="124"/>
      <c r="I13" s="109"/>
      <c r="J13" s="109"/>
    </row>
    <row r="14" spans="2:10">
      <c r="B14" s="119"/>
      <c r="C14" s="119"/>
      <c r="D14" s="119"/>
      <c r="E14" s="120"/>
      <c r="F14" s="119"/>
      <c r="G14" s="119"/>
      <c r="H14" s="127"/>
      <c r="I14" s="120"/>
      <c r="J14" s="119"/>
    </row>
    <row r="15" spans="2:10" outlineLevel="1">
      <c r="B15" s="110"/>
      <c r="C15" s="112"/>
      <c r="D15" s="112"/>
      <c r="E15" s="110"/>
      <c r="F15" s="106"/>
      <c r="G15" s="110"/>
      <c r="H15" s="125"/>
      <c r="I15" s="113"/>
      <c r="J15" s="110"/>
    </row>
    <row r="16" spans="2:10" outlineLevel="1">
      <c r="B16" s="110"/>
      <c r="C16" s="112"/>
      <c r="D16" s="112"/>
      <c r="E16" s="110"/>
      <c r="F16" s="106"/>
      <c r="G16" s="110"/>
      <c r="H16" s="125"/>
      <c r="I16" s="113"/>
      <c r="J16" s="110"/>
    </row>
    <row r="17" spans="2:10" outlineLevel="1">
      <c r="B17" s="110"/>
      <c r="C17" s="112"/>
      <c r="D17" s="112"/>
      <c r="E17" s="110"/>
      <c r="F17" s="106"/>
      <c r="G17" s="110"/>
      <c r="H17" s="125"/>
      <c r="I17" s="113"/>
      <c r="J17" s="110"/>
    </row>
    <row r="18" spans="2:10" outlineLevel="1">
      <c r="B18" s="111"/>
      <c r="C18" s="114"/>
      <c r="D18" s="117"/>
      <c r="E18" s="111"/>
      <c r="F18" s="106"/>
      <c r="G18" s="110"/>
      <c r="H18" s="126"/>
      <c r="I18" s="115"/>
      <c r="J18" s="111"/>
    </row>
    <row r="19" spans="2:10" outlineLevel="1">
      <c r="B19" s="111"/>
      <c r="C19" s="114"/>
      <c r="D19" s="117"/>
      <c r="E19" s="111"/>
      <c r="F19" s="107"/>
      <c r="G19" s="111"/>
      <c r="H19" s="126"/>
      <c r="I19" s="115"/>
      <c r="J19" s="111"/>
    </row>
    <row r="20" spans="2:10" outlineLevel="1">
      <c r="B20" s="109"/>
      <c r="C20" s="109"/>
      <c r="D20" s="109"/>
      <c r="E20" s="109"/>
      <c r="F20" s="109"/>
      <c r="G20" s="109"/>
      <c r="H20" s="124"/>
      <c r="I20" s="109"/>
      <c r="J20" s="109"/>
    </row>
    <row r="21" spans="2:10">
      <c r="B21" s="116"/>
      <c r="C21" s="116"/>
      <c r="D21" s="116"/>
      <c r="E21" s="116"/>
      <c r="F21" s="116"/>
      <c r="G21" s="116"/>
      <c r="H21" s="128"/>
      <c r="I21" s="116"/>
      <c r="J21" s="116"/>
    </row>
    <row r="22" spans="2:10">
      <c r="B22" s="109"/>
      <c r="C22" s="109"/>
      <c r="D22" s="109"/>
      <c r="E22" s="109"/>
      <c r="F22" s="109"/>
      <c r="G22" s="109"/>
      <c r="H22" s="124"/>
      <c r="I22" s="109"/>
      <c r="J22" s="109"/>
    </row>
  </sheetData>
  <autoFilter ref="B5:J22" xr:uid="{00000000-0009-0000-0000-000000000000}"/>
  <mergeCells count="6">
    <mergeCell ref="J3:J4"/>
    <mergeCell ref="B3:B4"/>
    <mergeCell ref="C3:C4"/>
    <mergeCell ref="D3:D4"/>
    <mergeCell ref="F3:F4"/>
    <mergeCell ref="E3:E4"/>
  </mergeCells>
  <hyperlinks>
    <hyperlink ref="I6" r:id="rId1" xr:uid="{61F92744-3B94-4BF9-9E86-FEDF3E6C2442}"/>
    <hyperlink ref="I7" r:id="rId2" display="https://drive.google.com/file/d/1D_zacKh10_xXOkkL1KLWT1OtpNOFvh7B/view" xr:uid="{A2809039-6DB3-4B4B-BB69-49FED62596D7}"/>
  </hyperlinks>
  <pageMargins left="0.7" right="0.7" top="0.75" bottom="0.75" header="0.3" footer="0.3"/>
  <pageSetup paperSize="9" scale="50" fitToHeight="0" orientation="landscape" r:id="rId3"/>
  <headerFooter>
    <oddHeader>&amp;R&amp;16SX-QLDA/QT02.01/BM01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pageSetUpPr fitToPage="1"/>
  </sheetPr>
  <dimension ref="A1:J43"/>
  <sheetViews>
    <sheetView showZeros="0" view="pageBreakPreview" zoomScaleNormal="85" zoomScaleSheetLayoutView="100" workbookViewId="0">
      <pane ySplit="4" topLeftCell="A5" activePane="bottomLeft" state="frozen"/>
      <selection activeCell="V5" sqref="V5"/>
      <selection pane="bottomLeft" activeCell="V5" sqref="V5"/>
    </sheetView>
  </sheetViews>
  <sheetFormatPr baseColWidth="10" defaultColWidth="8.83203125" defaultRowHeight="15"/>
  <cols>
    <col min="2" max="2" width="17.5" customWidth="1"/>
    <col min="3" max="3" width="29.33203125" customWidth="1"/>
    <col min="4" max="4" width="25.6640625" customWidth="1"/>
    <col min="5" max="8" width="14.5" bestFit="1" customWidth="1"/>
    <col min="9" max="9" width="10" bestFit="1" customWidth="1"/>
    <col min="10" max="10" width="8.1640625" customWidth="1"/>
  </cols>
  <sheetData>
    <row r="1" spans="1:10" ht="32.5" customHeight="1">
      <c r="A1" s="15" t="s">
        <v>163</v>
      </c>
      <c r="J1" s="145"/>
    </row>
    <row r="2" spans="1:10" s="313" customFormat="1" ht="21">
      <c r="A2" s="314" t="s">
        <v>523</v>
      </c>
      <c r="J2" s="316"/>
    </row>
    <row r="3" spans="1:10">
      <c r="J3" s="312"/>
    </row>
    <row r="4" spans="1:10" ht="32">
      <c r="A4" s="58" t="s">
        <v>0</v>
      </c>
      <c r="B4" s="58" t="s">
        <v>18</v>
      </c>
      <c r="C4" s="58" t="s">
        <v>19</v>
      </c>
      <c r="D4" s="188" t="s">
        <v>143</v>
      </c>
      <c r="E4" s="59" t="s">
        <v>103</v>
      </c>
      <c r="F4" s="59" t="s">
        <v>54</v>
      </c>
      <c r="G4" s="59" t="s">
        <v>50</v>
      </c>
      <c r="H4" s="59" t="s">
        <v>56</v>
      </c>
      <c r="I4" s="11"/>
      <c r="J4" s="59" t="s">
        <v>167</v>
      </c>
    </row>
    <row r="5" spans="1:10">
      <c r="A5" s="64" t="s">
        <v>4</v>
      </c>
      <c r="B5" s="65" t="s">
        <v>511</v>
      </c>
      <c r="C5" s="65"/>
      <c r="D5" s="189"/>
      <c r="E5" s="192">
        <f>SUBTOTAL(9,E6:E20)</f>
        <v>15</v>
      </c>
      <c r="F5" s="66"/>
      <c r="G5" s="67"/>
      <c r="H5" s="67"/>
      <c r="I5" s="11"/>
      <c r="J5" s="192">
        <f>SUBTOTAL(9,J6:J20)</f>
        <v>15</v>
      </c>
    </row>
    <row r="6" spans="1:10" ht="16">
      <c r="A6" s="63"/>
      <c r="B6" s="62" t="s">
        <v>104</v>
      </c>
      <c r="C6" s="113" t="s">
        <v>327</v>
      </c>
      <c r="D6" s="63" t="s">
        <v>122</v>
      </c>
      <c r="E6" s="62">
        <f>SUM(I6:J6)</f>
        <v>1</v>
      </c>
      <c r="F6" s="63"/>
      <c r="G6" s="63"/>
      <c r="H6" s="63">
        <f>MATCH(B6,'B3. THKL THEO CKHD'!A:A,0)</f>
        <v>4</v>
      </c>
      <c r="J6" s="63">
        <f>SUMIFS(Matran!$H$8:$H$26,Matran!$F$8:$F$26,DM_CKDH!B6)</f>
        <v>1</v>
      </c>
    </row>
    <row r="7" spans="1:10" ht="16">
      <c r="A7" s="63"/>
      <c r="B7" s="62" t="s">
        <v>120</v>
      </c>
      <c r="C7" s="113" t="s">
        <v>516</v>
      </c>
      <c r="D7" s="63" t="s">
        <v>122</v>
      </c>
      <c r="E7" s="62">
        <f>SUM(I7:J7)</f>
        <v>1</v>
      </c>
      <c r="F7" s="63"/>
      <c r="G7" s="63"/>
      <c r="H7" s="63">
        <f>MATCH(B7,'B3. THKL THEO CKHD'!A:A,0)</f>
        <v>16</v>
      </c>
      <c r="J7" s="63">
        <f>SUMIFS(Matran!$H$8:$H$26,Matran!$F$8:$F$26,DM_CKDH!B7)</f>
        <v>1</v>
      </c>
    </row>
    <row r="8" spans="1:10" ht="32">
      <c r="A8" s="61"/>
      <c r="B8" s="62" t="s">
        <v>105</v>
      </c>
      <c r="C8" s="303" t="s">
        <v>498</v>
      </c>
      <c r="D8" s="63" t="s">
        <v>147</v>
      </c>
      <c r="E8" s="62">
        <f t="shared" ref="E8:E19" si="0">SUM(I8:J8)</f>
        <v>1</v>
      </c>
      <c r="F8" s="62"/>
      <c r="G8" s="63"/>
      <c r="H8" s="63">
        <f>MATCH(B8,'B3. THKL THEO CKHD'!A:A,0)</f>
        <v>28</v>
      </c>
      <c r="J8" s="63">
        <f>SUMIFS(Matran!$H$8:$H$26,Matran!$F$8:$F$26,DM_CKDH!B8)</f>
        <v>1</v>
      </c>
    </row>
    <row r="9" spans="1:10" ht="16">
      <c r="A9" s="63"/>
      <c r="B9" s="62" t="s">
        <v>508</v>
      </c>
      <c r="C9" s="113" t="s">
        <v>316</v>
      </c>
      <c r="D9" s="63" t="s">
        <v>318</v>
      </c>
      <c r="E9" s="62">
        <f>SUM(I9:J9)</f>
        <v>1</v>
      </c>
      <c r="F9" s="62"/>
      <c r="G9" s="63"/>
      <c r="H9" s="63">
        <f>MATCH(B9,'B3. THKL THEO CKHD'!A:A,0)</f>
        <v>39</v>
      </c>
      <c r="J9" s="63">
        <f>SUMIFS(Matran!$H$8:$H$26,Matran!$F$8:$F$26,DM_CKDH!B9)</f>
        <v>1</v>
      </c>
    </row>
    <row r="10" spans="1:10" ht="16">
      <c r="A10" s="61"/>
      <c r="B10" s="62" t="s">
        <v>106</v>
      </c>
      <c r="C10" s="303" t="s">
        <v>499</v>
      </c>
      <c r="D10" s="63" t="s">
        <v>144</v>
      </c>
      <c r="E10" s="62">
        <f t="shared" si="0"/>
        <v>1</v>
      </c>
      <c r="F10" s="62"/>
      <c r="G10" s="63"/>
      <c r="H10" s="63">
        <f>MATCH(B10,'B3. THKL THEO CKHD'!A:A,0)</f>
        <v>48</v>
      </c>
      <c r="J10" s="63">
        <f>SUMIFS(Matran!$H$8:$H$26,Matran!$F$8:$F$26,DM_CKDH!B10)</f>
        <v>1</v>
      </c>
    </row>
    <row r="11" spans="1:10" ht="16">
      <c r="A11" s="61"/>
      <c r="B11" s="62" t="s">
        <v>107</v>
      </c>
      <c r="C11" s="303" t="s">
        <v>500</v>
      </c>
      <c r="D11" s="63" t="s">
        <v>101</v>
      </c>
      <c r="E11" s="62">
        <f t="shared" si="0"/>
        <v>1</v>
      </c>
      <c r="F11" s="62"/>
      <c r="G11" s="63"/>
      <c r="H11" s="63">
        <f>MATCH(B11,'B3. THKL THEO CKHD'!A:A,0)</f>
        <v>58</v>
      </c>
      <c r="J11" s="63">
        <f>SUMIFS(Matran!$H$8:$H$26,Matran!$F$8:$F$26,DM_CKDH!B11)</f>
        <v>1</v>
      </c>
    </row>
    <row r="12" spans="1:10" ht="16">
      <c r="A12" s="61"/>
      <c r="B12" s="62" t="s">
        <v>108</v>
      </c>
      <c r="C12" s="303" t="s">
        <v>501</v>
      </c>
      <c r="D12" s="63" t="s">
        <v>126</v>
      </c>
      <c r="E12" s="62">
        <f t="shared" si="0"/>
        <v>1</v>
      </c>
      <c r="F12" s="62"/>
      <c r="G12" s="63"/>
      <c r="H12" s="63">
        <f>MATCH(B12,'B3. THKL THEO CKHD'!A:A,0)</f>
        <v>71</v>
      </c>
      <c r="J12" s="63">
        <f>SUMIFS(Matran!$H$8:$H$26,Matran!$F$8:$F$26,DM_CKDH!B12)</f>
        <v>1</v>
      </c>
    </row>
    <row r="13" spans="1:10" ht="16">
      <c r="A13" s="61"/>
      <c r="B13" s="62" t="s">
        <v>109</v>
      </c>
      <c r="C13" s="303" t="s">
        <v>502</v>
      </c>
      <c r="D13" s="63" t="s">
        <v>128</v>
      </c>
      <c r="E13" s="62">
        <f t="shared" si="0"/>
        <v>1</v>
      </c>
      <c r="F13" s="62"/>
      <c r="G13" s="63"/>
      <c r="H13" s="63">
        <f>MATCH(B13,'B3. THKL THEO CKHD'!A:A,0)</f>
        <v>81</v>
      </c>
      <c r="J13" s="63">
        <f>SUMIFS(Matran!$H$8:$H$26,Matran!$F$8:$F$26,DM_CKDH!B13)</f>
        <v>1</v>
      </c>
    </row>
    <row r="14" spans="1:10" ht="16">
      <c r="A14" s="63"/>
      <c r="B14" s="62" t="s">
        <v>328</v>
      </c>
      <c r="C14" s="303" t="s">
        <v>503</v>
      </c>
      <c r="D14" s="63" t="s">
        <v>128</v>
      </c>
      <c r="E14" s="62">
        <f t="shared" ref="E14:E16" si="1">SUM(I14:J14)</f>
        <v>1</v>
      </c>
      <c r="F14" s="62"/>
      <c r="G14" s="63"/>
      <c r="H14" s="63">
        <f>MATCH(B14,'B3. THKL THEO CKHD'!A:A,0)</f>
        <v>97</v>
      </c>
      <c r="J14" s="63">
        <f>SUMIFS(Matran!$H$8:$H$26,Matran!$F$8:$F$26,DM_CKDH!B14)</f>
        <v>1</v>
      </c>
    </row>
    <row r="15" spans="1:10" ht="16">
      <c r="A15" s="63"/>
      <c r="B15" s="62" t="s">
        <v>329</v>
      </c>
      <c r="C15" s="303" t="s">
        <v>504</v>
      </c>
      <c r="D15" s="63" t="s">
        <v>128</v>
      </c>
      <c r="E15" s="62">
        <f t="shared" si="1"/>
        <v>1</v>
      </c>
      <c r="F15" s="62"/>
      <c r="G15" s="63"/>
      <c r="H15" s="63">
        <f>MATCH(B15,'B3. THKL THEO CKHD'!A:A,0)</f>
        <v>113</v>
      </c>
      <c r="J15" s="63">
        <f>SUMIFS(Matran!$H$8:$H$26,Matran!$F$8:$F$26,DM_CKDH!B15)</f>
        <v>1</v>
      </c>
    </row>
    <row r="16" spans="1:10" ht="16">
      <c r="A16" s="63"/>
      <c r="B16" s="62" t="s">
        <v>330</v>
      </c>
      <c r="C16" s="303" t="s">
        <v>505</v>
      </c>
      <c r="D16" s="63" t="s">
        <v>128</v>
      </c>
      <c r="E16" s="62">
        <f t="shared" si="1"/>
        <v>1</v>
      </c>
      <c r="F16" s="62"/>
      <c r="G16" s="63"/>
      <c r="H16" s="63">
        <f>MATCH(B16,'B3. THKL THEO CKHD'!A:A,0)</f>
        <v>129</v>
      </c>
      <c r="J16" s="63">
        <f>SUMIFS(Matran!$H$8:$H$26,Matran!$F$8:$F$26,DM_CKDH!B16)</f>
        <v>1</v>
      </c>
    </row>
    <row r="17" spans="1:10" ht="16">
      <c r="A17" s="61"/>
      <c r="B17" s="62" t="s">
        <v>110</v>
      </c>
      <c r="C17" s="303" t="s">
        <v>331</v>
      </c>
      <c r="D17" s="63" t="s">
        <v>145</v>
      </c>
      <c r="E17" s="62">
        <f t="shared" si="0"/>
        <v>1</v>
      </c>
      <c r="F17" s="62"/>
      <c r="G17" s="63"/>
      <c r="H17" s="63">
        <f>MATCH(B17,'B3. THKL THEO CKHD'!A:A,0)</f>
        <v>145</v>
      </c>
      <c r="J17" s="63">
        <f>SUMIFS(Matran!$H$8:$H$26,Matran!$F$8:$F$26,DM_CKDH!B17)</f>
        <v>1</v>
      </c>
    </row>
    <row r="18" spans="1:10" ht="16">
      <c r="A18" s="61"/>
      <c r="B18" s="62" t="s">
        <v>111</v>
      </c>
      <c r="C18" s="303" t="s">
        <v>332</v>
      </c>
      <c r="D18" s="63" t="s">
        <v>146</v>
      </c>
      <c r="E18" s="62">
        <f t="shared" si="0"/>
        <v>1</v>
      </c>
      <c r="F18" s="62"/>
      <c r="G18" s="63"/>
      <c r="H18" s="63">
        <f>MATCH(B18,'B3. THKL THEO CKHD'!A:A,0)</f>
        <v>152</v>
      </c>
      <c r="J18" s="63">
        <f>SUMIFS(Matran!$H$8:$H$26,Matran!$F$8:$F$26,DM_CKDH!B18)</f>
        <v>1</v>
      </c>
    </row>
    <row r="19" spans="1:10" ht="16">
      <c r="A19" s="68"/>
      <c r="B19" s="62" t="s">
        <v>314</v>
      </c>
      <c r="C19" s="303" t="s">
        <v>506</v>
      </c>
      <c r="D19" s="63" t="s">
        <v>315</v>
      </c>
      <c r="E19" s="62">
        <f t="shared" si="0"/>
        <v>1</v>
      </c>
      <c r="F19" s="62"/>
      <c r="G19" s="63"/>
      <c r="H19" s="63">
        <f>MATCH(B19,'B3. THKL THEO CKHD'!A:A,0)</f>
        <v>160</v>
      </c>
      <c r="J19" s="63">
        <f>SUMIFS(Matran!$H$8:$H$26,Matran!$F$8:$F$26,DM_CKDH!B19)</f>
        <v>1</v>
      </c>
    </row>
    <row r="20" spans="1:10" ht="16">
      <c r="A20" s="302"/>
      <c r="B20" s="62" t="s">
        <v>317</v>
      </c>
      <c r="C20" s="303" t="s">
        <v>507</v>
      </c>
      <c r="D20" s="63" t="s">
        <v>315</v>
      </c>
      <c r="E20" s="62">
        <f t="shared" ref="E20" si="2">SUM(I20:J20)</f>
        <v>1</v>
      </c>
      <c r="F20" s="62"/>
      <c r="G20" s="63"/>
      <c r="H20" s="63">
        <f>MATCH(B20,'B3. THKL THEO CKHD'!A:A,0)</f>
        <v>190</v>
      </c>
      <c r="J20" s="63">
        <f>SUMIFS(Matran!$H$8:$H$26,Matran!$F$8:$F$26,DM_CKDH!B20)</f>
        <v>1</v>
      </c>
    </row>
    <row r="21" spans="1:10">
      <c r="A21" s="64" t="s">
        <v>6</v>
      </c>
      <c r="B21" s="65" t="s">
        <v>487</v>
      </c>
      <c r="C21" s="65"/>
      <c r="D21" s="189"/>
      <c r="E21" s="192">
        <f>SUBTOTAL(9,E22:E26)</f>
        <v>5</v>
      </c>
      <c r="F21" s="66"/>
      <c r="G21" s="67"/>
      <c r="H21" s="67"/>
      <c r="I21" s="11"/>
      <c r="J21" s="192">
        <f>SUBTOTAL(9,J22:J26)</f>
        <v>5</v>
      </c>
    </row>
    <row r="22" spans="1:10">
      <c r="A22" s="63"/>
      <c r="B22" s="62" t="s">
        <v>488</v>
      </c>
      <c r="C22" s="63" t="s">
        <v>493</v>
      </c>
      <c r="D22" s="63" t="s">
        <v>122</v>
      </c>
      <c r="E22" s="62">
        <f>SUM(I22:J22)</f>
        <v>1</v>
      </c>
      <c r="F22" s="63"/>
      <c r="G22" s="63"/>
      <c r="H22" s="63">
        <f>MATCH(B22,'B3. THKL THEO CKHD'!A:A,0)</f>
        <v>220</v>
      </c>
      <c r="J22" s="63">
        <f>SUMIFS(Matran!$H$8:$H$50,Matran!$F$8:$F$50,DM_CKDH!B22)</f>
        <v>1</v>
      </c>
    </row>
    <row r="23" spans="1:10" ht="16">
      <c r="A23" s="61"/>
      <c r="B23" s="62" t="s">
        <v>489</v>
      </c>
      <c r="C23" s="252" t="s">
        <v>494</v>
      </c>
      <c r="D23" s="63" t="s">
        <v>147</v>
      </c>
      <c r="E23" s="62">
        <f t="shared" ref="E23" si="3">SUM(I23:J23)</f>
        <v>1</v>
      </c>
      <c r="F23" s="62"/>
      <c r="G23" s="63"/>
      <c r="H23" s="63">
        <f>MATCH(B23,'B3. THKL THEO CKHD'!A:A,0)</f>
        <v>238</v>
      </c>
      <c r="J23" s="63">
        <f>SUMIFS(Matran!$H$8:$H$50,Matran!$F$8:$F$50,DM_CKDH!B23)</f>
        <v>1</v>
      </c>
    </row>
    <row r="24" spans="1:10">
      <c r="A24" s="61"/>
      <c r="B24" s="62" t="s">
        <v>490</v>
      </c>
      <c r="C24" s="62" t="s">
        <v>495</v>
      </c>
      <c r="D24" s="63" t="s">
        <v>144</v>
      </c>
      <c r="E24" s="62">
        <f t="shared" ref="E24:E30" si="4">SUM(I24:J24)</f>
        <v>1</v>
      </c>
      <c r="F24" s="62"/>
      <c r="G24" s="63"/>
      <c r="H24" s="63">
        <f>MATCH(B24,'B3. THKL THEO CKHD'!A:A,0)</f>
        <v>249</v>
      </c>
      <c r="J24" s="63">
        <f>SUMIFS(Matran!$H$8:$H$50,Matran!$F$8:$F$50,DM_CKDH!B24)</f>
        <v>1</v>
      </c>
    </row>
    <row r="25" spans="1:10">
      <c r="A25" s="61"/>
      <c r="B25" s="62" t="s">
        <v>491</v>
      </c>
      <c r="C25" s="62" t="s">
        <v>496</v>
      </c>
      <c r="D25" s="63" t="s">
        <v>101</v>
      </c>
      <c r="E25" s="62">
        <f t="shared" si="4"/>
        <v>1</v>
      </c>
      <c r="F25" s="62"/>
      <c r="G25" s="63"/>
      <c r="H25" s="63">
        <f>MATCH(B25,'B3. THKL THEO CKHD'!A:A,0)</f>
        <v>259</v>
      </c>
      <c r="J25" s="63">
        <f>SUMIFS(Matran!$H$8:$H$50,Matran!$F$8:$F$50,DM_CKDH!B25)</f>
        <v>1</v>
      </c>
    </row>
    <row r="26" spans="1:10">
      <c r="A26" s="61"/>
      <c r="B26" s="62" t="s">
        <v>492</v>
      </c>
      <c r="C26" s="62" t="s">
        <v>497</v>
      </c>
      <c r="D26" s="63" t="s">
        <v>128</v>
      </c>
      <c r="E26" s="62">
        <f t="shared" si="4"/>
        <v>1</v>
      </c>
      <c r="F26" s="62"/>
      <c r="G26" s="63"/>
      <c r="H26" s="63">
        <f>MATCH(B26,'B3. THKL THEO CKHD'!A:A,0)</f>
        <v>272</v>
      </c>
      <c r="J26" s="63">
        <f>SUMIFS(Matran!$H$8:$H$50,Matran!$F$8:$F$50,DM_CKDH!B26)</f>
        <v>1</v>
      </c>
    </row>
    <row r="27" spans="1:10">
      <c r="A27" s="64" t="s">
        <v>7</v>
      </c>
      <c r="B27" s="65" t="s">
        <v>827</v>
      </c>
      <c r="C27" s="65"/>
      <c r="D27" s="189"/>
      <c r="E27" s="192">
        <f>SUBTOTAL(9,E28:E31)</f>
        <v>3</v>
      </c>
      <c r="F27" s="66"/>
      <c r="G27" s="67"/>
      <c r="H27" s="67"/>
      <c r="I27" s="11"/>
      <c r="J27" s="192">
        <f>SUBTOTAL(9,J28:J31)</f>
        <v>3</v>
      </c>
    </row>
    <row r="28" spans="1:10" ht="16">
      <c r="A28" s="68"/>
      <c r="B28" s="62" t="s">
        <v>831</v>
      </c>
      <c r="C28" s="303" t="s">
        <v>844</v>
      </c>
      <c r="D28" s="63" t="s">
        <v>425</v>
      </c>
      <c r="E28" s="62">
        <f t="shared" si="4"/>
        <v>1</v>
      </c>
      <c r="F28" s="62"/>
      <c r="G28" s="63"/>
      <c r="H28" s="63" t="e">
        <f>MATCH(B28,'B3. THKL THEO CKHD'!A:A,0)</f>
        <v>#N/A</v>
      </c>
      <c r="J28" s="63">
        <f>SUMIFS(Matran!$H$8:$H$50,Matran!$F$8:$F$50,DM_CKDH!B28)</f>
        <v>1</v>
      </c>
    </row>
    <row r="29" spans="1:10" ht="16">
      <c r="A29" s="68"/>
      <c r="B29" s="62" t="s">
        <v>832</v>
      </c>
      <c r="C29" s="303" t="s">
        <v>845</v>
      </c>
      <c r="D29" s="63" t="s">
        <v>425</v>
      </c>
      <c r="E29" s="62">
        <f t="shared" si="4"/>
        <v>1</v>
      </c>
      <c r="F29" s="62"/>
      <c r="G29" s="63"/>
      <c r="H29" s="63" t="e">
        <f>MATCH(B29,'B3. THKL THEO CKHD'!A:A,0)</f>
        <v>#N/A</v>
      </c>
      <c r="J29" s="63">
        <f>SUMIFS(Matran!$H$8:$H$50,Matran!$F$8:$F$50,DM_CKDH!B29)</f>
        <v>1</v>
      </c>
    </row>
    <row r="30" spans="1:10" ht="16">
      <c r="A30" s="60"/>
      <c r="B30" s="62" t="s">
        <v>833</v>
      </c>
      <c r="C30" s="303" t="s">
        <v>846</v>
      </c>
      <c r="D30" s="63" t="s">
        <v>425</v>
      </c>
      <c r="E30" s="62">
        <f t="shared" si="4"/>
        <v>1</v>
      </c>
      <c r="F30" s="18"/>
      <c r="G30" s="18"/>
      <c r="H30" s="63" t="e">
        <f>MATCH(B30,'B3. THKL THEO CKHD'!A:A,0)</f>
        <v>#N/A</v>
      </c>
      <c r="J30" s="63">
        <f>SUMIFS(Matran!$H$8:$H$50,Matran!$F$8:$F$50,DM_CKDH!B30)</f>
        <v>1</v>
      </c>
    </row>
    <row r="31" spans="1:10">
      <c r="A31" s="60"/>
      <c r="B31" s="18"/>
      <c r="C31" s="305"/>
      <c r="D31" s="18"/>
      <c r="E31" s="18"/>
      <c r="F31" s="18"/>
      <c r="G31" s="18"/>
      <c r="H31" s="18"/>
      <c r="J31" s="18"/>
    </row>
    <row r="32" spans="1:10">
      <c r="A32" s="64" t="s">
        <v>7</v>
      </c>
      <c r="B32" s="65" t="s">
        <v>828</v>
      </c>
      <c r="C32" s="65"/>
      <c r="D32" s="189"/>
      <c r="E32" s="192">
        <f>SUBTOTAL(9,E33:E33)</f>
        <v>1</v>
      </c>
      <c r="F32" s="66"/>
      <c r="G32" s="67"/>
      <c r="H32" s="67"/>
      <c r="I32" s="11"/>
      <c r="J32" s="192">
        <f>SUBTOTAL(9,J33:J33)</f>
        <v>1</v>
      </c>
    </row>
    <row r="33" spans="1:10" ht="16">
      <c r="A33" s="68"/>
      <c r="B33" s="62" t="s">
        <v>834</v>
      </c>
      <c r="C33" s="303" t="s">
        <v>843</v>
      </c>
      <c r="D33" s="63" t="s">
        <v>425</v>
      </c>
      <c r="E33" s="62">
        <f t="shared" ref="E33" si="5">SUM(I33:J33)</f>
        <v>1</v>
      </c>
      <c r="F33" s="62"/>
      <c r="G33" s="63"/>
      <c r="H33" s="63" t="e">
        <f>MATCH(B33,'B3. THKL THEO CKHD'!A:A,0)</f>
        <v>#N/A</v>
      </c>
      <c r="J33" s="63">
        <f>SUMIFS(Matran!$H$8:$H$50,Matran!$F$8:$F$50,DM_CKDH!B33)</f>
        <v>1</v>
      </c>
    </row>
    <row r="34" spans="1:10">
      <c r="A34" s="60"/>
      <c r="B34" s="18"/>
      <c r="C34" s="305"/>
      <c r="D34" s="18"/>
      <c r="E34" s="18"/>
      <c r="F34" s="18"/>
      <c r="G34" s="18"/>
      <c r="H34" s="18"/>
      <c r="J34" s="18"/>
    </row>
    <row r="35" spans="1:10">
      <c r="A35" s="64" t="s">
        <v>8</v>
      </c>
      <c r="B35" s="65" t="s">
        <v>835</v>
      </c>
      <c r="C35" s="65"/>
      <c r="D35" s="189"/>
      <c r="E35" s="192">
        <f>SUBTOTAL(9,E36:E36)</f>
        <v>1</v>
      </c>
      <c r="F35" s="66"/>
      <c r="G35" s="67"/>
      <c r="H35" s="67"/>
      <c r="I35" s="11"/>
      <c r="J35" s="192">
        <f>SUBTOTAL(9,J36:J36)</f>
        <v>1</v>
      </c>
    </row>
    <row r="36" spans="1:10" ht="16">
      <c r="A36" s="68"/>
      <c r="B36" s="62" t="s">
        <v>836</v>
      </c>
      <c r="C36" s="303" t="s">
        <v>842</v>
      </c>
      <c r="D36" s="63" t="s">
        <v>425</v>
      </c>
      <c r="E36" s="62">
        <f t="shared" ref="E36" si="6">SUM(I36:J36)</f>
        <v>1</v>
      </c>
      <c r="F36" s="62"/>
      <c r="G36" s="63"/>
      <c r="H36" s="63" t="e">
        <f>MATCH(B36,'B3. THKL THEO CKHD'!A:A,0)</f>
        <v>#N/A</v>
      </c>
      <c r="J36" s="63">
        <f>SUMIFS(Matran!$H$8:$H$50,Matran!$F$8:$F$50,DM_CKDH!B36)</f>
        <v>1</v>
      </c>
    </row>
    <row r="37" spans="1:10">
      <c r="A37" s="60"/>
      <c r="B37" s="18"/>
      <c r="C37" s="305"/>
      <c r="D37" s="18"/>
      <c r="E37" s="18"/>
      <c r="F37" s="18"/>
      <c r="G37" s="18"/>
      <c r="H37" s="18"/>
      <c r="J37" s="18"/>
    </row>
    <row r="38" spans="1:10">
      <c r="A38" s="64" t="s">
        <v>830</v>
      </c>
      <c r="B38" s="65" t="s">
        <v>837</v>
      </c>
      <c r="C38" s="65"/>
      <c r="D38" s="189"/>
      <c r="E38" s="192">
        <f>SUBTOTAL(9,E39:E39)</f>
        <v>1</v>
      </c>
      <c r="F38" s="66"/>
      <c r="G38" s="67"/>
      <c r="H38" s="67"/>
      <c r="I38" s="11"/>
      <c r="J38" s="192">
        <f>SUBTOTAL(9,J39:J39)</f>
        <v>1</v>
      </c>
    </row>
    <row r="39" spans="1:10" ht="16">
      <c r="A39" s="68"/>
      <c r="B39" s="62" t="s">
        <v>848</v>
      </c>
      <c r="C39" s="303" t="s">
        <v>838</v>
      </c>
      <c r="D39" s="63" t="s">
        <v>425</v>
      </c>
      <c r="E39" s="62">
        <f t="shared" ref="E39" si="7">SUM(I39:J39)</f>
        <v>1</v>
      </c>
      <c r="F39" s="62"/>
      <c r="G39" s="63"/>
      <c r="H39" s="63" t="e">
        <f>MATCH(B39,'B3. THKL THEO CKHD'!A:A,0)</f>
        <v>#N/A</v>
      </c>
      <c r="J39" s="63">
        <f>SUMIFS(Matran!$H$8:$H$50,Matran!$F$8:$F$50,DM_CKDH!B39)</f>
        <v>1</v>
      </c>
    </row>
    <row r="40" spans="1:10">
      <c r="A40" s="60"/>
      <c r="B40" s="18"/>
      <c r="C40" s="305"/>
      <c r="D40" s="18"/>
      <c r="E40" s="18"/>
      <c r="F40" s="18"/>
      <c r="G40" s="18"/>
      <c r="H40" s="18"/>
      <c r="J40" s="18"/>
    </row>
    <row r="41" spans="1:10">
      <c r="A41" s="64" t="s">
        <v>830</v>
      </c>
      <c r="B41" s="65" t="s">
        <v>425</v>
      </c>
      <c r="C41" s="65"/>
      <c r="D41" s="189"/>
      <c r="E41" s="192">
        <f>SUBTOTAL(9,E42:E43)</f>
        <v>1</v>
      </c>
      <c r="F41" s="66"/>
      <c r="G41" s="67"/>
      <c r="H41" s="67"/>
      <c r="I41" s="11"/>
      <c r="J41" s="192">
        <f>SUBTOTAL(9,J42:J43)</f>
        <v>1</v>
      </c>
    </row>
    <row r="42" spans="1:10" ht="16">
      <c r="A42" s="68"/>
      <c r="B42" s="62" t="s">
        <v>426</v>
      </c>
      <c r="C42" s="303" t="s">
        <v>580</v>
      </c>
      <c r="D42" s="63" t="s">
        <v>425</v>
      </c>
      <c r="E42" s="62">
        <f t="shared" ref="E42" si="8">SUM(I42:J42)</f>
        <v>1</v>
      </c>
      <c r="F42" s="62"/>
      <c r="G42" s="63"/>
      <c r="H42" s="63">
        <f>MATCH(B42,'B3. THKL THEO CKHD'!A:A,0)</f>
        <v>288</v>
      </c>
      <c r="J42" s="63">
        <f>SUMIFS(Matran!$H$8:$H$50,Matran!$F$8:$F$50,DM_CKDH!B42)</f>
        <v>1</v>
      </c>
    </row>
    <row r="43" spans="1:10">
      <c r="A43" s="68"/>
      <c r="B43" s="62"/>
      <c r="C43" s="303"/>
      <c r="D43" s="63"/>
      <c r="E43" s="62"/>
      <c r="F43" s="62"/>
      <c r="G43" s="63"/>
      <c r="H43" s="63"/>
      <c r="J43" s="63"/>
    </row>
  </sheetData>
  <autoFilter ref="A4:J43" xr:uid="{00000000-0001-0000-0600-000000000000}"/>
  <phoneticPr fontId="19" type="noConversion"/>
  <pageMargins left="0.7" right="0.7" top="0.75" bottom="0.75" header="0.3" footer="0.3"/>
  <pageSetup paperSize="9" scale="52" fitToHeight="0" orientation="portrait" r:id="rId1"/>
  <headerFooter>
    <oddHeader>&amp;R&amp;"-,Bold"&amp;14SX-QLDA/QT02.01/BM03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>
    <outlinePr summaryBelow="0"/>
    <pageSetUpPr fitToPage="1"/>
  </sheetPr>
  <dimension ref="A1:V50"/>
  <sheetViews>
    <sheetView view="pageBreakPreview" zoomScale="70" zoomScaleNormal="70" zoomScaleSheetLayoutView="70" zoomScalePageLayoutView="40" workbookViewId="0">
      <pane xSplit="8" ySplit="7" topLeftCell="K8" activePane="bottomRight" state="frozen"/>
      <selection activeCell="V5" sqref="V5"/>
      <selection pane="topRight" activeCell="V5" sqref="V5"/>
      <selection pane="bottomLeft" activeCell="V5" sqref="V5"/>
      <selection pane="bottomRight" activeCell="V5" sqref="V5"/>
    </sheetView>
  </sheetViews>
  <sheetFormatPr baseColWidth="10" defaultColWidth="8.83203125" defaultRowHeight="15"/>
  <cols>
    <col min="1" max="1" width="7.6640625" customWidth="1"/>
    <col min="2" max="2" width="8.83203125" customWidth="1"/>
    <col min="3" max="3" width="15.5" bestFit="1" customWidth="1"/>
    <col min="4" max="4" width="11.83203125" customWidth="1"/>
    <col min="5" max="5" width="36" customWidth="1"/>
    <col min="6" max="6" width="12.1640625" customWidth="1"/>
    <col min="7" max="7" width="9.5" customWidth="1"/>
    <col min="8" max="8" width="7.33203125" customWidth="1"/>
    <col min="9" max="9" width="5.1640625" customWidth="1"/>
    <col min="10" max="10" width="18.5" customWidth="1"/>
    <col min="11" max="11" width="18.1640625" customWidth="1"/>
    <col min="12" max="13" width="16.83203125" bestFit="1" customWidth="1"/>
    <col min="14" max="14" width="17.5" bestFit="1" customWidth="1"/>
    <col min="15" max="16" width="17.5" customWidth="1"/>
    <col min="17" max="22" width="16.1640625" customWidth="1"/>
  </cols>
  <sheetData>
    <row r="1" spans="1:22" ht="26">
      <c r="A1" s="21" t="s">
        <v>428</v>
      </c>
      <c r="B1" s="15"/>
      <c r="C1" s="15"/>
      <c r="D1" s="15"/>
    </row>
    <row r="2" spans="1:22" ht="26">
      <c r="A2" s="69"/>
      <c r="B2" s="15"/>
      <c r="C2" s="15"/>
      <c r="D2" s="15"/>
      <c r="E2" s="11"/>
    </row>
    <row r="3" spans="1:22">
      <c r="A3" s="11"/>
      <c r="B3" s="11"/>
      <c r="C3" s="11"/>
      <c r="D3" s="11"/>
      <c r="E3" s="11"/>
    </row>
    <row r="4" spans="1:22">
      <c r="A4" s="438" t="s">
        <v>0</v>
      </c>
      <c r="B4" s="19" t="s">
        <v>3</v>
      </c>
      <c r="C4" s="20"/>
      <c r="D4" s="37"/>
      <c r="E4" s="438" t="s">
        <v>55</v>
      </c>
      <c r="F4" s="440" t="s">
        <v>47</v>
      </c>
      <c r="G4" s="38"/>
      <c r="H4" s="38"/>
      <c r="I4" s="12" t="s">
        <v>0</v>
      </c>
      <c r="J4" s="147">
        <v>1</v>
      </c>
      <c r="K4" s="34">
        <v>2</v>
      </c>
      <c r="L4" s="147">
        <v>3</v>
      </c>
      <c r="M4" s="147">
        <v>5</v>
      </c>
      <c r="N4" s="34">
        <v>6</v>
      </c>
      <c r="O4" s="147">
        <v>7</v>
      </c>
      <c r="P4" s="34">
        <v>8</v>
      </c>
      <c r="Q4" s="147">
        <v>9</v>
      </c>
      <c r="R4" s="147">
        <v>10</v>
      </c>
      <c r="S4" s="147">
        <v>11</v>
      </c>
      <c r="T4" s="147">
        <v>12</v>
      </c>
      <c r="U4" s="147">
        <v>13</v>
      </c>
      <c r="V4" s="34">
        <v>14</v>
      </c>
    </row>
    <row r="5" spans="1:22" ht="16">
      <c r="A5" s="439"/>
      <c r="B5" s="39" t="s">
        <v>16</v>
      </c>
      <c r="C5" s="40" t="s">
        <v>148</v>
      </c>
      <c r="D5" s="22" t="s">
        <v>0</v>
      </c>
      <c r="E5" s="439"/>
      <c r="F5" s="441"/>
      <c r="G5" s="39" t="s">
        <v>121</v>
      </c>
      <c r="H5" s="39" t="s">
        <v>154</v>
      </c>
      <c r="I5" s="12" t="s">
        <v>149</v>
      </c>
      <c r="J5" s="38" t="s">
        <v>510</v>
      </c>
      <c r="K5" s="311" t="s">
        <v>510</v>
      </c>
      <c r="L5" s="38" t="s">
        <v>515</v>
      </c>
      <c r="M5" s="38" t="s">
        <v>515</v>
      </c>
      <c r="N5" s="38" t="s">
        <v>515</v>
      </c>
      <c r="O5" s="393" t="s">
        <v>840</v>
      </c>
      <c r="P5" s="393" t="s">
        <v>840</v>
      </c>
      <c r="Q5" s="38" t="s">
        <v>841</v>
      </c>
      <c r="R5" s="393" t="s">
        <v>509</v>
      </c>
      <c r="S5" s="393" t="s">
        <v>509</v>
      </c>
      <c r="T5" s="393" t="str">
        <f>IF(T2&lt;&gt;"",LEFT(SUBSTITUTE(T2,".","@",T4),FIND("@",SUBSTITUTE(T2,".","@",T4))-1),IF(S2="",S5,S2))</f>
        <v>1.40012.C.20.01.01</v>
      </c>
      <c r="U5" s="393" t="str">
        <f>IF(U2&lt;&gt;"",LEFT(SUBSTITUTE(U2,".","@",U4),FIND("@",SUBSTITUTE(U2,".","@",U4))-1),IF(T2="",T5,T2))</f>
        <v>1.40012.C.20.01.01</v>
      </c>
      <c r="V5" s="38" t="s">
        <v>825</v>
      </c>
    </row>
    <row r="6" spans="1:22" ht="16">
      <c r="A6" s="23"/>
      <c r="B6" s="24"/>
      <c r="C6" s="24"/>
      <c r="D6" s="24"/>
      <c r="E6" s="23"/>
      <c r="F6" s="23"/>
      <c r="G6" s="23"/>
      <c r="H6" s="23"/>
      <c r="I6" s="12" t="s">
        <v>150</v>
      </c>
      <c r="J6" s="306" t="s">
        <v>817</v>
      </c>
      <c r="K6" s="307" t="s">
        <v>818</v>
      </c>
      <c r="L6" s="306" t="s">
        <v>819</v>
      </c>
      <c r="M6" s="306" t="s">
        <v>820</v>
      </c>
      <c r="N6" s="307" t="s">
        <v>821</v>
      </c>
      <c r="O6" s="394" t="s">
        <v>822</v>
      </c>
      <c r="P6" s="394" t="s">
        <v>823</v>
      </c>
      <c r="Q6" s="307" t="s">
        <v>824</v>
      </c>
      <c r="R6" s="394" t="s">
        <v>827</v>
      </c>
      <c r="S6" s="394" t="s">
        <v>828</v>
      </c>
      <c r="T6" s="393" t="s">
        <v>829</v>
      </c>
      <c r="U6" s="393" t="s">
        <v>829</v>
      </c>
      <c r="V6" s="307" t="s">
        <v>812</v>
      </c>
    </row>
    <row r="7" spans="1:22" ht="16">
      <c r="A7" s="41" t="s">
        <v>17</v>
      </c>
      <c r="B7" s="41" t="str">
        <f>"["&amp;COLUMN()-COUNTBLANK($A$7:A$7)&amp;"]"</f>
        <v>[2]</v>
      </c>
      <c r="C7" s="41" t="str">
        <f>"["&amp;COLUMN()-COUNTBLANK($A$7:B$7)&amp;"]"</f>
        <v>[3]</v>
      </c>
      <c r="D7" s="41" t="str">
        <f>"["&amp;COLUMN()-COUNTBLANK($A$7:C$7)&amp;"]"</f>
        <v>[4]</v>
      </c>
      <c r="E7" s="41" t="str">
        <f>"["&amp;COLUMN()-COUNTBLANK($A$7:D$7)&amp;"]"</f>
        <v>[5]</v>
      </c>
      <c r="F7" s="41" t="str">
        <f>"["&amp;COLUMN()-COUNTBLANK($A$7:E$7)&amp;"]"</f>
        <v>[6]</v>
      </c>
      <c r="G7" s="41" t="str">
        <f>"["&amp;COLUMN()-COUNTBLANK($A$7:F$7)&amp;"]"</f>
        <v>[7]</v>
      </c>
      <c r="H7" s="41" t="str">
        <f>"["&amp;COLUMN()-COUNTBLANK($A$7:G$7)&amp;"]"</f>
        <v>[8]</v>
      </c>
      <c r="I7" s="41" t="str">
        <f>"["&amp;COLUMN()-COUNTBLANK($A$7:H$7)&amp;"]"</f>
        <v>[9]</v>
      </c>
      <c r="J7" s="41" t="str">
        <f>"["&amp;COLUMN()-COUNTBLANK($A$7:I$7)&amp;"]"</f>
        <v>[10]</v>
      </c>
      <c r="K7" s="41" t="str">
        <f>"["&amp;COLUMN()-COUNTBLANK($A$7:J$7)&amp;"]"</f>
        <v>[11]</v>
      </c>
      <c r="L7" s="41" t="str">
        <f>"["&amp;COLUMN()-COUNTBLANK($A$7:J$7)&amp;"]"</f>
        <v>[12]</v>
      </c>
      <c r="M7" s="41" t="str">
        <f>"["&amp;COLUMN()-COUNTBLANK($A$7:L$7)&amp;"]"</f>
        <v>[13]</v>
      </c>
      <c r="N7" s="41" t="str">
        <f>"["&amp;COLUMN()-COUNTBLANK($A$7:M$7)&amp;"]"</f>
        <v>[14]</v>
      </c>
      <c r="O7" s="41" t="str">
        <f>"["&amp;COLUMN()-COUNTBLANK($A$7:N$7)&amp;"]"</f>
        <v>[15]</v>
      </c>
      <c r="P7" s="41" t="str">
        <f>"["&amp;COLUMN()-COUNTBLANK($A$7:O$7)&amp;"]"</f>
        <v>[16]</v>
      </c>
      <c r="Q7" s="41" t="str">
        <f>"["&amp;COLUMN()-COUNTBLANK($A$7:P$7)&amp;"]"</f>
        <v>[17]</v>
      </c>
      <c r="R7" s="41" t="str">
        <f>"["&amp;COLUMN()-COUNTBLANK($A$7:Q$7)&amp;"]"</f>
        <v>[18]</v>
      </c>
      <c r="S7" s="41" t="str">
        <f>"["&amp;COLUMN()-COUNTBLANK($A$7:R$7)&amp;"]"</f>
        <v>[19]</v>
      </c>
      <c r="T7" s="41" t="str">
        <f>"["&amp;COLUMN()-COUNTBLANK($A$7:S$7)&amp;"]"</f>
        <v>[20]</v>
      </c>
      <c r="U7" s="41" t="str">
        <f>"["&amp;COLUMN()-COUNTBLANK($A$7:T$7)&amp;"]"</f>
        <v>[21]</v>
      </c>
      <c r="V7" s="41" t="str">
        <f>"["&amp;COLUMN()-COUNTBLANK($A$7:N$7)&amp;"]"</f>
        <v>[22]</v>
      </c>
    </row>
    <row r="8" spans="1:22">
      <c r="A8" s="308" t="s">
        <v>513</v>
      </c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10"/>
      <c r="R8" s="310"/>
      <c r="S8" s="310"/>
      <c r="T8" s="310"/>
      <c r="U8" s="310"/>
      <c r="V8" s="310"/>
    </row>
    <row r="9" spans="1:22">
      <c r="A9" s="18"/>
      <c r="B9" s="18"/>
      <c r="C9" s="18"/>
      <c r="E9" s="191" t="s">
        <v>156</v>
      </c>
      <c r="F9" s="18"/>
      <c r="G9" s="146"/>
      <c r="H9" s="18"/>
      <c r="J9" s="304"/>
      <c r="K9" s="304"/>
      <c r="L9" s="304"/>
      <c r="M9" s="304"/>
      <c r="N9" s="304"/>
      <c r="O9" s="304"/>
      <c r="P9" s="304"/>
      <c r="Q9" s="304"/>
      <c r="R9" s="304"/>
      <c r="S9" s="304"/>
      <c r="T9" s="304"/>
      <c r="U9" s="304"/>
      <c r="V9" s="304"/>
    </row>
    <row r="10" spans="1:22">
      <c r="A10" s="18"/>
      <c r="B10" s="18"/>
      <c r="C10" s="18" t="str">
        <f>VLOOKUP(F10,DM_CKDH!$B$5:$E$19,3,0)</f>
        <v>Móng</v>
      </c>
      <c r="D10">
        <v>1</v>
      </c>
      <c r="E10" s="18" t="str">
        <f>VLOOKUP(F10,DM_CKDH!$B$5:$E$19,2,0)</f>
        <v>Đài_PCL</v>
      </c>
      <c r="F10" s="18" t="str">
        <f>DM_CKDH!$B$6</f>
        <v>S21.11</v>
      </c>
      <c r="G10" s="146"/>
      <c r="H10" s="146">
        <f>SUM(J10:V10)</f>
        <v>1</v>
      </c>
      <c r="J10" s="283">
        <v>1</v>
      </c>
      <c r="K10" s="283" t="s">
        <v>5</v>
      </c>
      <c r="L10" s="283" t="s">
        <v>5</v>
      </c>
      <c r="M10" s="283" t="s">
        <v>5</v>
      </c>
      <c r="N10" s="283" t="s">
        <v>5</v>
      </c>
      <c r="O10" s="395" t="s">
        <v>5</v>
      </c>
      <c r="P10" s="395" t="s">
        <v>5</v>
      </c>
      <c r="Q10" s="283" t="s">
        <v>5</v>
      </c>
      <c r="R10" s="283" t="s">
        <v>5</v>
      </c>
      <c r="S10" s="283" t="s">
        <v>5</v>
      </c>
      <c r="T10" s="283" t="s">
        <v>5</v>
      </c>
      <c r="U10" s="283" t="s">
        <v>5</v>
      </c>
      <c r="V10" s="283" t="s">
        <v>5</v>
      </c>
    </row>
    <row r="11" spans="1:22">
      <c r="A11" s="18"/>
      <c r="B11" s="18"/>
      <c r="C11" s="18" t="str">
        <f>VLOOKUP(F11,DM_CKDH!$B$5:$E$19,3,0)</f>
        <v>Móng</v>
      </c>
      <c r="D11">
        <v>2</v>
      </c>
      <c r="E11" s="18" t="str">
        <f>VLOOKUP(F11,DM_CKDH!$B$5:$E$19,2,0)</f>
        <v>Đài đơn còn lại - Khu lõi</v>
      </c>
      <c r="F11" s="18" t="str">
        <f>DM_CKDH!B7</f>
        <v>S21.12</v>
      </c>
      <c r="G11" s="146"/>
      <c r="H11" s="146">
        <f t="shared" ref="H11:H26" si="0">SUM(J11:V11)</f>
        <v>1</v>
      </c>
      <c r="J11" s="283">
        <v>1</v>
      </c>
      <c r="K11" s="283" t="s">
        <v>5</v>
      </c>
      <c r="L11" s="283" t="s">
        <v>5</v>
      </c>
      <c r="M11" s="283" t="s">
        <v>5</v>
      </c>
      <c r="N11" s="283" t="s">
        <v>5</v>
      </c>
      <c r="O11" s="395" t="s">
        <v>5</v>
      </c>
      <c r="P11" s="395" t="s">
        <v>5</v>
      </c>
      <c r="Q11" s="283" t="s">
        <v>5</v>
      </c>
      <c r="R11" s="283" t="s">
        <v>5</v>
      </c>
      <c r="S11" s="283" t="s">
        <v>5</v>
      </c>
      <c r="T11" s="283" t="s">
        <v>5</v>
      </c>
      <c r="U11" s="283" t="s">
        <v>5</v>
      </c>
      <c r="V11" s="283" t="s">
        <v>5</v>
      </c>
    </row>
    <row r="12" spans="1:22" ht="16">
      <c r="A12" s="18"/>
      <c r="B12" s="33"/>
      <c r="C12" s="18" t="str">
        <f>VLOOKUP(F12,DM_CKDH!$B$5:$E$19,3,0)</f>
        <v>Dầm sàn nền hầm</v>
      </c>
      <c r="D12">
        <v>4</v>
      </c>
      <c r="E12" s="305" t="str">
        <f>VLOOKUP(F12,DM_CKDH!$B$5:$E$19,2,0)</f>
        <v>giằng, sàn, rãnh nước nền hầm - Khu lõi</v>
      </c>
      <c r="F12" s="18" t="str">
        <f>DM_CKDH!B8</f>
        <v>S22.11</v>
      </c>
      <c r="G12" s="146"/>
      <c r="H12" s="146">
        <f t="shared" si="0"/>
        <v>1</v>
      </c>
      <c r="J12" s="283" t="s">
        <v>5</v>
      </c>
      <c r="K12" s="283">
        <v>1</v>
      </c>
      <c r="L12" s="283" t="s">
        <v>5</v>
      </c>
      <c r="M12" s="283" t="s">
        <v>5</v>
      </c>
      <c r="N12" s="283" t="s">
        <v>5</v>
      </c>
      <c r="O12" s="395" t="s">
        <v>5</v>
      </c>
      <c r="P12" s="395" t="s">
        <v>5</v>
      </c>
      <c r="Q12" s="283" t="s">
        <v>5</v>
      </c>
      <c r="R12" s="283" t="s">
        <v>5</v>
      </c>
      <c r="S12" s="283" t="s">
        <v>5</v>
      </c>
      <c r="T12" s="283" t="s">
        <v>5</v>
      </c>
      <c r="U12" s="283" t="s">
        <v>5</v>
      </c>
      <c r="V12" s="283" t="s">
        <v>5</v>
      </c>
    </row>
    <row r="13" spans="1:22">
      <c r="A13" s="18"/>
      <c r="B13" s="63"/>
      <c r="C13" s="18" t="str">
        <f>VLOOKUP(F13,DM_CKDH!$B$5:$E$19,3,0)</f>
        <v>Cấu kiện khác</v>
      </c>
      <c r="D13">
        <v>5</v>
      </c>
      <c r="E13" s="18" t="str">
        <f>VLOOKUP(F13,DM_CKDH!$B$5:$E$19,2,0)</f>
        <v>Hố bơm, bể phốt</v>
      </c>
      <c r="F13" s="18" t="str">
        <f>DM_CKDH!B9</f>
        <v>S33.13</v>
      </c>
      <c r="G13" s="146"/>
      <c r="H13" s="146">
        <f t="shared" si="0"/>
        <v>1</v>
      </c>
      <c r="J13" s="283" t="s">
        <v>5</v>
      </c>
      <c r="K13" s="283">
        <v>1</v>
      </c>
      <c r="L13" s="283" t="s">
        <v>5</v>
      </c>
      <c r="M13" s="283" t="s">
        <v>5</v>
      </c>
      <c r="N13" s="283" t="s">
        <v>5</v>
      </c>
      <c r="O13" s="395" t="s">
        <v>5</v>
      </c>
      <c r="P13" s="395" t="s">
        <v>5</v>
      </c>
      <c r="Q13" s="283" t="s">
        <v>5</v>
      </c>
      <c r="R13" s="283" t="s">
        <v>5</v>
      </c>
      <c r="S13" s="283" t="s">
        <v>5</v>
      </c>
      <c r="T13" s="283" t="s">
        <v>5</v>
      </c>
      <c r="U13" s="283" t="s">
        <v>5</v>
      </c>
      <c r="V13" s="283" t="s">
        <v>5</v>
      </c>
    </row>
    <row r="14" spans="1:22">
      <c r="A14" s="18"/>
      <c r="B14" s="63"/>
      <c r="C14" s="18"/>
      <c r="E14" s="191" t="s">
        <v>326</v>
      </c>
      <c r="F14" s="18"/>
      <c r="G14" s="146"/>
      <c r="H14" s="146"/>
      <c r="J14" s="284"/>
      <c r="K14" s="284"/>
      <c r="L14" s="284"/>
      <c r="M14" s="284"/>
      <c r="N14" s="284"/>
      <c r="O14" s="395"/>
      <c r="P14" s="395"/>
      <c r="Q14" s="284"/>
      <c r="R14" s="283"/>
      <c r="S14" s="283"/>
      <c r="T14" s="283"/>
      <c r="U14" s="283"/>
      <c r="V14" s="283"/>
    </row>
    <row r="15" spans="1:22">
      <c r="A15" s="18"/>
      <c r="B15" s="33"/>
      <c r="C15" s="18" t="s">
        <v>325</v>
      </c>
      <c r="D15">
        <v>1</v>
      </c>
      <c r="E15" s="18" t="str">
        <f>VLOOKUP(F15,DM_CKDH!$B$5:$E$19,2,0)</f>
        <v>Bể Dầu, XL</v>
      </c>
      <c r="F15" s="18" t="str">
        <f>DM_CKDH!B19</f>
        <v>S33.11</v>
      </c>
      <c r="G15" s="146"/>
      <c r="H15" s="146">
        <f t="shared" si="0"/>
        <v>1</v>
      </c>
      <c r="J15" s="283" t="s">
        <v>5</v>
      </c>
      <c r="K15" s="283" t="s">
        <v>5</v>
      </c>
      <c r="L15" s="283" t="s">
        <v>5</v>
      </c>
      <c r="M15" s="283" t="s">
        <v>5</v>
      </c>
      <c r="N15" s="283">
        <v>1</v>
      </c>
      <c r="O15" s="395" t="s">
        <v>5</v>
      </c>
      <c r="P15" s="395" t="s">
        <v>5</v>
      </c>
      <c r="Q15" s="283" t="s">
        <v>5</v>
      </c>
      <c r="R15" s="283" t="s">
        <v>5</v>
      </c>
      <c r="S15" s="283" t="s">
        <v>5</v>
      </c>
      <c r="T15" s="283" t="s">
        <v>5</v>
      </c>
      <c r="U15" s="283" t="s">
        <v>5</v>
      </c>
      <c r="V15" s="283" t="s">
        <v>5</v>
      </c>
    </row>
    <row r="16" spans="1:22">
      <c r="A16" s="18"/>
      <c r="B16" s="33"/>
      <c r="C16" s="18" t="s">
        <v>325</v>
      </c>
      <c r="D16">
        <v>2</v>
      </c>
      <c r="E16" s="18" t="str">
        <f>VLOOKUP(F16,DM_CKDH!$B$5:$E$42,2,0)</f>
        <v>Bể PCCC &amp; SH</v>
      </c>
      <c r="F16" s="18" t="str">
        <f>DM_CKDH!B20</f>
        <v>S33.12</v>
      </c>
      <c r="G16" s="146"/>
      <c r="H16" s="146">
        <f t="shared" si="0"/>
        <v>1</v>
      </c>
      <c r="J16" s="283" t="s">
        <v>5</v>
      </c>
      <c r="K16" s="283" t="s">
        <v>5</v>
      </c>
      <c r="L16" s="283" t="s">
        <v>5</v>
      </c>
      <c r="M16" s="283">
        <v>1</v>
      </c>
      <c r="N16" s="283" t="s">
        <v>5</v>
      </c>
      <c r="O16" s="395" t="s">
        <v>5</v>
      </c>
      <c r="P16" s="395" t="s">
        <v>5</v>
      </c>
      <c r="Q16" s="283" t="s">
        <v>5</v>
      </c>
      <c r="R16" s="283" t="s">
        <v>5</v>
      </c>
      <c r="S16" s="283" t="s">
        <v>5</v>
      </c>
      <c r="T16" s="283" t="s">
        <v>5</v>
      </c>
      <c r="U16" s="283" t="s">
        <v>5</v>
      </c>
      <c r="V16" s="283" t="s">
        <v>5</v>
      </c>
    </row>
    <row r="17" spans="1:22">
      <c r="A17" s="18"/>
      <c r="B17" s="63"/>
      <c r="C17" s="18"/>
      <c r="E17" s="191" t="s">
        <v>309</v>
      </c>
      <c r="F17" s="18"/>
      <c r="G17" s="146"/>
      <c r="H17" s="146"/>
      <c r="J17" s="284"/>
      <c r="K17" s="284"/>
      <c r="L17" s="284"/>
      <c r="M17" s="284"/>
      <c r="N17" s="284"/>
      <c r="O17" s="395"/>
      <c r="P17" s="395"/>
      <c r="Q17" s="284"/>
      <c r="R17" s="283"/>
      <c r="S17" s="283"/>
      <c r="T17" s="283"/>
      <c r="U17" s="283"/>
      <c r="V17" s="283"/>
    </row>
    <row r="18" spans="1:22">
      <c r="A18" s="18"/>
      <c r="B18" s="33"/>
      <c r="C18" s="18" t="str">
        <f>VLOOKUP(F18,DM_CKDH!$B$5:$E$19,3,0)</f>
        <v>Tường hầm</v>
      </c>
      <c r="D18">
        <v>1</v>
      </c>
      <c r="E18" s="18" t="str">
        <f>VLOOKUP(F18,DM_CKDH!$B$5:$E$19,2,0)</f>
        <v>Tường bao tầng hầm - Khu lõi</v>
      </c>
      <c r="F18" s="18" t="str">
        <f>DM_CKDH!B10</f>
        <v>S23.11</v>
      </c>
      <c r="G18" s="146"/>
      <c r="H18" s="146">
        <f t="shared" si="0"/>
        <v>1</v>
      </c>
      <c r="J18" s="283" t="s">
        <v>5</v>
      </c>
      <c r="K18" s="283" t="s">
        <v>5</v>
      </c>
      <c r="L18" s="283">
        <v>1</v>
      </c>
      <c r="M18" s="283" t="s">
        <v>5</v>
      </c>
      <c r="N18" s="283" t="s">
        <v>5</v>
      </c>
      <c r="O18" s="395" t="s">
        <v>5</v>
      </c>
      <c r="P18" s="395" t="s">
        <v>5</v>
      </c>
      <c r="Q18" s="283" t="s">
        <v>5</v>
      </c>
      <c r="R18" s="283" t="s">
        <v>5</v>
      </c>
      <c r="S18" s="283" t="s">
        <v>5</v>
      </c>
      <c r="T18" s="283" t="s">
        <v>5</v>
      </c>
      <c r="U18" s="283" t="s">
        <v>5</v>
      </c>
      <c r="V18" s="283" t="s">
        <v>5</v>
      </c>
    </row>
    <row r="19" spans="1:22">
      <c r="A19" s="18"/>
      <c r="B19" s="33"/>
      <c r="C19" s="18" t="str">
        <f>VLOOKUP(F19,DM_CKDH!$B$5:$E$19,3,0)</f>
        <v>Cột</v>
      </c>
      <c r="D19">
        <v>2</v>
      </c>
      <c r="E19" s="18" t="str">
        <f>VLOOKUP(F19,DM_CKDH!$B$5:$E$19,2,0)</f>
        <v>Cột Tầng B1- Khu lõi</v>
      </c>
      <c r="F19" s="18" t="str">
        <f>DM_CKDH!B11</f>
        <v>S24.11</v>
      </c>
      <c r="G19" s="146"/>
      <c r="H19" s="146">
        <f t="shared" si="0"/>
        <v>1</v>
      </c>
      <c r="J19" s="283" t="s">
        <v>5</v>
      </c>
      <c r="K19" s="283" t="s">
        <v>5</v>
      </c>
      <c r="L19" s="283">
        <v>1</v>
      </c>
      <c r="M19" s="283" t="s">
        <v>5</v>
      </c>
      <c r="N19" s="283" t="s">
        <v>5</v>
      </c>
      <c r="O19" s="395" t="s">
        <v>5</v>
      </c>
      <c r="P19" s="395" t="s">
        <v>5</v>
      </c>
      <c r="Q19" s="283" t="s">
        <v>5</v>
      </c>
      <c r="R19" s="283" t="s">
        <v>5</v>
      </c>
      <c r="S19" s="283" t="s">
        <v>5</v>
      </c>
      <c r="T19" s="283" t="s">
        <v>5</v>
      </c>
      <c r="U19" s="283" t="s">
        <v>5</v>
      </c>
      <c r="V19" s="283" t="s">
        <v>5</v>
      </c>
    </row>
    <row r="20" spans="1:22">
      <c r="A20" s="18"/>
      <c r="B20" s="33"/>
      <c r="C20" s="18" t="str">
        <f>VLOOKUP(F20,DM_CKDH!$B$5:$E$19,3,0)</f>
        <v>Vách</v>
      </c>
      <c r="D20">
        <v>3</v>
      </c>
      <c r="E20" s="18" t="str">
        <f>VLOOKUP(F20,DM_CKDH!$B$5:$E$19,2,0)</f>
        <v>Vách Tầng B1(Loại L, V) - Khu lõi</v>
      </c>
      <c r="F20" s="18" t="str">
        <f>DM_CKDH!B12</f>
        <v>S24.12</v>
      </c>
      <c r="G20" s="146"/>
      <c r="H20" s="146">
        <f t="shared" si="0"/>
        <v>1</v>
      </c>
      <c r="J20" s="283" t="s">
        <v>5</v>
      </c>
      <c r="K20" s="283" t="s">
        <v>5</v>
      </c>
      <c r="L20" s="283">
        <v>1</v>
      </c>
      <c r="M20" s="283" t="s">
        <v>5</v>
      </c>
      <c r="N20" s="283" t="s">
        <v>5</v>
      </c>
      <c r="O20" s="395" t="s">
        <v>5</v>
      </c>
      <c r="P20" s="395" t="s">
        <v>5</v>
      </c>
      <c r="Q20" s="283" t="s">
        <v>5</v>
      </c>
      <c r="R20" s="283" t="s">
        <v>5</v>
      </c>
      <c r="S20" s="283" t="s">
        <v>5</v>
      </c>
      <c r="T20" s="283" t="s">
        <v>5</v>
      </c>
      <c r="U20" s="283" t="s">
        <v>5</v>
      </c>
      <c r="V20" s="283" t="s">
        <v>5</v>
      </c>
    </row>
    <row r="21" spans="1:22">
      <c r="A21" s="18"/>
      <c r="B21" s="60"/>
      <c r="C21" s="18" t="str">
        <f>VLOOKUP(F21,DM_CKDH!$B$5:$E$19,3,0)</f>
        <v>Dầm sàn</v>
      </c>
      <c r="D21">
        <v>4</v>
      </c>
      <c r="E21" s="18" t="str">
        <f>VLOOKUP(F21,DM_CKDH!$B$5:$E$19,2,0)</f>
        <v>Dầm sàn tầng 1 (zone1) - Khu lõi</v>
      </c>
      <c r="F21" s="18" t="str">
        <f>DM_CKDH!B13</f>
        <v>S25.11</v>
      </c>
      <c r="G21" s="146"/>
      <c r="H21" s="146">
        <f t="shared" si="0"/>
        <v>1</v>
      </c>
      <c r="J21" s="283" t="s">
        <v>5</v>
      </c>
      <c r="K21" s="283" t="s">
        <v>5</v>
      </c>
      <c r="L21" s="283">
        <v>1</v>
      </c>
      <c r="M21" s="283" t="s">
        <v>5</v>
      </c>
      <c r="N21" s="283" t="s">
        <v>5</v>
      </c>
      <c r="O21" s="395" t="s">
        <v>5</v>
      </c>
      <c r="P21" s="395" t="s">
        <v>5</v>
      </c>
      <c r="Q21" s="283" t="s">
        <v>5</v>
      </c>
      <c r="R21" s="283" t="s">
        <v>5</v>
      </c>
      <c r="S21" s="283" t="s">
        <v>5</v>
      </c>
      <c r="T21" s="283" t="s">
        <v>5</v>
      </c>
      <c r="U21" s="283" t="s">
        <v>5</v>
      </c>
      <c r="V21" s="283" t="s">
        <v>5</v>
      </c>
    </row>
    <row r="22" spans="1:22">
      <c r="A22" s="18"/>
      <c r="B22" s="60"/>
      <c r="C22" s="18" t="str">
        <f>VLOOKUP(F22,DM_CKDH!$B$5:$E$19,3,0)</f>
        <v>Dầm sàn</v>
      </c>
      <c r="D22">
        <v>5</v>
      </c>
      <c r="E22" s="18" t="str">
        <f>VLOOKUP(F22,DM_CKDH!$B$5:$E$19,2,0)</f>
        <v>Dầm sàn tầng 1 (zone2) - Khu lõi</v>
      </c>
      <c r="F22" s="18" t="str">
        <f>DM_CKDH!B14</f>
        <v>S25.12</v>
      </c>
      <c r="G22" s="146"/>
      <c r="H22" s="146">
        <f t="shared" si="0"/>
        <v>1</v>
      </c>
      <c r="J22" s="283" t="s">
        <v>5</v>
      </c>
      <c r="K22" s="283" t="s">
        <v>5</v>
      </c>
      <c r="L22" s="283">
        <v>1</v>
      </c>
      <c r="M22" s="283" t="s">
        <v>5</v>
      </c>
      <c r="N22" s="283" t="s">
        <v>5</v>
      </c>
      <c r="O22" s="395" t="s">
        <v>5</v>
      </c>
      <c r="P22" s="395" t="s">
        <v>5</v>
      </c>
      <c r="Q22" s="283" t="s">
        <v>5</v>
      </c>
      <c r="R22" s="283" t="s">
        <v>5</v>
      </c>
      <c r="S22" s="283" t="s">
        <v>5</v>
      </c>
      <c r="T22" s="283" t="s">
        <v>5</v>
      </c>
      <c r="U22" s="283" t="s">
        <v>5</v>
      </c>
      <c r="V22" s="283" t="s">
        <v>5</v>
      </c>
    </row>
    <row r="23" spans="1:22">
      <c r="A23" s="18"/>
      <c r="B23" s="60"/>
      <c r="C23" s="18" t="str">
        <f>VLOOKUP(F23,DM_CKDH!$B$5:$E$19,3,0)</f>
        <v>Dầm sàn</v>
      </c>
      <c r="D23">
        <v>6</v>
      </c>
      <c r="E23" s="18" t="str">
        <f>VLOOKUP(F23,DM_CKDH!$B$5:$E$19,2,0)</f>
        <v>Dầm sàn tầng 1 (zone3) - Khu lõi</v>
      </c>
      <c r="F23" s="18" t="str">
        <f>DM_CKDH!B15</f>
        <v>S25.13</v>
      </c>
      <c r="G23" s="146"/>
      <c r="H23" s="146">
        <f t="shared" si="0"/>
        <v>1</v>
      </c>
      <c r="J23" s="283" t="s">
        <v>5</v>
      </c>
      <c r="K23" s="283" t="s">
        <v>5</v>
      </c>
      <c r="L23" s="283">
        <v>1</v>
      </c>
      <c r="M23" s="283" t="s">
        <v>5</v>
      </c>
      <c r="N23" s="283" t="s">
        <v>5</v>
      </c>
      <c r="O23" s="395" t="s">
        <v>5</v>
      </c>
      <c r="P23" s="395" t="s">
        <v>5</v>
      </c>
      <c r="Q23" s="283" t="s">
        <v>5</v>
      </c>
      <c r="R23" s="283" t="s">
        <v>5</v>
      </c>
      <c r="S23" s="283" t="s">
        <v>5</v>
      </c>
      <c r="T23" s="283" t="s">
        <v>5</v>
      </c>
      <c r="U23" s="283" t="s">
        <v>5</v>
      </c>
      <c r="V23" s="283" t="s">
        <v>5</v>
      </c>
    </row>
    <row r="24" spans="1:22">
      <c r="A24" s="18"/>
      <c r="B24" s="60"/>
      <c r="C24" s="18" t="str">
        <f>VLOOKUP(F24,DM_CKDH!$B$5:$E$19,3,0)</f>
        <v>Dầm sàn</v>
      </c>
      <c r="D24">
        <v>7</v>
      </c>
      <c r="E24" s="18" t="str">
        <f>VLOOKUP(F24,DM_CKDH!$B$5:$E$19,2,0)</f>
        <v>Dầm sàn tầng 1 (zone4) - Khu lõi</v>
      </c>
      <c r="F24" s="18" t="str">
        <f>DM_CKDH!B16</f>
        <v>S25.14</v>
      </c>
      <c r="G24" s="146"/>
      <c r="H24" s="146">
        <f t="shared" si="0"/>
        <v>1</v>
      </c>
      <c r="J24" s="283" t="s">
        <v>5</v>
      </c>
      <c r="K24" s="283" t="s">
        <v>5</v>
      </c>
      <c r="L24" s="283">
        <v>1</v>
      </c>
      <c r="M24" s="283" t="s">
        <v>5</v>
      </c>
      <c r="N24" s="283" t="s">
        <v>5</v>
      </c>
      <c r="O24" s="395" t="s">
        <v>5</v>
      </c>
      <c r="P24" s="395" t="s">
        <v>5</v>
      </c>
      <c r="Q24" s="283" t="s">
        <v>5</v>
      </c>
      <c r="R24" s="283" t="s">
        <v>5</v>
      </c>
      <c r="S24" s="283" t="s">
        <v>5</v>
      </c>
      <c r="T24" s="283" t="s">
        <v>5</v>
      </c>
      <c r="U24" s="283" t="s">
        <v>5</v>
      </c>
      <c r="V24" s="283" t="s">
        <v>5</v>
      </c>
    </row>
    <row r="25" spans="1:22">
      <c r="A25" s="18"/>
      <c r="B25" s="60"/>
      <c r="C25" s="18" t="str">
        <f>VLOOKUP(F25,DM_CKDH!$B$5:$E$19,3,0)</f>
        <v>Thang bộ</v>
      </c>
      <c r="D25">
        <v>8</v>
      </c>
      <c r="E25" s="18" t="str">
        <f>VLOOKUP(F25,DM_CKDH!$B$5:$E$19,2,0)</f>
        <v>Thang bộ Tầng B1 lên T1</v>
      </c>
      <c r="F25" s="18" t="str">
        <f>DM_CKDH!B17</f>
        <v>S31.11</v>
      </c>
      <c r="G25" s="146"/>
      <c r="H25" s="146">
        <f t="shared" si="0"/>
        <v>1</v>
      </c>
      <c r="J25" s="283" t="s">
        <v>5</v>
      </c>
      <c r="K25" s="283" t="s">
        <v>5</v>
      </c>
      <c r="L25" s="283">
        <v>1</v>
      </c>
      <c r="M25" s="283" t="s">
        <v>5</v>
      </c>
      <c r="N25" s="283" t="s">
        <v>5</v>
      </c>
      <c r="O25" s="395" t="s">
        <v>5</v>
      </c>
      <c r="P25" s="395" t="s">
        <v>5</v>
      </c>
      <c r="Q25" s="283" t="s">
        <v>5</v>
      </c>
      <c r="R25" s="283" t="s">
        <v>5</v>
      </c>
      <c r="S25" s="283" t="s">
        <v>5</v>
      </c>
      <c r="T25" s="283" t="s">
        <v>5</v>
      </c>
      <c r="U25" s="283" t="s">
        <v>5</v>
      </c>
      <c r="V25" s="283" t="s">
        <v>5</v>
      </c>
    </row>
    <row r="26" spans="1:22">
      <c r="A26" s="18"/>
      <c r="B26" s="33"/>
      <c r="C26" s="18" t="str">
        <f>VLOOKUP(F26,DM_CKDH!$B$5:$E$19,3,0)</f>
        <v>Ram</v>
      </c>
      <c r="D26">
        <v>9</v>
      </c>
      <c r="E26" s="18" t="str">
        <f>VLOOKUP(F26,DM_CKDH!$B$5:$E$19,2,0)</f>
        <v>Đường dốc tầng B1 lên T1</v>
      </c>
      <c r="F26" s="18" t="str">
        <f>DM_CKDH!B18</f>
        <v>S32.11</v>
      </c>
      <c r="G26" s="146"/>
      <c r="H26" s="146">
        <f t="shared" si="0"/>
        <v>1</v>
      </c>
      <c r="J26" s="283" t="s">
        <v>5</v>
      </c>
      <c r="K26" s="283" t="s">
        <v>5</v>
      </c>
      <c r="L26" s="283">
        <v>1</v>
      </c>
      <c r="M26" s="283" t="s">
        <v>5</v>
      </c>
      <c r="N26" s="283" t="s">
        <v>5</v>
      </c>
      <c r="O26" s="395" t="s">
        <v>5</v>
      </c>
      <c r="P26" s="395" t="s">
        <v>5</v>
      </c>
      <c r="Q26" s="283" t="s">
        <v>5</v>
      </c>
      <c r="R26" s="283" t="s">
        <v>5</v>
      </c>
      <c r="S26" s="283" t="s">
        <v>5</v>
      </c>
      <c r="T26" s="283" t="s">
        <v>5</v>
      </c>
      <c r="U26" s="283" t="s">
        <v>5</v>
      </c>
      <c r="V26" s="283" t="s">
        <v>5</v>
      </c>
    </row>
    <row r="27" spans="1:22">
      <c r="A27" s="308" t="s">
        <v>514</v>
      </c>
      <c r="B27" s="309"/>
      <c r="C27" s="309"/>
      <c r="D27" s="309"/>
      <c r="E27" s="309"/>
      <c r="F27" s="309"/>
      <c r="G27" s="309"/>
      <c r="H27" s="309"/>
      <c r="I27" s="309"/>
      <c r="J27" s="309"/>
      <c r="K27" s="309"/>
      <c r="L27" s="309"/>
      <c r="M27" s="309"/>
      <c r="N27" s="309"/>
      <c r="O27" s="309"/>
      <c r="P27" s="309"/>
      <c r="Q27" s="310"/>
      <c r="R27" s="310"/>
      <c r="S27" s="310"/>
      <c r="T27" s="310"/>
      <c r="U27" s="310"/>
      <c r="V27" s="310"/>
    </row>
    <row r="28" spans="1:22">
      <c r="A28" s="18"/>
      <c r="B28" s="18"/>
      <c r="C28" s="18"/>
      <c r="E28" s="191" t="s">
        <v>156</v>
      </c>
      <c r="F28" s="18"/>
      <c r="G28" s="146"/>
      <c r="H28" s="18"/>
      <c r="J28" s="304"/>
      <c r="K28" s="304"/>
      <c r="L28" s="304"/>
      <c r="M28" s="304"/>
      <c r="N28" s="304"/>
      <c r="O28" s="304"/>
      <c r="P28" s="304"/>
      <c r="Q28" s="304"/>
      <c r="R28" s="304"/>
      <c r="S28" s="304"/>
      <c r="T28" s="304"/>
      <c r="U28" s="304"/>
      <c r="V28" s="304"/>
    </row>
    <row r="29" spans="1:22">
      <c r="A29" s="18"/>
      <c r="B29" s="18"/>
      <c r="C29" s="18" t="str">
        <f>VLOOKUP(F29,DM_CKDH!$B$5:$E$51,3,0)</f>
        <v>Móng</v>
      </c>
      <c r="D29">
        <v>1</v>
      </c>
      <c r="E29" s="18" t="str">
        <f>VLOOKUP(F29,DM_CKDH!$B$5:$E$42,2,0)</f>
        <v>Đài - Khu biên</v>
      </c>
      <c r="F29" s="18" t="str">
        <f>DM_CKDH!B22</f>
        <v>S21.21</v>
      </c>
      <c r="G29" s="146"/>
      <c r="H29" s="146">
        <f>SUM(J29:V29)</f>
        <v>1</v>
      </c>
      <c r="J29" s="283" t="s">
        <v>5</v>
      </c>
      <c r="K29" s="283" t="s">
        <v>5</v>
      </c>
      <c r="L29" s="283" t="s">
        <v>5</v>
      </c>
      <c r="M29" s="283" t="s">
        <v>5</v>
      </c>
      <c r="N29" s="283" t="s">
        <v>5</v>
      </c>
      <c r="O29" s="395">
        <v>1</v>
      </c>
      <c r="P29" s="283" t="s">
        <v>5</v>
      </c>
      <c r="Q29" s="283" t="s">
        <v>5</v>
      </c>
      <c r="R29" s="283" t="s">
        <v>5</v>
      </c>
      <c r="S29" s="283" t="s">
        <v>5</v>
      </c>
      <c r="T29" s="283" t="s">
        <v>5</v>
      </c>
      <c r="U29" s="283" t="s">
        <v>5</v>
      </c>
      <c r="V29" s="283" t="s">
        <v>5</v>
      </c>
    </row>
    <row r="30" spans="1:22">
      <c r="A30" s="18"/>
      <c r="B30" s="18"/>
      <c r="C30" s="18" t="str">
        <f>VLOOKUP(F30,DM_CKDH!$B$5:$E$51,3,0)</f>
        <v>Dầm sàn nền hầm</v>
      </c>
      <c r="D30">
        <v>2</v>
      </c>
      <c r="E30" s="18" t="str">
        <f>VLOOKUP(F30,DM_CKDH!$B$5:$E$42,2,0)</f>
        <v>giằng, sàn - Khu biên</v>
      </c>
      <c r="F30" s="18" t="str">
        <f>DM_CKDH!B23</f>
        <v>S22.21</v>
      </c>
      <c r="G30" s="146"/>
      <c r="H30" s="146">
        <f>SUM(J30:V30)</f>
        <v>1</v>
      </c>
      <c r="J30" s="283" t="s">
        <v>5</v>
      </c>
      <c r="K30" s="283" t="s">
        <v>5</v>
      </c>
      <c r="L30" s="283" t="s">
        <v>5</v>
      </c>
      <c r="M30" s="283" t="s">
        <v>5</v>
      </c>
      <c r="N30" s="283" t="s">
        <v>5</v>
      </c>
      <c r="O30" s="283" t="s">
        <v>5</v>
      </c>
      <c r="P30" s="395">
        <v>1</v>
      </c>
      <c r="Q30" s="283" t="s">
        <v>5</v>
      </c>
      <c r="R30" s="283" t="s">
        <v>5</v>
      </c>
      <c r="S30" s="283" t="s">
        <v>5</v>
      </c>
      <c r="T30" s="283" t="s">
        <v>5</v>
      </c>
      <c r="U30" s="283" t="s">
        <v>5</v>
      </c>
      <c r="V30" s="283" t="s">
        <v>5</v>
      </c>
    </row>
    <row r="31" spans="1:22">
      <c r="A31" s="18"/>
      <c r="B31" s="63"/>
      <c r="C31" s="18"/>
      <c r="E31" s="191" t="s">
        <v>309</v>
      </c>
      <c r="F31" s="18"/>
      <c r="G31" s="146"/>
      <c r="H31" s="146"/>
      <c r="J31" s="284"/>
      <c r="K31" s="284"/>
      <c r="L31" s="284"/>
      <c r="M31" s="284"/>
      <c r="N31" s="284"/>
      <c r="O31" s="395"/>
      <c r="P31" s="395"/>
      <c r="Q31" s="284"/>
      <c r="R31" s="395"/>
      <c r="S31" s="395"/>
      <c r="T31" s="395"/>
      <c r="U31" s="395"/>
      <c r="V31" s="284"/>
    </row>
    <row r="32" spans="1:22">
      <c r="A32" s="18"/>
      <c r="B32" s="33"/>
      <c r="C32" s="18" t="str">
        <f>VLOOKUP(F32,DM_CKDH!$B$5:$E$51,3,0)</f>
        <v>Tường hầm</v>
      </c>
      <c r="D32">
        <v>1</v>
      </c>
      <c r="E32" s="18" t="str">
        <f>VLOOKUP(F32,DM_CKDH!$B$5:$E$42,2,0)</f>
        <v>Tường bao tầng hầm - Khu biên</v>
      </c>
      <c r="F32" s="18" t="str">
        <f>DM_CKDH!B24</f>
        <v>S23.21</v>
      </c>
      <c r="G32" s="146"/>
      <c r="H32" s="146">
        <f>SUM(J32:V32)</f>
        <v>1</v>
      </c>
      <c r="J32" s="283" t="s">
        <v>5</v>
      </c>
      <c r="K32" s="283" t="s">
        <v>5</v>
      </c>
      <c r="L32" s="283" t="s">
        <v>5</v>
      </c>
      <c r="M32" s="283" t="s">
        <v>5</v>
      </c>
      <c r="N32" s="283" t="s">
        <v>5</v>
      </c>
      <c r="O32" s="395" t="s">
        <v>5</v>
      </c>
      <c r="P32" s="395" t="s">
        <v>5</v>
      </c>
      <c r="Q32" s="283">
        <v>1</v>
      </c>
      <c r="R32" s="283" t="s">
        <v>5</v>
      </c>
      <c r="S32" s="283" t="s">
        <v>5</v>
      </c>
      <c r="T32" s="283" t="s">
        <v>5</v>
      </c>
      <c r="U32" s="283" t="s">
        <v>5</v>
      </c>
      <c r="V32" s="283" t="s">
        <v>5</v>
      </c>
    </row>
    <row r="33" spans="1:22">
      <c r="A33" s="18"/>
      <c r="B33" s="33"/>
      <c r="C33" s="18" t="str">
        <f>VLOOKUP(F33,DM_CKDH!$B$5:$E$51,3,0)</f>
        <v>Cột</v>
      </c>
      <c r="D33">
        <v>2</v>
      </c>
      <c r="E33" s="18" t="str">
        <f>VLOOKUP(F33,DM_CKDH!$B$5:$E$42,2,0)</f>
        <v>Cột Tầng B1 - Khu biên</v>
      </c>
      <c r="F33" s="18" t="str">
        <f>DM_CKDH!B25</f>
        <v>S24.21</v>
      </c>
      <c r="G33" s="146"/>
      <c r="H33" s="146">
        <f>SUM(J33:V33)</f>
        <v>1</v>
      </c>
      <c r="J33" s="283" t="s">
        <v>5</v>
      </c>
      <c r="K33" s="283" t="s">
        <v>5</v>
      </c>
      <c r="L33" s="283" t="s">
        <v>5</v>
      </c>
      <c r="M33" s="283" t="s">
        <v>5</v>
      </c>
      <c r="N33" s="283" t="s">
        <v>5</v>
      </c>
      <c r="O33" s="395" t="s">
        <v>5</v>
      </c>
      <c r="P33" s="395" t="s">
        <v>5</v>
      </c>
      <c r="Q33" s="283">
        <v>1</v>
      </c>
      <c r="R33" s="283" t="s">
        <v>5</v>
      </c>
      <c r="S33" s="283" t="s">
        <v>5</v>
      </c>
      <c r="T33" s="283" t="s">
        <v>5</v>
      </c>
      <c r="U33" s="283" t="s">
        <v>5</v>
      </c>
      <c r="V33" s="283" t="s">
        <v>5</v>
      </c>
    </row>
    <row r="34" spans="1:22">
      <c r="A34" s="18"/>
      <c r="B34" s="33"/>
      <c r="C34" s="18" t="str">
        <f>VLOOKUP(F34,DM_CKDH!$B$5:$E$51,3,0)</f>
        <v>Dầm sàn</v>
      </c>
      <c r="D34">
        <v>3</v>
      </c>
      <c r="E34" s="18" t="str">
        <f>VLOOKUP(F34,DM_CKDH!$B$5:$E$42,2,0)</f>
        <v>Dầm sàn tầng 1- Khu biên</v>
      </c>
      <c r="F34" s="18" t="str">
        <f>DM_CKDH!B26</f>
        <v>S25.21</v>
      </c>
      <c r="G34" s="146"/>
      <c r="H34" s="146">
        <f>SUM(J34:V34)</f>
        <v>1</v>
      </c>
      <c r="J34" s="283" t="s">
        <v>5</v>
      </c>
      <c r="K34" s="283" t="s">
        <v>5</v>
      </c>
      <c r="L34" s="283" t="s">
        <v>5</v>
      </c>
      <c r="M34" s="283" t="s">
        <v>5</v>
      </c>
      <c r="N34" s="283" t="s">
        <v>5</v>
      </c>
      <c r="O34" s="395" t="s">
        <v>5</v>
      </c>
      <c r="P34" s="395" t="s">
        <v>5</v>
      </c>
      <c r="Q34" s="283">
        <v>1</v>
      </c>
      <c r="R34" s="283" t="s">
        <v>5</v>
      </c>
      <c r="S34" s="283" t="s">
        <v>5</v>
      </c>
      <c r="T34" s="283" t="s">
        <v>5</v>
      </c>
      <c r="U34" s="283" t="s">
        <v>5</v>
      </c>
      <c r="V34" s="283" t="s">
        <v>5</v>
      </c>
    </row>
    <row r="35" spans="1:22">
      <c r="A35" s="308" t="s">
        <v>839</v>
      </c>
      <c r="B35" s="309"/>
      <c r="C35" s="309"/>
      <c r="D35" s="309"/>
      <c r="E35" s="309"/>
      <c r="F35" s="309"/>
      <c r="G35" s="309"/>
      <c r="H35" s="309"/>
      <c r="I35" s="309"/>
      <c r="J35" s="309"/>
      <c r="K35" s="309"/>
      <c r="L35" s="309"/>
      <c r="M35" s="309"/>
      <c r="N35" s="309"/>
      <c r="O35" s="309"/>
      <c r="P35" s="309"/>
      <c r="Q35" s="310"/>
      <c r="R35" s="310"/>
      <c r="S35" s="310"/>
      <c r="T35" s="310"/>
      <c r="U35" s="310"/>
      <c r="V35" s="310"/>
    </row>
    <row r="36" spans="1:22">
      <c r="A36" s="18"/>
      <c r="B36" s="63"/>
      <c r="C36" s="18"/>
      <c r="E36" s="191" t="s">
        <v>827</v>
      </c>
      <c r="F36" s="18"/>
      <c r="G36" s="146"/>
      <c r="H36" s="146"/>
      <c r="J36" s="284"/>
      <c r="K36" s="284"/>
      <c r="L36" s="284"/>
      <c r="M36" s="284"/>
      <c r="N36" s="284"/>
      <c r="O36" s="395"/>
      <c r="P36" s="395"/>
      <c r="Q36" s="284"/>
      <c r="R36" s="395"/>
      <c r="S36" s="395"/>
      <c r="T36" s="395"/>
      <c r="U36" s="395"/>
      <c r="V36" s="284"/>
    </row>
    <row r="37" spans="1:22">
      <c r="A37" s="18"/>
      <c r="B37" s="33"/>
      <c r="C37" s="18" t="str">
        <f>VLOOKUP(F37,DM_CKDH!$B$5:$E$51,3,0)</f>
        <v>Biện Pháp</v>
      </c>
      <c r="D37">
        <v>1</v>
      </c>
      <c r="E37" s="18" t="str">
        <f>VLOOKUP(F37,DM_CKDH!$B$5:$E$42,2,0)</f>
        <v>Đào đất đến -2.5, khu lõi</v>
      </c>
      <c r="F37" s="18" t="s">
        <v>831</v>
      </c>
      <c r="G37" s="146"/>
      <c r="H37" s="146">
        <f>SUM(J37:V37)</f>
        <v>1</v>
      </c>
      <c r="J37" s="283" t="s">
        <v>5</v>
      </c>
      <c r="K37" s="283" t="s">
        <v>5</v>
      </c>
      <c r="L37" s="283" t="s">
        <v>5</v>
      </c>
      <c r="M37" s="283" t="s">
        <v>5</v>
      </c>
      <c r="N37" s="283" t="s">
        <v>5</v>
      </c>
      <c r="O37" s="283" t="s">
        <v>5</v>
      </c>
      <c r="P37" s="283" t="s">
        <v>5</v>
      </c>
      <c r="Q37" s="283" t="s">
        <v>5</v>
      </c>
      <c r="R37" s="395">
        <v>1</v>
      </c>
      <c r="S37" s="283" t="s">
        <v>5</v>
      </c>
      <c r="T37" s="283" t="s">
        <v>5</v>
      </c>
      <c r="U37" s="283" t="s">
        <v>5</v>
      </c>
      <c r="V37" s="283" t="s">
        <v>5</v>
      </c>
    </row>
    <row r="38" spans="1:22">
      <c r="A38" s="18"/>
      <c r="B38" s="398"/>
      <c r="C38" s="18" t="str">
        <f>VLOOKUP(F38,DM_CKDH!$B$5:$E$51,3,0)</f>
        <v>Biện Pháp</v>
      </c>
      <c r="D38">
        <v>2</v>
      </c>
      <c r="E38" s="18" t="str">
        <f>VLOOKUP(F38,DM_CKDH!$B$5:$E$42,2,0)</f>
        <v>Đào đất đến -4.9, khu lõi</v>
      </c>
      <c r="F38" s="18" t="s">
        <v>832</v>
      </c>
      <c r="G38" s="146"/>
      <c r="H38" s="146">
        <f t="shared" ref="H38:H39" si="1">SUM(J38:V38)</f>
        <v>1</v>
      </c>
      <c r="J38" s="283" t="s">
        <v>5</v>
      </c>
      <c r="K38" s="283" t="s">
        <v>5</v>
      </c>
      <c r="L38" s="283" t="s">
        <v>5</v>
      </c>
      <c r="M38" s="283" t="s">
        <v>5</v>
      </c>
      <c r="N38" s="283" t="s">
        <v>5</v>
      </c>
      <c r="O38" s="283" t="s">
        <v>5</v>
      </c>
      <c r="P38" s="283" t="s">
        <v>5</v>
      </c>
      <c r="Q38" s="283" t="s">
        <v>5</v>
      </c>
      <c r="R38" s="395">
        <v>1</v>
      </c>
      <c r="S38" s="283" t="s">
        <v>5</v>
      </c>
      <c r="T38" s="283" t="s">
        <v>5</v>
      </c>
      <c r="U38" s="283" t="s">
        <v>5</v>
      </c>
      <c r="V38" s="283" t="s">
        <v>5</v>
      </c>
    </row>
    <row r="39" spans="1:22">
      <c r="A39" s="18"/>
      <c r="B39" s="398"/>
      <c r="C39" s="18" t="str">
        <f>VLOOKUP(F39,DM_CKDH!$B$5:$E$51,3,0)</f>
        <v>Biện Pháp</v>
      </c>
      <c r="D39">
        <v>3</v>
      </c>
      <c r="E39" s="18" t="str">
        <f>VLOOKUP(F39,DM_CKDH!$B$5:$E$42,2,0)</f>
        <v>Đào đất cục bộ, khu lõi</v>
      </c>
      <c r="F39" s="18" t="s">
        <v>833</v>
      </c>
      <c r="G39" s="146"/>
      <c r="H39" s="146">
        <f t="shared" si="1"/>
        <v>1</v>
      </c>
      <c r="J39" s="283" t="s">
        <v>5</v>
      </c>
      <c r="K39" s="283" t="s">
        <v>5</v>
      </c>
      <c r="L39" s="283" t="s">
        <v>5</v>
      </c>
      <c r="M39" s="283" t="s">
        <v>5</v>
      </c>
      <c r="N39" s="283" t="s">
        <v>5</v>
      </c>
      <c r="O39" s="283" t="s">
        <v>5</v>
      </c>
      <c r="P39" s="283" t="s">
        <v>5</v>
      </c>
      <c r="Q39" s="283" t="s">
        <v>5</v>
      </c>
      <c r="R39" s="395">
        <v>1</v>
      </c>
      <c r="S39" s="283" t="s">
        <v>5</v>
      </c>
      <c r="T39" s="283" t="s">
        <v>5</v>
      </c>
      <c r="U39" s="283" t="s">
        <v>5</v>
      </c>
      <c r="V39" s="283" t="s">
        <v>5</v>
      </c>
    </row>
    <row r="40" spans="1:22">
      <c r="A40" s="18"/>
      <c r="B40" s="398"/>
      <c r="C40" s="18"/>
      <c r="E40" s="191" t="s">
        <v>828</v>
      </c>
      <c r="F40" s="18"/>
      <c r="G40" s="146"/>
      <c r="H40" s="146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5"/>
      <c r="V40" s="395"/>
    </row>
    <row r="41" spans="1:22">
      <c r="A41" s="18"/>
      <c r="B41" s="398"/>
      <c r="C41" s="18" t="str">
        <f>VLOOKUP(F41,DM_CKDH!$B$5:$E$51,3,0)</f>
        <v>Biện Pháp</v>
      </c>
      <c r="D41">
        <v>1</v>
      </c>
      <c r="E41" s="18" t="str">
        <f>VLOOKUP(F41,DM_CKDH!$B$5:$E$42,2,0)</f>
        <v>Đào taluy chân cừ khu biên</v>
      </c>
      <c r="F41" s="18" t="s">
        <v>834</v>
      </c>
      <c r="G41" s="146"/>
      <c r="H41" s="146">
        <f t="shared" ref="H41" si="2">SUM(J41:V41)</f>
        <v>1</v>
      </c>
      <c r="J41" s="283" t="s">
        <v>5</v>
      </c>
      <c r="K41" s="283" t="s">
        <v>5</v>
      </c>
      <c r="L41" s="283" t="s">
        <v>5</v>
      </c>
      <c r="M41" s="283" t="s">
        <v>5</v>
      </c>
      <c r="N41" s="283" t="s">
        <v>5</v>
      </c>
      <c r="O41" s="283" t="s">
        <v>5</v>
      </c>
      <c r="P41" s="283" t="s">
        <v>5</v>
      </c>
      <c r="Q41" s="283" t="s">
        <v>5</v>
      </c>
      <c r="R41" s="283" t="s">
        <v>5</v>
      </c>
      <c r="S41" s="395">
        <v>1</v>
      </c>
      <c r="T41" s="283" t="s">
        <v>5</v>
      </c>
      <c r="U41" s="283" t="s">
        <v>5</v>
      </c>
      <c r="V41" s="283" t="s">
        <v>5</v>
      </c>
    </row>
    <row r="42" spans="1:22">
      <c r="A42" s="18"/>
      <c r="B42" s="398"/>
      <c r="C42" s="18"/>
      <c r="E42" s="191" t="s">
        <v>835</v>
      </c>
      <c r="F42" s="18"/>
      <c r="G42" s="146"/>
      <c r="H42" s="146"/>
      <c r="J42" s="395"/>
      <c r="K42" s="395"/>
      <c r="L42" s="395"/>
      <c r="M42" s="395"/>
      <c r="N42" s="395"/>
      <c r="O42" s="395"/>
      <c r="P42" s="395"/>
      <c r="Q42" s="395"/>
      <c r="R42" s="395"/>
      <c r="S42" s="395"/>
      <c r="T42" s="395"/>
      <c r="U42" s="395"/>
      <c r="V42" s="395"/>
    </row>
    <row r="43" spans="1:22">
      <c r="A43" s="18"/>
      <c r="B43" s="398"/>
      <c r="C43" s="18" t="str">
        <f>VLOOKUP(F43,DM_CKDH!$B$5:$E$51,3,0)</f>
        <v>Biện Pháp</v>
      </c>
      <c r="D43">
        <v>1</v>
      </c>
      <c r="E43" s="18" t="str">
        <f>VLOOKUP(F43,DM_CKDH!$B$5:$E$42,2,0)</f>
        <v>Đắp đất cục bộ khu lõi</v>
      </c>
      <c r="F43" s="18" t="s">
        <v>836</v>
      </c>
      <c r="G43" s="146"/>
      <c r="H43" s="146">
        <f t="shared" ref="H43" si="3">SUM(J43:V43)</f>
        <v>1</v>
      </c>
      <c r="J43" s="283" t="s">
        <v>5</v>
      </c>
      <c r="K43" s="283" t="s">
        <v>5</v>
      </c>
      <c r="L43" s="283" t="s">
        <v>5</v>
      </c>
      <c r="M43" s="283" t="s">
        <v>5</v>
      </c>
      <c r="N43" s="283" t="s">
        <v>5</v>
      </c>
      <c r="O43" s="283" t="s">
        <v>5</v>
      </c>
      <c r="P43" s="283" t="s">
        <v>5</v>
      </c>
      <c r="Q43" s="283" t="s">
        <v>5</v>
      </c>
      <c r="R43" s="283" t="s">
        <v>5</v>
      </c>
      <c r="S43" s="283" t="s">
        <v>5</v>
      </c>
      <c r="T43" s="395">
        <v>1</v>
      </c>
      <c r="U43" s="283" t="s">
        <v>5</v>
      </c>
      <c r="V43" s="283" t="s">
        <v>5</v>
      </c>
    </row>
    <row r="44" spans="1:22">
      <c r="A44" s="18"/>
      <c r="B44" s="398"/>
      <c r="C44" s="18"/>
      <c r="E44" s="191" t="s">
        <v>837</v>
      </c>
      <c r="F44" s="18"/>
      <c r="G44" s="146"/>
      <c r="H44" s="146"/>
      <c r="J44" s="395"/>
      <c r="K44" s="395"/>
      <c r="L44" s="395"/>
      <c r="M44" s="395"/>
      <c r="N44" s="395"/>
      <c r="O44" s="395"/>
      <c r="P44" s="395"/>
      <c r="Q44" s="395"/>
      <c r="R44" s="395"/>
      <c r="S44" s="395"/>
      <c r="T44" s="395"/>
      <c r="U44" s="395"/>
      <c r="V44" s="395"/>
    </row>
    <row r="45" spans="1:22">
      <c r="A45" s="18"/>
      <c r="B45" s="398"/>
      <c r="C45" s="18" t="str">
        <f>VLOOKUP(F45,DM_CKDH!$B$5:$E$51,3,0)</f>
        <v>Biện Pháp</v>
      </c>
      <c r="D45">
        <v>1</v>
      </c>
      <c r="E45" s="18" t="str">
        <f>VLOOKUP(F45,DM_CKDH!$B$5:$E$42,2,0)</f>
        <v>Đắp đất giữa cừ và vách hầm</v>
      </c>
      <c r="F45" s="18" t="s">
        <v>848</v>
      </c>
      <c r="G45" s="146"/>
      <c r="H45" s="146">
        <f t="shared" ref="H45" si="4">SUM(J45:V45)</f>
        <v>1</v>
      </c>
      <c r="J45" s="283" t="s">
        <v>5</v>
      </c>
      <c r="K45" s="283" t="s">
        <v>5</v>
      </c>
      <c r="L45" s="283" t="s">
        <v>5</v>
      </c>
      <c r="M45" s="283" t="s">
        <v>5</v>
      </c>
      <c r="N45" s="283" t="s">
        <v>5</v>
      </c>
      <c r="O45" s="283" t="s">
        <v>5</v>
      </c>
      <c r="P45" s="283" t="s">
        <v>5</v>
      </c>
      <c r="Q45" s="283" t="s">
        <v>5</v>
      </c>
      <c r="R45" s="283" t="s">
        <v>5</v>
      </c>
      <c r="S45" s="283" t="s">
        <v>5</v>
      </c>
      <c r="T45" s="283" t="s">
        <v>5</v>
      </c>
      <c r="U45" s="395">
        <v>1</v>
      </c>
      <c r="V45" s="283" t="s">
        <v>5</v>
      </c>
    </row>
    <row r="46" spans="1:22">
      <c r="A46" s="18"/>
      <c r="B46" s="33"/>
      <c r="C46" s="18"/>
      <c r="E46" s="18"/>
      <c r="F46" s="18"/>
      <c r="G46" s="146"/>
      <c r="H46" s="146"/>
      <c r="J46" s="283"/>
      <c r="K46" s="283"/>
      <c r="L46" s="283"/>
      <c r="M46" s="283"/>
      <c r="N46" s="283"/>
      <c r="O46" s="395"/>
      <c r="P46" s="395"/>
      <c r="Q46" s="283"/>
      <c r="R46" s="395"/>
      <c r="S46" s="395"/>
      <c r="T46" s="395"/>
      <c r="U46" s="395"/>
      <c r="V46" s="283"/>
    </row>
    <row r="47" spans="1:22">
      <c r="A47" s="308" t="s">
        <v>512</v>
      </c>
      <c r="B47" s="309"/>
      <c r="C47" s="309"/>
      <c r="D47" s="309"/>
      <c r="E47" s="309"/>
      <c r="F47" s="309"/>
      <c r="G47" s="309"/>
      <c r="H47" s="309"/>
      <c r="I47" s="309"/>
      <c r="J47" s="309"/>
      <c r="K47" s="309"/>
      <c r="L47" s="309"/>
      <c r="M47" s="309"/>
      <c r="N47" s="309"/>
      <c r="O47" s="309"/>
      <c r="P47" s="309"/>
      <c r="Q47" s="310"/>
      <c r="R47" s="310"/>
      <c r="S47" s="310"/>
      <c r="T47" s="310"/>
      <c r="U47" s="310"/>
      <c r="V47" s="310"/>
    </row>
    <row r="48" spans="1:22">
      <c r="A48" s="18"/>
      <c r="B48" s="63"/>
      <c r="C48" s="18"/>
      <c r="E48" s="191" t="s">
        <v>425</v>
      </c>
      <c r="F48" s="18"/>
      <c r="G48" s="146"/>
      <c r="H48" s="146"/>
      <c r="J48" s="284"/>
      <c r="K48" s="284"/>
      <c r="L48" s="284"/>
      <c r="M48" s="284"/>
      <c r="N48" s="284"/>
      <c r="O48" s="395"/>
      <c r="P48" s="395"/>
      <c r="Q48" s="284"/>
      <c r="R48" s="395"/>
      <c r="S48" s="395"/>
      <c r="T48" s="395"/>
      <c r="U48" s="395"/>
      <c r="V48" s="284"/>
    </row>
    <row r="49" spans="1:22">
      <c r="A49" s="18"/>
      <c r="B49" s="33"/>
      <c r="C49" s="18" t="str">
        <f>VLOOKUP(F49,DM_CKDH!$B$5:$E$51,3,0)</f>
        <v>Biện Pháp</v>
      </c>
      <c r="D49">
        <v>1</v>
      </c>
      <c r="E49" s="18" t="str">
        <f>VLOOKUP(F49,DM_CKDH!$B$5:$E$42,2,0)</f>
        <v>Biện Pháp khác</v>
      </c>
      <c r="F49" s="18" t="str">
        <f>DM_CKDH!B42</f>
        <v>X11.11</v>
      </c>
      <c r="G49" s="146"/>
      <c r="H49" s="146">
        <f>SUM(J49:V49)</f>
        <v>1</v>
      </c>
      <c r="J49" s="283" t="s">
        <v>5</v>
      </c>
      <c r="K49" s="283" t="s">
        <v>5</v>
      </c>
      <c r="L49" s="283" t="s">
        <v>5</v>
      </c>
      <c r="M49" s="283" t="s">
        <v>5</v>
      </c>
      <c r="N49" s="283" t="s">
        <v>5</v>
      </c>
      <c r="O49" s="395" t="s">
        <v>5</v>
      </c>
      <c r="P49" s="395" t="s">
        <v>5</v>
      </c>
      <c r="Q49" s="283" t="s">
        <v>5</v>
      </c>
      <c r="R49" s="283" t="s">
        <v>5</v>
      </c>
      <c r="S49" s="283" t="s">
        <v>5</v>
      </c>
      <c r="T49" s="283" t="s">
        <v>5</v>
      </c>
      <c r="U49" s="283" t="s">
        <v>5</v>
      </c>
      <c r="V49" s="283">
        <v>1</v>
      </c>
    </row>
    <row r="50" spans="1:22">
      <c r="A50" s="18"/>
      <c r="B50" s="33"/>
      <c r="C50" s="18"/>
      <c r="E50" s="18"/>
      <c r="F50" s="18"/>
      <c r="G50" s="146"/>
      <c r="H50" s="146"/>
      <c r="J50" s="283"/>
      <c r="K50" s="283"/>
      <c r="L50" s="283"/>
      <c r="M50" s="283"/>
      <c r="N50" s="283"/>
      <c r="O50" s="395"/>
      <c r="P50" s="395"/>
      <c r="Q50" s="283"/>
      <c r="R50" s="283"/>
      <c r="S50" s="283"/>
      <c r="T50" s="283"/>
      <c r="U50" s="283"/>
      <c r="V50" s="283"/>
    </row>
  </sheetData>
  <autoFilter ref="A7:V50" xr:uid="{00000000-0001-0000-0B00-000000000000}"/>
  <mergeCells count="3">
    <mergeCell ref="A4:A5"/>
    <mergeCell ref="E4:E5"/>
    <mergeCell ref="F4:F5"/>
  </mergeCells>
  <phoneticPr fontId="19" type="noConversion"/>
  <conditionalFormatting sqref="I9:V26 I28:V34 I48:V50 I36:V46">
    <cfRule type="cellIs" dxfId="338" priority="1" operator="equal">
      <formula>"N/A"</formula>
    </cfRule>
    <cfRule type="expression" dxfId="337" priority="2">
      <formula>MOD(ROW(),2)=1</formula>
    </cfRule>
  </conditionalFormatting>
  <printOptions horizontalCentered="1"/>
  <pageMargins left="0.7" right="0" top="0.75" bottom="0.75" header="0.3" footer="0.3"/>
  <pageSetup paperSize="9" scale="37" fitToHeight="0" orientation="landscape" r:id="rId1"/>
  <headerFooter>
    <oddHeader>&amp;R&amp;20SX-QLDA/QT02.01/BM04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346DD-BF1A-4655-ACE3-BCD4991EEF0A}">
  <sheetPr codeName="Sheet1">
    <tabColor rgb="FFFFFF00"/>
    <outlinePr summaryBelow="0"/>
  </sheetPr>
  <dimension ref="A1:N141"/>
  <sheetViews>
    <sheetView tabSelected="1" view="pageBreakPreview" zoomScale="130" zoomScaleNormal="40" zoomScaleSheetLayoutView="130" workbookViewId="0">
      <pane xSplit="8" ySplit="6" topLeftCell="I7" activePane="bottomRight" state="frozen"/>
      <selection activeCell="I119" sqref="I119"/>
      <selection pane="topRight" activeCell="I119" sqref="I119"/>
      <selection pane="bottomLeft" activeCell="I119" sqref="I119"/>
      <selection pane="bottomRight" activeCell="D11" sqref="D11"/>
    </sheetView>
  </sheetViews>
  <sheetFormatPr baseColWidth="10" defaultColWidth="9" defaultRowHeight="16" outlineLevelRow="2" outlineLevelCol="1"/>
  <cols>
    <col min="1" max="1" width="5.83203125" style="158" customWidth="1" outlineLevel="1"/>
    <col min="2" max="5" width="9.83203125" style="158" customWidth="1" outlineLevel="1"/>
    <col min="6" max="6" width="39.33203125" style="158" customWidth="1" outlineLevel="1"/>
    <col min="7" max="7" width="10.1640625" style="158" customWidth="1"/>
    <col min="8" max="8" width="48.6640625" style="158" customWidth="1" outlineLevel="1"/>
    <col min="9" max="9" width="14.5" style="158" customWidth="1" outlineLevel="1"/>
    <col min="10" max="11" width="10.83203125" style="158" customWidth="1"/>
    <col min="12" max="12" width="17.5" customWidth="1"/>
    <col min="13" max="13" width="17.6640625" customWidth="1"/>
    <col min="14" max="14" width="17.33203125" customWidth="1"/>
  </cols>
  <sheetData>
    <row r="1" spans="1:14" ht="26">
      <c r="A1" s="148" t="s">
        <v>51</v>
      </c>
      <c r="B1" s="149"/>
      <c r="C1" s="149"/>
      <c r="D1" s="142"/>
      <c r="E1" s="142"/>
      <c r="F1" s="142"/>
      <c r="G1" s="142"/>
      <c r="H1" s="142"/>
      <c r="I1" s="142"/>
      <c r="J1" s="142"/>
      <c r="K1" s="142"/>
    </row>
    <row r="2" spans="1:14" ht="15">
      <c r="A2" s="140" t="s">
        <v>168</v>
      </c>
      <c r="B2" s="149"/>
      <c r="C2" s="149"/>
      <c r="D2" s="142"/>
      <c r="E2" s="142"/>
      <c r="F2" s="140" t="s">
        <v>942</v>
      </c>
      <c r="G2" s="141"/>
      <c r="H2" s="141"/>
      <c r="I2" s="141"/>
      <c r="J2" s="144"/>
      <c r="K2" s="144"/>
    </row>
    <row r="3" spans="1:14" ht="15">
      <c r="A3" s="140"/>
      <c r="B3" s="149"/>
      <c r="C3" s="149"/>
      <c r="D3" s="142"/>
      <c r="E3" s="142"/>
      <c r="F3" s="140"/>
      <c r="G3" s="152"/>
      <c r="H3" s="151"/>
      <c r="I3" s="153"/>
      <c r="J3" s="154"/>
      <c r="K3" s="154"/>
    </row>
    <row r="4" spans="1:14" ht="17">
      <c r="A4" s="155"/>
      <c r="B4" s="156" t="s">
        <v>3</v>
      </c>
      <c r="C4" s="156" t="s">
        <v>30</v>
      </c>
      <c r="D4" s="156" t="s">
        <v>112</v>
      </c>
      <c r="E4" s="408" t="s">
        <v>947</v>
      </c>
      <c r="F4" s="156" t="s">
        <v>113</v>
      </c>
      <c r="G4" s="156"/>
      <c r="H4" s="157"/>
      <c r="I4" s="157"/>
      <c r="J4" s="193" t="s">
        <v>131</v>
      </c>
      <c r="K4" s="193"/>
      <c r="L4" s="193"/>
      <c r="M4" s="200" t="s">
        <v>140</v>
      </c>
      <c r="N4" s="206" t="s">
        <v>141</v>
      </c>
    </row>
    <row r="5" spans="1:14" ht="51">
      <c r="A5" s="159"/>
      <c r="B5" s="160"/>
      <c r="C5" s="160"/>
      <c r="D5" s="160"/>
      <c r="E5" s="409"/>
      <c r="F5" s="160"/>
      <c r="G5" s="160" t="s">
        <v>27</v>
      </c>
      <c r="H5" s="160" t="s">
        <v>46</v>
      </c>
      <c r="I5" s="160" t="s">
        <v>943</v>
      </c>
      <c r="J5" s="201" t="s">
        <v>132</v>
      </c>
      <c r="K5" s="406" t="s">
        <v>945</v>
      </c>
      <c r="L5" s="407" t="s">
        <v>944</v>
      </c>
      <c r="M5" s="203" t="s">
        <v>161</v>
      </c>
      <c r="N5" s="204" t="s">
        <v>161</v>
      </c>
    </row>
    <row r="6" spans="1:14">
      <c r="A6" s="155"/>
      <c r="B6" s="156" t="s">
        <v>17</v>
      </c>
      <c r="C6" s="156" t="s">
        <v>860</v>
      </c>
      <c r="D6" s="156" t="s">
        <v>861</v>
      </c>
      <c r="E6" s="156" t="s">
        <v>862</v>
      </c>
      <c r="F6" s="156" t="s">
        <v>863</v>
      </c>
      <c r="G6" s="156" t="s">
        <v>864</v>
      </c>
      <c r="H6" s="156" t="s">
        <v>946</v>
      </c>
      <c r="I6" s="156" t="s">
        <v>865</v>
      </c>
      <c r="J6" s="164" t="s">
        <v>866</v>
      </c>
      <c r="K6" s="205" t="s">
        <v>867</v>
      </c>
      <c r="L6" s="195" t="s">
        <v>868</v>
      </c>
      <c r="M6" s="164" t="s">
        <v>948</v>
      </c>
      <c r="N6" s="205" t="s">
        <v>949</v>
      </c>
    </row>
    <row r="7" spans="1:14" s="242" customFormat="1" ht="34" outlineLevel="2">
      <c r="A7" s="239"/>
      <c r="B7" s="239" t="s">
        <v>353</v>
      </c>
      <c r="C7" s="239"/>
      <c r="D7" s="239" t="s">
        <v>885</v>
      </c>
      <c r="E7" s="410"/>
      <c r="F7" s="239" t="s">
        <v>127</v>
      </c>
      <c r="G7" s="168" t="s">
        <v>213</v>
      </c>
      <c r="H7" s="172" t="s">
        <v>170</v>
      </c>
      <c r="I7" s="224">
        <v>426.64339999999999</v>
      </c>
      <c r="J7" s="224">
        <v>426.64339999999999</v>
      </c>
      <c r="K7" s="169"/>
      <c r="L7" s="169"/>
      <c r="M7" s="405"/>
      <c r="N7" s="405"/>
    </row>
    <row r="8" spans="1:14" s="242" customFormat="1" ht="17" outlineLevel="2">
      <c r="A8" s="239"/>
      <c r="B8" s="239" t="s">
        <v>581</v>
      </c>
      <c r="C8" s="239" t="s">
        <v>30</v>
      </c>
      <c r="D8" s="239"/>
      <c r="E8" s="410"/>
      <c r="F8" s="239" t="s">
        <v>276</v>
      </c>
      <c r="G8" s="168" t="s">
        <v>13</v>
      </c>
      <c r="H8" s="172"/>
      <c r="I8" s="224"/>
      <c r="J8" s="224"/>
      <c r="K8" s="169"/>
      <c r="L8" s="169"/>
      <c r="M8" s="169"/>
      <c r="N8" s="169"/>
    </row>
    <row r="9" spans="1:14" s="242" customFormat="1" ht="34" outlineLevel="2">
      <c r="A9" s="239"/>
      <c r="B9" s="239" t="s">
        <v>354</v>
      </c>
      <c r="C9" s="239"/>
      <c r="D9" s="239" t="s">
        <v>886</v>
      </c>
      <c r="E9" s="410"/>
      <c r="F9" s="239" t="s">
        <v>237</v>
      </c>
      <c r="G9" s="168" t="s">
        <v>213</v>
      </c>
      <c r="H9" s="172" t="s">
        <v>171</v>
      </c>
      <c r="I9" s="224">
        <v>42.664299999999997</v>
      </c>
      <c r="J9" s="224">
        <v>42.664299999999997</v>
      </c>
      <c r="K9" s="169"/>
      <c r="L9" s="169"/>
      <c r="M9" s="169"/>
      <c r="N9" s="169"/>
    </row>
    <row r="10" spans="1:14" s="242" customFormat="1" ht="17" outlineLevel="2">
      <c r="A10" s="239"/>
      <c r="B10" s="239" t="s">
        <v>582</v>
      </c>
      <c r="C10" s="239" t="s">
        <v>30</v>
      </c>
      <c r="D10" s="239"/>
      <c r="E10" s="410"/>
      <c r="F10" s="239" t="s">
        <v>277</v>
      </c>
      <c r="G10" s="168" t="s">
        <v>13</v>
      </c>
      <c r="H10" s="172"/>
      <c r="I10" s="224"/>
      <c r="J10" s="224"/>
      <c r="K10" s="169"/>
      <c r="L10" s="169"/>
      <c r="M10" s="169"/>
      <c r="N10" s="169"/>
    </row>
    <row r="11" spans="1:14" ht="34" outlineLevel="2">
      <c r="A11" s="166"/>
      <c r="B11" s="166"/>
      <c r="C11" s="166"/>
      <c r="D11" s="166"/>
      <c r="E11" s="411"/>
      <c r="F11" s="166"/>
      <c r="G11" s="168" t="s">
        <v>213</v>
      </c>
      <c r="H11" s="172" t="s">
        <v>172</v>
      </c>
      <c r="I11" s="224">
        <v>383.97910000000002</v>
      </c>
      <c r="J11" s="224">
        <v>383.97910000000002</v>
      </c>
      <c r="K11" s="169"/>
      <c r="L11" s="169"/>
      <c r="M11" s="169"/>
      <c r="N11" s="169"/>
    </row>
    <row r="12" spans="1:14" ht="34" outlineLevel="2">
      <c r="A12" s="166"/>
      <c r="B12" s="166"/>
      <c r="C12" s="166"/>
      <c r="D12" s="166"/>
      <c r="E12" s="411"/>
      <c r="F12" s="166"/>
      <c r="G12" s="168" t="s">
        <v>213</v>
      </c>
      <c r="H12" s="172" t="s">
        <v>173</v>
      </c>
      <c r="I12" s="224">
        <v>383.97910000000002</v>
      </c>
      <c r="J12" s="224">
        <v>383.97910000000002</v>
      </c>
      <c r="K12" s="169"/>
      <c r="L12" s="169"/>
      <c r="M12" s="169"/>
      <c r="N12" s="169"/>
    </row>
    <row r="13" spans="1:14" s="242" customFormat="1" ht="34" outlineLevel="2">
      <c r="A13" s="239"/>
      <c r="B13" s="239" t="s">
        <v>355</v>
      </c>
      <c r="C13" s="239"/>
      <c r="D13" s="239" t="s">
        <v>887</v>
      </c>
      <c r="E13" s="410"/>
      <c r="F13" s="239" t="s">
        <v>238</v>
      </c>
      <c r="G13" s="168" t="s">
        <v>213</v>
      </c>
      <c r="H13" s="172" t="s">
        <v>174</v>
      </c>
      <c r="I13" s="224">
        <v>383.97910000000002</v>
      </c>
      <c r="J13" s="224">
        <v>383.97910000000002</v>
      </c>
      <c r="K13" s="169"/>
      <c r="L13" s="169"/>
      <c r="M13" s="169"/>
      <c r="N13" s="169"/>
    </row>
    <row r="14" spans="1:14" s="242" customFormat="1" ht="17" outlineLevel="2">
      <c r="A14" s="239"/>
      <c r="B14" s="239" t="s">
        <v>583</v>
      </c>
      <c r="C14" s="239" t="s">
        <v>30</v>
      </c>
      <c r="D14" s="239"/>
      <c r="E14" s="410"/>
      <c r="F14" s="239" t="s">
        <v>293</v>
      </c>
      <c r="G14" s="168" t="s">
        <v>13</v>
      </c>
      <c r="H14" s="172"/>
      <c r="I14" s="224"/>
      <c r="J14" s="224"/>
      <c r="K14" s="169"/>
      <c r="L14" s="169"/>
      <c r="M14" s="169"/>
      <c r="N14" s="169"/>
    </row>
    <row r="15" spans="1:14" s="242" customFormat="1" ht="34" outlineLevel="2">
      <c r="A15" s="239"/>
      <c r="B15" s="239" t="s">
        <v>356</v>
      </c>
      <c r="C15" s="239"/>
      <c r="D15" s="239" t="s">
        <v>855</v>
      </c>
      <c r="E15" s="410"/>
      <c r="F15" s="240" t="s">
        <v>335</v>
      </c>
      <c r="G15" s="168" t="s">
        <v>214</v>
      </c>
      <c r="H15" s="172" t="s">
        <v>175</v>
      </c>
      <c r="I15" s="224">
        <v>5.2294999999999998</v>
      </c>
      <c r="J15" s="224">
        <v>5.2294999999999998</v>
      </c>
      <c r="K15" s="169"/>
      <c r="L15" s="169"/>
      <c r="M15" s="169"/>
      <c r="N15" s="169"/>
    </row>
    <row r="16" spans="1:14" s="242" customFormat="1" ht="17" outlineLevel="2">
      <c r="A16" s="239"/>
      <c r="B16" s="239" t="s">
        <v>575</v>
      </c>
      <c r="C16" s="239" t="s">
        <v>30</v>
      </c>
      <c r="D16" s="239"/>
      <c r="E16" s="410"/>
      <c r="F16" s="240" t="s">
        <v>334</v>
      </c>
      <c r="G16" s="168" t="s">
        <v>14</v>
      </c>
      <c r="H16" s="172"/>
      <c r="I16" s="224"/>
      <c r="J16" s="224"/>
      <c r="K16" s="169"/>
      <c r="L16" s="169"/>
      <c r="M16" s="169"/>
      <c r="N16" s="169"/>
    </row>
    <row r="17" spans="1:14" s="242" customFormat="1" ht="34" outlineLevel="2">
      <c r="A17" s="239"/>
      <c r="B17" s="239" t="s">
        <v>562</v>
      </c>
      <c r="C17" s="239" t="s">
        <v>30</v>
      </c>
      <c r="D17" s="239"/>
      <c r="E17" s="410"/>
      <c r="F17" s="240" t="s">
        <v>341</v>
      </c>
      <c r="G17" s="168" t="s">
        <v>14</v>
      </c>
      <c r="H17" s="172"/>
      <c r="I17" s="224"/>
      <c r="J17" s="224"/>
      <c r="K17" s="169"/>
      <c r="L17" s="169"/>
      <c r="M17" s="169"/>
      <c r="N17" s="169"/>
    </row>
    <row r="18" spans="1:14" s="242" customFormat="1" ht="17" outlineLevel="2">
      <c r="A18" s="239"/>
      <c r="B18" s="239" t="s">
        <v>586</v>
      </c>
      <c r="C18" s="239" t="s">
        <v>30</v>
      </c>
      <c r="D18" s="239"/>
      <c r="E18" s="410"/>
      <c r="F18" s="240" t="s">
        <v>342</v>
      </c>
      <c r="G18" s="168" t="s">
        <v>14</v>
      </c>
      <c r="H18" s="172"/>
      <c r="I18" s="224"/>
      <c r="J18" s="224"/>
      <c r="K18" s="169"/>
      <c r="L18" s="169"/>
      <c r="M18" s="169"/>
      <c r="N18" s="169"/>
    </row>
    <row r="19" spans="1:14" s="242" customFormat="1" ht="34" outlineLevel="2">
      <c r="A19" s="239"/>
      <c r="B19" s="239" t="s">
        <v>357</v>
      </c>
      <c r="C19" s="239" t="s">
        <v>30</v>
      </c>
      <c r="D19" s="239" t="s">
        <v>849</v>
      </c>
      <c r="E19" s="410"/>
      <c r="F19" s="239" t="s">
        <v>243</v>
      </c>
      <c r="G19" s="168" t="s">
        <v>13</v>
      </c>
      <c r="H19" s="172" t="s">
        <v>176</v>
      </c>
      <c r="I19" s="224">
        <v>273.0532</v>
      </c>
      <c r="J19" s="224">
        <v>273.0532</v>
      </c>
      <c r="K19" s="169"/>
      <c r="L19" s="169"/>
      <c r="M19" s="169"/>
      <c r="N19" s="169"/>
    </row>
    <row r="20" spans="1:14" s="242" customFormat="1" ht="34" outlineLevel="2">
      <c r="A20" s="239"/>
      <c r="B20" s="239" t="s">
        <v>358</v>
      </c>
      <c r="C20" s="239"/>
      <c r="D20" s="239" t="s">
        <v>856</v>
      </c>
      <c r="E20" s="410"/>
      <c r="F20" s="240" t="s">
        <v>336</v>
      </c>
      <c r="G20" s="168" t="s">
        <v>214</v>
      </c>
      <c r="H20" s="172" t="s">
        <v>177</v>
      </c>
      <c r="I20" s="224">
        <v>58.400599999999997</v>
      </c>
      <c r="J20" s="224">
        <v>58.400599999999997</v>
      </c>
      <c r="K20" s="169"/>
      <c r="L20" s="169"/>
      <c r="M20" s="169"/>
      <c r="N20" s="169"/>
    </row>
    <row r="21" spans="1:14" s="242" customFormat="1" ht="17" outlineLevel="2">
      <c r="A21" s="239"/>
      <c r="B21" s="239" t="s">
        <v>576</v>
      </c>
      <c r="C21" s="239" t="s">
        <v>30</v>
      </c>
      <c r="D21" s="239"/>
      <c r="E21" s="410"/>
      <c r="F21" s="239" t="s">
        <v>337</v>
      </c>
      <c r="G21" s="168" t="s">
        <v>14</v>
      </c>
      <c r="H21" s="172"/>
      <c r="I21" s="224"/>
      <c r="J21" s="224"/>
      <c r="K21" s="169"/>
      <c r="L21" s="169"/>
      <c r="M21" s="169"/>
      <c r="N21" s="169"/>
    </row>
    <row r="22" spans="1:14" s="242" customFormat="1" ht="34" outlineLevel="2">
      <c r="A22" s="239"/>
      <c r="B22" s="239" t="s">
        <v>563</v>
      </c>
      <c r="C22" s="239" t="s">
        <v>30</v>
      </c>
      <c r="D22" s="239"/>
      <c r="E22" s="410"/>
      <c r="F22" s="240" t="s">
        <v>339</v>
      </c>
      <c r="G22" s="168" t="s">
        <v>14</v>
      </c>
      <c r="H22" s="172"/>
      <c r="I22" s="224"/>
      <c r="J22" s="224"/>
      <c r="K22" s="169"/>
      <c r="L22" s="169"/>
      <c r="M22" s="169"/>
      <c r="N22" s="169"/>
    </row>
    <row r="23" spans="1:14" s="242" customFormat="1" ht="17" outlineLevel="2">
      <c r="A23" s="239"/>
      <c r="B23" s="239" t="s">
        <v>587</v>
      </c>
      <c r="C23" s="239" t="s">
        <v>30</v>
      </c>
      <c r="D23" s="239"/>
      <c r="E23" s="410"/>
      <c r="F23" s="240" t="s">
        <v>340</v>
      </c>
      <c r="G23" s="168" t="s">
        <v>14</v>
      </c>
      <c r="H23" s="172"/>
      <c r="I23" s="224"/>
      <c r="J23" s="224"/>
      <c r="K23" s="169"/>
      <c r="L23" s="169"/>
      <c r="M23" s="169"/>
      <c r="N23" s="169"/>
    </row>
    <row r="24" spans="1:14" s="242" customFormat="1" ht="34" outlineLevel="2">
      <c r="A24" s="239"/>
      <c r="B24" s="239" t="s">
        <v>577</v>
      </c>
      <c r="C24" s="239"/>
      <c r="D24" s="239" t="s">
        <v>888</v>
      </c>
      <c r="E24" s="410"/>
      <c r="F24" s="239" t="s">
        <v>239</v>
      </c>
      <c r="G24" s="168" t="s">
        <v>215</v>
      </c>
      <c r="H24" s="172" t="s">
        <v>178</v>
      </c>
      <c r="I24" s="224">
        <v>40.188299999999998</v>
      </c>
      <c r="J24" s="224">
        <v>40.188299999999998</v>
      </c>
      <c r="K24" s="169"/>
      <c r="L24" s="169"/>
      <c r="M24" s="169"/>
      <c r="N24" s="169"/>
    </row>
    <row r="25" spans="1:14" s="242" customFormat="1" ht="34" outlineLevel="2">
      <c r="A25" s="239"/>
      <c r="B25" s="239" t="s">
        <v>564</v>
      </c>
      <c r="C25" s="239"/>
      <c r="D25" s="239" t="s">
        <v>889</v>
      </c>
      <c r="E25" s="410"/>
      <c r="F25" s="239" t="s">
        <v>240</v>
      </c>
      <c r="G25" s="168" t="s">
        <v>215</v>
      </c>
      <c r="H25" s="172" t="s">
        <v>179</v>
      </c>
      <c r="I25" s="224">
        <v>48.896799999999999</v>
      </c>
      <c r="J25" s="224">
        <v>48.896799999999999</v>
      </c>
      <c r="K25" s="169"/>
      <c r="L25" s="169"/>
      <c r="M25" s="169"/>
      <c r="N25" s="169"/>
    </row>
    <row r="26" spans="1:14" s="242" customFormat="1" ht="34" outlineLevel="2">
      <c r="A26" s="239"/>
      <c r="B26" s="239" t="s">
        <v>578</v>
      </c>
      <c r="C26" s="239"/>
      <c r="D26" s="239" t="s">
        <v>890</v>
      </c>
      <c r="E26" s="410"/>
      <c r="F26" s="239" t="s">
        <v>241</v>
      </c>
      <c r="G26" s="168" t="s">
        <v>215</v>
      </c>
      <c r="H26" s="172" t="s">
        <v>180</v>
      </c>
      <c r="I26" s="224">
        <v>215.26730000000001</v>
      </c>
      <c r="J26" s="224">
        <v>215.26730000000001</v>
      </c>
      <c r="K26" s="169"/>
      <c r="L26" s="169"/>
      <c r="M26" s="169"/>
      <c r="N26" s="169"/>
    </row>
    <row r="27" spans="1:14" s="242" customFormat="1" ht="17" outlineLevel="2">
      <c r="A27" s="239"/>
      <c r="B27" s="239" t="s">
        <v>359</v>
      </c>
      <c r="C27" s="239" t="s">
        <v>30</v>
      </c>
      <c r="D27" s="239"/>
      <c r="E27" s="410"/>
      <c r="F27" s="239" t="s">
        <v>294</v>
      </c>
      <c r="G27" s="168" t="s">
        <v>15</v>
      </c>
      <c r="H27" s="172"/>
      <c r="I27" s="224"/>
      <c r="J27" s="224"/>
      <c r="K27" s="169"/>
      <c r="L27" s="169"/>
      <c r="M27" s="169"/>
      <c r="N27" s="169"/>
    </row>
    <row r="28" spans="1:14" s="242" customFormat="1" ht="34" outlineLevel="2">
      <c r="A28" s="239"/>
      <c r="B28" s="239" t="s">
        <v>360</v>
      </c>
      <c r="C28" s="239" t="s">
        <v>30</v>
      </c>
      <c r="D28" s="239" t="s">
        <v>857</v>
      </c>
      <c r="E28" s="410"/>
      <c r="F28" s="239" t="s">
        <v>242</v>
      </c>
      <c r="G28" s="168" t="s">
        <v>13</v>
      </c>
      <c r="H28" s="172" t="s">
        <v>181</v>
      </c>
      <c r="I28" s="224">
        <v>3278.1543000000001</v>
      </c>
      <c r="J28" s="224">
        <v>3278.1543000000001</v>
      </c>
      <c r="K28" s="169"/>
      <c r="L28" s="169"/>
      <c r="M28" s="169"/>
      <c r="N28" s="169"/>
    </row>
    <row r="29" spans="1:14" s="242" customFormat="1" ht="34" outlineLevel="2">
      <c r="A29" s="239"/>
      <c r="B29" s="239" t="s">
        <v>369</v>
      </c>
      <c r="C29" s="239" t="s">
        <v>30</v>
      </c>
      <c r="D29" s="239" t="s">
        <v>891</v>
      </c>
      <c r="E29" s="410"/>
      <c r="F29" s="240" t="s">
        <v>310</v>
      </c>
      <c r="G29" s="168" t="s">
        <v>13</v>
      </c>
      <c r="H29" s="172" t="s">
        <v>182</v>
      </c>
      <c r="I29" s="224">
        <v>542.35</v>
      </c>
      <c r="J29" s="224">
        <v>542.35</v>
      </c>
      <c r="K29" s="169"/>
      <c r="L29" s="169"/>
      <c r="M29" s="169"/>
      <c r="N29" s="169"/>
    </row>
    <row r="30" spans="1:14" s="242" customFormat="1" ht="34" outlineLevel="2">
      <c r="A30" s="239"/>
      <c r="B30" s="239" t="s">
        <v>377</v>
      </c>
      <c r="C30" s="239"/>
      <c r="D30" s="239" t="s">
        <v>892</v>
      </c>
      <c r="E30" s="410"/>
      <c r="F30" s="240" t="s">
        <v>343</v>
      </c>
      <c r="G30" s="168" t="s">
        <v>215</v>
      </c>
      <c r="H30" s="172" t="s">
        <v>183</v>
      </c>
      <c r="I30" s="224">
        <v>312.66390000000001</v>
      </c>
      <c r="J30" s="224">
        <v>312.66390000000001</v>
      </c>
      <c r="K30" s="169"/>
      <c r="L30" s="169"/>
      <c r="M30" s="169"/>
      <c r="N30" s="169"/>
    </row>
    <row r="31" spans="1:14" s="242" customFormat="1" ht="34" outlineLevel="2">
      <c r="A31" s="239"/>
      <c r="B31" s="239" t="s">
        <v>584</v>
      </c>
      <c r="C31" s="239" t="s">
        <v>30</v>
      </c>
      <c r="D31" s="239"/>
      <c r="E31" s="410"/>
      <c r="F31" s="240" t="s">
        <v>344</v>
      </c>
      <c r="G31" s="168" t="s">
        <v>15</v>
      </c>
      <c r="H31" s="172"/>
      <c r="I31" s="224"/>
      <c r="J31" s="224"/>
      <c r="K31" s="169"/>
      <c r="L31" s="169"/>
      <c r="M31" s="169"/>
      <c r="N31" s="169"/>
    </row>
    <row r="32" spans="1:14" s="242" customFormat="1" ht="51" outlineLevel="2">
      <c r="A32" s="239"/>
      <c r="B32" s="239" t="s">
        <v>361</v>
      </c>
      <c r="C32" s="239"/>
      <c r="D32" s="239" t="s">
        <v>893</v>
      </c>
      <c r="E32" s="410"/>
      <c r="F32" s="240" t="s">
        <v>524</v>
      </c>
      <c r="G32" s="168" t="s">
        <v>13</v>
      </c>
      <c r="H32" s="172" t="s">
        <v>184</v>
      </c>
      <c r="I32" s="224">
        <v>1627.05</v>
      </c>
      <c r="J32" s="224">
        <v>1627.05</v>
      </c>
      <c r="K32" s="169"/>
      <c r="L32" s="169"/>
      <c r="M32" s="169"/>
      <c r="N32" s="169"/>
    </row>
    <row r="33" spans="1:14" s="242" customFormat="1" ht="34" outlineLevel="2">
      <c r="A33" s="239"/>
      <c r="B33" s="239" t="s">
        <v>585</v>
      </c>
      <c r="C33" s="239" t="s">
        <v>30</v>
      </c>
      <c r="D33" s="239"/>
      <c r="E33" s="410"/>
      <c r="F33" s="240" t="s">
        <v>320</v>
      </c>
      <c r="G33" s="168" t="s">
        <v>13</v>
      </c>
      <c r="H33" s="172"/>
      <c r="I33" s="224"/>
      <c r="J33" s="224"/>
      <c r="K33" s="169"/>
      <c r="L33" s="169"/>
      <c r="M33" s="169"/>
      <c r="N33" s="169"/>
    </row>
    <row r="34" spans="1:14" s="242" customFormat="1" ht="34" outlineLevel="2">
      <c r="A34" s="239"/>
      <c r="B34" s="239" t="s">
        <v>565</v>
      </c>
      <c r="C34" s="239" t="s">
        <v>30</v>
      </c>
      <c r="D34" s="239"/>
      <c r="E34" s="410"/>
      <c r="F34" s="240" t="s">
        <v>321</v>
      </c>
      <c r="G34" s="168" t="s">
        <v>13</v>
      </c>
      <c r="H34" s="172"/>
      <c r="I34" s="224"/>
      <c r="J34" s="224"/>
      <c r="K34" s="169"/>
      <c r="L34" s="169"/>
      <c r="M34" s="169"/>
      <c r="N34" s="169"/>
    </row>
    <row r="35" spans="1:14" s="242" customFormat="1" ht="34" outlineLevel="2">
      <c r="A35" s="239"/>
      <c r="B35" s="239" t="s">
        <v>362</v>
      </c>
      <c r="C35" s="239"/>
      <c r="D35" s="239" t="s">
        <v>894</v>
      </c>
      <c r="E35" s="410"/>
      <c r="F35" s="240" t="s">
        <v>349</v>
      </c>
      <c r="G35" s="168" t="s">
        <v>214</v>
      </c>
      <c r="H35" s="172" t="s">
        <v>185</v>
      </c>
      <c r="I35" s="224">
        <v>24.873899999999999</v>
      </c>
      <c r="J35" s="224">
        <v>24.873899999999999</v>
      </c>
      <c r="K35" s="169"/>
      <c r="L35" s="169"/>
      <c r="M35" s="169"/>
      <c r="N35" s="169"/>
    </row>
    <row r="36" spans="1:14" s="242" customFormat="1" ht="17" outlineLevel="2">
      <c r="A36" s="239"/>
      <c r="B36" s="239" t="s">
        <v>606</v>
      </c>
      <c r="C36" s="239" t="s">
        <v>30</v>
      </c>
      <c r="D36" s="239"/>
      <c r="E36" s="410"/>
      <c r="F36" s="240" t="s">
        <v>350</v>
      </c>
      <c r="G36" s="168" t="s">
        <v>14</v>
      </c>
      <c r="H36" s="172"/>
      <c r="I36" s="224"/>
      <c r="J36" s="224"/>
      <c r="K36" s="169"/>
      <c r="L36" s="169"/>
      <c r="M36" s="169"/>
      <c r="N36" s="169"/>
    </row>
    <row r="37" spans="1:14" s="242" customFormat="1" ht="17" outlineLevel="2">
      <c r="A37" s="239"/>
      <c r="B37" s="239" t="s">
        <v>566</v>
      </c>
      <c r="C37" s="239" t="s">
        <v>30</v>
      </c>
      <c r="D37" s="239"/>
      <c r="E37" s="410"/>
      <c r="F37" s="240" t="s">
        <v>351</v>
      </c>
      <c r="G37" s="168" t="s">
        <v>14</v>
      </c>
      <c r="H37" s="172"/>
      <c r="I37" s="224"/>
      <c r="J37" s="224"/>
      <c r="K37" s="169"/>
      <c r="L37" s="169"/>
      <c r="M37" s="169"/>
      <c r="N37" s="169"/>
    </row>
    <row r="38" spans="1:14" s="242" customFormat="1" ht="34" outlineLevel="2">
      <c r="A38" s="239"/>
      <c r="B38" s="239" t="s">
        <v>588</v>
      </c>
      <c r="C38" s="239"/>
      <c r="D38" s="239" t="s">
        <v>895</v>
      </c>
      <c r="E38" s="410"/>
      <c r="F38" s="239" t="s">
        <v>244</v>
      </c>
      <c r="G38" s="168" t="s">
        <v>215</v>
      </c>
      <c r="H38" s="172" t="s">
        <v>186</v>
      </c>
      <c r="I38" s="224">
        <v>9.3424999999999994</v>
      </c>
      <c r="J38" s="224">
        <v>9.3424999999999994</v>
      </c>
      <c r="K38" s="169"/>
      <c r="L38" s="169"/>
      <c r="M38" s="169"/>
      <c r="N38" s="169"/>
    </row>
    <row r="39" spans="1:14" s="242" customFormat="1" ht="34" outlineLevel="2">
      <c r="A39" s="239"/>
      <c r="B39" s="239" t="s">
        <v>567</v>
      </c>
      <c r="C39" s="239"/>
      <c r="D39" s="239" t="s">
        <v>896</v>
      </c>
      <c r="E39" s="410"/>
      <c r="F39" s="239" t="s">
        <v>245</v>
      </c>
      <c r="G39" s="168" t="s">
        <v>215</v>
      </c>
      <c r="H39" s="172" t="s">
        <v>187</v>
      </c>
      <c r="I39" s="224">
        <v>21.885100000000001</v>
      </c>
      <c r="J39" s="224">
        <v>21.885100000000001</v>
      </c>
      <c r="K39" s="169"/>
      <c r="L39" s="169"/>
      <c r="M39" s="169"/>
      <c r="N39" s="169"/>
    </row>
    <row r="40" spans="1:14" s="242" customFormat="1" ht="17" outlineLevel="2">
      <c r="A40" s="239"/>
      <c r="B40" s="239" t="s">
        <v>363</v>
      </c>
      <c r="C40" s="239" t="s">
        <v>30</v>
      </c>
      <c r="D40" s="239"/>
      <c r="E40" s="410"/>
      <c r="F40" s="239" t="s">
        <v>295</v>
      </c>
      <c r="G40" s="168" t="s">
        <v>15</v>
      </c>
      <c r="H40" s="172"/>
      <c r="I40" s="224"/>
      <c r="J40" s="224"/>
      <c r="K40" s="169"/>
      <c r="L40" s="169"/>
      <c r="M40" s="169"/>
      <c r="N40" s="169"/>
    </row>
    <row r="41" spans="1:14" s="242" customFormat="1" ht="51" outlineLevel="2">
      <c r="A41" s="239"/>
      <c r="B41" s="239" t="s">
        <v>370</v>
      </c>
      <c r="C41" s="239"/>
      <c r="D41" s="239" t="s">
        <v>897</v>
      </c>
      <c r="E41" s="410"/>
      <c r="F41" s="240" t="s">
        <v>525</v>
      </c>
      <c r="G41" s="168" t="s">
        <v>13</v>
      </c>
      <c r="H41" s="172" t="s">
        <v>188</v>
      </c>
      <c r="I41" s="224">
        <v>389.3734</v>
      </c>
      <c r="J41" s="224">
        <v>389.3734</v>
      </c>
      <c r="K41" s="169"/>
      <c r="L41" s="169"/>
      <c r="M41" s="169"/>
      <c r="N41" s="169"/>
    </row>
    <row r="42" spans="1:14" s="242" customFormat="1" ht="34" outlineLevel="2">
      <c r="A42" s="239"/>
      <c r="B42" s="239" t="s">
        <v>607</v>
      </c>
      <c r="C42" s="239" t="s">
        <v>30</v>
      </c>
      <c r="D42" s="239"/>
      <c r="E42" s="410"/>
      <c r="F42" s="240" t="s">
        <v>322</v>
      </c>
      <c r="G42" s="168" t="s">
        <v>13</v>
      </c>
      <c r="H42" s="172"/>
      <c r="I42" s="224"/>
      <c r="J42" s="224"/>
      <c r="K42" s="169"/>
      <c r="L42" s="169"/>
      <c r="M42" s="169"/>
      <c r="N42" s="169"/>
    </row>
    <row r="43" spans="1:14" s="242" customFormat="1" ht="34" outlineLevel="2">
      <c r="A43" s="239"/>
      <c r="B43" s="239" t="s">
        <v>568</v>
      </c>
      <c r="C43" s="239" t="s">
        <v>30</v>
      </c>
      <c r="D43" s="239"/>
      <c r="E43" s="410"/>
      <c r="F43" s="240" t="s">
        <v>338</v>
      </c>
      <c r="G43" s="168" t="s">
        <v>13</v>
      </c>
      <c r="H43" s="172"/>
      <c r="I43" s="224"/>
      <c r="J43" s="224"/>
      <c r="K43" s="169"/>
      <c r="L43" s="169"/>
      <c r="M43" s="169"/>
      <c r="N43" s="169"/>
    </row>
    <row r="44" spans="1:14" s="242" customFormat="1" ht="17" outlineLevel="2">
      <c r="A44" s="239"/>
      <c r="B44" s="239" t="s">
        <v>589</v>
      </c>
      <c r="C44" s="239" t="s">
        <v>30</v>
      </c>
      <c r="D44" s="239" t="s">
        <v>898</v>
      </c>
      <c r="E44" s="410"/>
      <c r="F44" s="239" t="s">
        <v>307</v>
      </c>
      <c r="G44" s="168" t="s">
        <v>28</v>
      </c>
      <c r="H44" s="172" t="s">
        <v>189</v>
      </c>
      <c r="I44" s="224">
        <v>268</v>
      </c>
      <c r="J44" s="224">
        <v>268</v>
      </c>
      <c r="K44" s="169"/>
      <c r="L44" s="169"/>
      <c r="M44" s="169"/>
      <c r="N44" s="169"/>
    </row>
    <row r="45" spans="1:14" s="242" customFormat="1" ht="51" outlineLevel="2">
      <c r="A45" s="239"/>
      <c r="B45" s="239" t="s">
        <v>378</v>
      </c>
      <c r="C45" s="239"/>
      <c r="D45" s="239" t="s">
        <v>899</v>
      </c>
      <c r="E45" s="410"/>
      <c r="F45" s="239" t="s">
        <v>246</v>
      </c>
      <c r="G45" s="168" t="s">
        <v>214</v>
      </c>
      <c r="H45" s="172" t="s">
        <v>190</v>
      </c>
      <c r="I45" s="224">
        <v>14.485200000000001</v>
      </c>
      <c r="J45" s="224">
        <v>14.485200000000001</v>
      </c>
      <c r="K45" s="169"/>
      <c r="L45" s="169"/>
      <c r="M45" s="169"/>
      <c r="N45" s="169"/>
    </row>
    <row r="46" spans="1:14" s="242" customFormat="1" ht="17" outlineLevel="2">
      <c r="A46" s="239"/>
      <c r="B46" s="239" t="s">
        <v>608</v>
      </c>
      <c r="C46" s="239" t="s">
        <v>30</v>
      </c>
      <c r="D46" s="239"/>
      <c r="E46" s="410"/>
      <c r="F46" s="239" t="s">
        <v>296</v>
      </c>
      <c r="G46" s="168" t="s">
        <v>14</v>
      </c>
      <c r="H46" s="172"/>
      <c r="I46" s="224"/>
      <c r="J46" s="224"/>
      <c r="K46" s="169"/>
      <c r="L46" s="169"/>
      <c r="M46" s="169"/>
      <c r="N46" s="169"/>
    </row>
    <row r="47" spans="1:14" s="242" customFormat="1" ht="34" outlineLevel="2">
      <c r="A47" s="239"/>
      <c r="B47" s="239" t="s">
        <v>609</v>
      </c>
      <c r="C47" s="239"/>
      <c r="D47" s="239" t="s">
        <v>900</v>
      </c>
      <c r="E47" s="410"/>
      <c r="F47" s="239" t="s">
        <v>247</v>
      </c>
      <c r="G47" s="168" t="s">
        <v>215</v>
      </c>
      <c r="H47" s="172" t="s">
        <v>191</v>
      </c>
      <c r="I47" s="224">
        <v>0.77090000000000003</v>
      </c>
      <c r="J47" s="224">
        <v>0.77090000000000003</v>
      </c>
      <c r="K47" s="169"/>
      <c r="L47" s="169"/>
      <c r="M47" s="169"/>
      <c r="N47" s="169"/>
    </row>
    <row r="48" spans="1:14" s="242" customFormat="1" ht="34" outlineLevel="2">
      <c r="A48" s="239"/>
      <c r="B48" s="239" t="s">
        <v>569</v>
      </c>
      <c r="C48" s="239"/>
      <c r="D48" s="239" t="s">
        <v>901</v>
      </c>
      <c r="E48" s="410"/>
      <c r="F48" s="239" t="s">
        <v>248</v>
      </c>
      <c r="G48" s="168" t="s">
        <v>215</v>
      </c>
      <c r="H48" s="172" t="s">
        <v>192</v>
      </c>
      <c r="I48" s="224">
        <v>16.0564</v>
      </c>
      <c r="J48" s="224">
        <v>16.0564</v>
      </c>
      <c r="K48" s="169"/>
      <c r="L48" s="169"/>
      <c r="M48" s="169"/>
      <c r="N48" s="169"/>
    </row>
    <row r="49" spans="1:14" s="242" customFormat="1" ht="34" outlineLevel="2">
      <c r="A49" s="239"/>
      <c r="B49" s="239" t="s">
        <v>610</v>
      </c>
      <c r="C49" s="239"/>
      <c r="D49" s="239" t="s">
        <v>902</v>
      </c>
      <c r="E49" s="410"/>
      <c r="F49" s="239" t="s">
        <v>249</v>
      </c>
      <c r="G49" s="168" t="s">
        <v>215</v>
      </c>
      <c r="H49" s="172" t="s">
        <v>193</v>
      </c>
      <c r="I49" s="224">
        <v>81.564999999999998</v>
      </c>
      <c r="J49" s="224">
        <v>81.564999999999998</v>
      </c>
      <c r="K49" s="169"/>
      <c r="L49" s="169"/>
      <c r="M49" s="169"/>
      <c r="N49" s="169"/>
    </row>
    <row r="50" spans="1:14" s="242" customFormat="1" ht="17" outlineLevel="2">
      <c r="A50" s="239"/>
      <c r="B50" s="239" t="s">
        <v>364</v>
      </c>
      <c r="C50" s="239" t="s">
        <v>30</v>
      </c>
      <c r="D50" s="239"/>
      <c r="E50" s="410"/>
      <c r="F50" s="239" t="s">
        <v>297</v>
      </c>
      <c r="G50" s="168" t="s">
        <v>15</v>
      </c>
      <c r="H50" s="172"/>
      <c r="I50" s="224"/>
      <c r="J50" s="224"/>
      <c r="K50" s="169"/>
      <c r="L50" s="169"/>
      <c r="M50" s="169"/>
      <c r="N50" s="169"/>
    </row>
    <row r="51" spans="1:14" s="242" customFormat="1" ht="17" outlineLevel="2">
      <c r="A51" s="239"/>
      <c r="B51" s="239" t="s">
        <v>365</v>
      </c>
      <c r="C51" s="239" t="s">
        <v>30</v>
      </c>
      <c r="D51" s="239"/>
      <c r="E51" s="410"/>
      <c r="F51" s="239" t="s">
        <v>311</v>
      </c>
      <c r="G51" s="168" t="s">
        <v>118</v>
      </c>
      <c r="H51" s="172"/>
      <c r="I51" s="224"/>
      <c r="J51" s="224"/>
      <c r="K51" s="169"/>
      <c r="L51" s="169"/>
      <c r="M51" s="169"/>
      <c r="N51" s="169"/>
    </row>
    <row r="52" spans="1:14" s="242" customFormat="1" ht="17" outlineLevel="2">
      <c r="A52" s="239"/>
      <c r="B52" s="239" t="s">
        <v>366</v>
      </c>
      <c r="C52" s="239" t="s">
        <v>30</v>
      </c>
      <c r="D52" s="239"/>
      <c r="E52" s="410"/>
      <c r="F52" s="239" t="s">
        <v>312</v>
      </c>
      <c r="G52" s="168" t="s">
        <v>118</v>
      </c>
      <c r="H52" s="172"/>
      <c r="I52" s="224"/>
      <c r="J52" s="224"/>
      <c r="K52" s="169"/>
      <c r="L52" s="169"/>
      <c r="M52" s="169"/>
      <c r="N52" s="169"/>
    </row>
    <row r="53" spans="1:14" s="242" customFormat="1" ht="17" outlineLevel="2">
      <c r="A53" s="239"/>
      <c r="B53" s="239" t="s">
        <v>367</v>
      </c>
      <c r="C53" s="239" t="s">
        <v>30</v>
      </c>
      <c r="D53" s="239"/>
      <c r="E53" s="410"/>
      <c r="F53" s="239" t="s">
        <v>313</v>
      </c>
      <c r="G53" s="168" t="s">
        <v>118</v>
      </c>
      <c r="H53" s="172"/>
      <c r="I53" s="224"/>
      <c r="J53" s="224"/>
      <c r="K53" s="169"/>
      <c r="L53" s="169"/>
      <c r="M53" s="169"/>
      <c r="N53" s="169"/>
    </row>
    <row r="54" spans="1:14" s="242" customFormat="1" ht="17" outlineLevel="2">
      <c r="A54" s="239"/>
      <c r="B54" s="239" t="s">
        <v>368</v>
      </c>
      <c r="C54" s="239" t="s">
        <v>30</v>
      </c>
      <c r="D54" s="239"/>
      <c r="E54" s="410"/>
      <c r="F54" s="240" t="s">
        <v>348</v>
      </c>
      <c r="G54" s="168" t="s">
        <v>15</v>
      </c>
      <c r="H54" s="172"/>
      <c r="I54" s="224"/>
      <c r="J54" s="224"/>
      <c r="K54" s="169"/>
      <c r="L54" s="169"/>
      <c r="M54" s="169"/>
      <c r="N54" s="169"/>
    </row>
    <row r="55" spans="1:14" s="242" customFormat="1" ht="34" outlineLevel="2">
      <c r="A55" s="239"/>
      <c r="B55" s="239" t="s">
        <v>371</v>
      </c>
      <c r="C55" s="239" t="s">
        <v>30</v>
      </c>
      <c r="D55" s="239"/>
      <c r="E55" s="410"/>
      <c r="F55" s="240" t="s">
        <v>347</v>
      </c>
      <c r="G55" s="168" t="s">
        <v>14</v>
      </c>
      <c r="H55" s="172"/>
      <c r="I55" s="224"/>
      <c r="J55" s="224"/>
      <c r="K55" s="169"/>
      <c r="L55" s="169"/>
      <c r="M55" s="169"/>
      <c r="N55" s="169"/>
    </row>
    <row r="56" spans="1:14" s="242" customFormat="1" ht="34" outlineLevel="2">
      <c r="A56" s="239"/>
      <c r="B56" s="239" t="s">
        <v>372</v>
      </c>
      <c r="C56" s="239" t="s">
        <v>30</v>
      </c>
      <c r="D56" s="239" t="s">
        <v>903</v>
      </c>
      <c r="E56" s="410"/>
      <c r="F56" s="239" t="s">
        <v>250</v>
      </c>
      <c r="G56" s="168" t="s">
        <v>13</v>
      </c>
      <c r="H56" s="172" t="s">
        <v>194</v>
      </c>
      <c r="I56" s="224">
        <v>246.501</v>
      </c>
      <c r="J56" s="224">
        <v>246.501</v>
      </c>
      <c r="K56" s="169"/>
      <c r="L56" s="169"/>
      <c r="M56" s="169"/>
      <c r="N56" s="169"/>
    </row>
    <row r="57" spans="1:14" s="242" customFormat="1" ht="34" outlineLevel="2">
      <c r="A57" s="239"/>
      <c r="B57" s="239" t="s">
        <v>373</v>
      </c>
      <c r="C57" s="239"/>
      <c r="D57" s="239" t="s">
        <v>904</v>
      </c>
      <c r="E57" s="410"/>
      <c r="F57" s="239" t="s">
        <v>251</v>
      </c>
      <c r="G57" s="168" t="s">
        <v>214</v>
      </c>
      <c r="H57" s="172" t="s">
        <v>195</v>
      </c>
      <c r="I57" s="224">
        <v>6.8324999999999996</v>
      </c>
      <c r="J57" s="224">
        <v>6.8324999999999996</v>
      </c>
      <c r="K57" s="169"/>
      <c r="L57" s="169"/>
      <c r="M57" s="169"/>
      <c r="N57" s="169"/>
    </row>
    <row r="58" spans="1:14" s="242" customFormat="1" ht="17" outlineLevel="2">
      <c r="A58" s="239"/>
      <c r="B58" s="239" t="s">
        <v>611</v>
      </c>
      <c r="C58" s="239" t="s">
        <v>30</v>
      </c>
      <c r="D58" s="239"/>
      <c r="E58" s="410"/>
      <c r="F58" s="239" t="s">
        <v>298</v>
      </c>
      <c r="G58" s="168" t="s">
        <v>14</v>
      </c>
      <c r="H58" s="172"/>
      <c r="I58" s="224"/>
      <c r="J58" s="224"/>
      <c r="K58" s="169"/>
      <c r="L58" s="169"/>
      <c r="M58" s="169"/>
      <c r="N58" s="169"/>
    </row>
    <row r="59" spans="1:14" s="242" customFormat="1" ht="34" outlineLevel="2">
      <c r="A59" s="239"/>
      <c r="B59" s="239" t="s">
        <v>612</v>
      </c>
      <c r="C59" s="239"/>
      <c r="D59" s="239" t="s">
        <v>905</v>
      </c>
      <c r="E59" s="410"/>
      <c r="F59" s="239" t="s">
        <v>252</v>
      </c>
      <c r="G59" s="168" t="s">
        <v>215</v>
      </c>
      <c r="H59" s="172" t="s">
        <v>196</v>
      </c>
      <c r="I59" s="224">
        <v>0.44719999999999999</v>
      </c>
      <c r="J59" s="224">
        <v>0.44719999999999999</v>
      </c>
      <c r="K59" s="169"/>
      <c r="L59" s="169"/>
      <c r="M59" s="169"/>
      <c r="N59" s="169"/>
    </row>
    <row r="60" spans="1:14" s="242" customFormat="1" ht="34" outlineLevel="2">
      <c r="A60" s="239"/>
      <c r="B60" s="239" t="s">
        <v>570</v>
      </c>
      <c r="C60" s="239"/>
      <c r="D60" s="239" t="s">
        <v>906</v>
      </c>
      <c r="E60" s="410"/>
      <c r="F60" s="239" t="s">
        <v>253</v>
      </c>
      <c r="G60" s="168" t="s">
        <v>215</v>
      </c>
      <c r="H60" s="172" t="s">
        <v>197</v>
      </c>
      <c r="I60" s="224">
        <v>3.1391</v>
      </c>
      <c r="J60" s="224">
        <v>3.1391</v>
      </c>
      <c r="K60" s="169"/>
      <c r="L60" s="169"/>
      <c r="M60" s="169"/>
      <c r="N60" s="169"/>
    </row>
    <row r="61" spans="1:14" s="242" customFormat="1" ht="34" outlineLevel="2">
      <c r="A61" s="239"/>
      <c r="B61" s="239" t="s">
        <v>613</v>
      </c>
      <c r="C61" s="239"/>
      <c r="D61" s="239" t="s">
        <v>907</v>
      </c>
      <c r="E61" s="410"/>
      <c r="F61" s="239" t="s">
        <v>254</v>
      </c>
      <c r="G61" s="168" t="s">
        <v>215</v>
      </c>
      <c r="H61" s="172" t="s">
        <v>198</v>
      </c>
      <c r="I61" s="224">
        <v>67.222399999999993</v>
      </c>
      <c r="J61" s="224">
        <v>67.222399999999993</v>
      </c>
      <c r="K61" s="169"/>
      <c r="L61" s="169"/>
      <c r="M61" s="169"/>
      <c r="N61" s="169"/>
    </row>
    <row r="62" spans="1:14" s="242" customFormat="1" ht="17" outlineLevel="2">
      <c r="A62" s="239"/>
      <c r="B62" s="239" t="s">
        <v>374</v>
      </c>
      <c r="C62" s="239" t="s">
        <v>30</v>
      </c>
      <c r="D62" s="239"/>
      <c r="E62" s="410"/>
      <c r="F62" s="239" t="s">
        <v>299</v>
      </c>
      <c r="G62" s="168" t="s">
        <v>15</v>
      </c>
      <c r="H62" s="172"/>
      <c r="I62" s="224"/>
      <c r="J62" s="224"/>
      <c r="K62" s="169"/>
      <c r="L62" s="169"/>
      <c r="M62" s="169"/>
      <c r="N62" s="169"/>
    </row>
    <row r="63" spans="1:14" s="242" customFormat="1" ht="34" outlineLevel="2">
      <c r="A63" s="239"/>
      <c r="B63" s="239" t="s">
        <v>375</v>
      </c>
      <c r="C63" s="239" t="s">
        <v>30</v>
      </c>
      <c r="D63" s="239"/>
      <c r="E63" s="410"/>
      <c r="F63" s="240" t="s">
        <v>346</v>
      </c>
      <c r="G63" s="168" t="s">
        <v>15</v>
      </c>
      <c r="H63" s="172"/>
      <c r="I63" s="224"/>
      <c r="J63" s="224"/>
      <c r="K63" s="169"/>
      <c r="L63" s="169"/>
      <c r="M63" s="169"/>
      <c r="N63" s="169"/>
    </row>
    <row r="64" spans="1:14" s="242" customFormat="1" ht="34" outlineLevel="2">
      <c r="A64" s="239"/>
      <c r="B64" s="239" t="s">
        <v>379</v>
      </c>
      <c r="C64" s="239" t="s">
        <v>30</v>
      </c>
      <c r="D64" s="239"/>
      <c r="E64" s="410"/>
      <c r="F64" s="240" t="s">
        <v>347</v>
      </c>
      <c r="G64" s="168" t="s">
        <v>118</v>
      </c>
      <c r="H64" s="172"/>
      <c r="I64" s="224"/>
      <c r="J64" s="224"/>
      <c r="K64" s="169"/>
      <c r="L64" s="169"/>
      <c r="M64" s="169"/>
      <c r="N64" s="169"/>
    </row>
    <row r="65" spans="1:14" s="242" customFormat="1" ht="34" outlineLevel="2">
      <c r="A65" s="239"/>
      <c r="B65" s="239" t="s">
        <v>395</v>
      </c>
      <c r="C65" s="239" t="s">
        <v>30</v>
      </c>
      <c r="D65" s="239" t="s">
        <v>908</v>
      </c>
      <c r="E65" s="410"/>
      <c r="F65" s="239" t="s">
        <v>352</v>
      </c>
      <c r="G65" s="168" t="s">
        <v>13</v>
      </c>
      <c r="H65" s="172" t="s">
        <v>199</v>
      </c>
      <c r="I65" s="224">
        <v>124.5248</v>
      </c>
      <c r="J65" s="224">
        <v>124.5248</v>
      </c>
      <c r="K65" s="169"/>
      <c r="L65" s="169"/>
      <c r="M65" s="169"/>
      <c r="N65" s="169"/>
    </row>
    <row r="66" spans="1:14" s="242" customFormat="1" ht="51" outlineLevel="2">
      <c r="A66" s="239"/>
      <c r="B66" s="239" t="s">
        <v>380</v>
      </c>
      <c r="C66" s="239"/>
      <c r="D66" s="239" t="s">
        <v>850</v>
      </c>
      <c r="E66" s="410"/>
      <c r="F66" s="239" t="s">
        <v>255</v>
      </c>
      <c r="G66" s="168" t="s">
        <v>214</v>
      </c>
      <c r="H66" s="172" t="s">
        <v>200</v>
      </c>
      <c r="I66" s="224">
        <v>36.985300000000002</v>
      </c>
      <c r="J66" s="224">
        <v>36.985300000000002</v>
      </c>
      <c r="K66" s="169"/>
      <c r="L66" s="169"/>
      <c r="M66" s="169"/>
      <c r="N66" s="169"/>
    </row>
    <row r="67" spans="1:14" s="242" customFormat="1" ht="17" outlineLevel="2">
      <c r="A67" s="239"/>
      <c r="B67" s="239" t="s">
        <v>614</v>
      </c>
      <c r="C67" s="239" t="s">
        <v>30</v>
      </c>
      <c r="D67" s="239"/>
      <c r="E67" s="410"/>
      <c r="F67" s="239" t="s">
        <v>300</v>
      </c>
      <c r="G67" s="168" t="s">
        <v>14</v>
      </c>
      <c r="H67" s="172"/>
      <c r="I67" s="224"/>
      <c r="J67" s="224"/>
      <c r="K67" s="169"/>
      <c r="L67" s="169"/>
      <c r="M67" s="169"/>
      <c r="N67" s="169"/>
    </row>
    <row r="68" spans="1:14" s="242" customFormat="1" ht="34" outlineLevel="2">
      <c r="A68" s="239"/>
      <c r="B68" s="239" t="s">
        <v>615</v>
      </c>
      <c r="C68" s="239"/>
      <c r="D68" s="239" t="s">
        <v>909</v>
      </c>
      <c r="E68" s="410"/>
      <c r="F68" s="239" t="s">
        <v>256</v>
      </c>
      <c r="G68" s="168" t="s">
        <v>215</v>
      </c>
      <c r="H68" s="172" t="s">
        <v>201</v>
      </c>
      <c r="I68" s="224">
        <v>32.635899999999999</v>
      </c>
      <c r="J68" s="224">
        <v>32.635899999999999</v>
      </c>
      <c r="K68" s="169"/>
      <c r="L68" s="169"/>
      <c r="M68" s="169"/>
      <c r="N68" s="169"/>
    </row>
    <row r="69" spans="1:14" s="242" customFormat="1" ht="34" outlineLevel="2">
      <c r="A69" s="239"/>
      <c r="B69" s="239" t="s">
        <v>571</v>
      </c>
      <c r="C69" s="239"/>
      <c r="D69" s="239" t="s">
        <v>910</v>
      </c>
      <c r="E69" s="410"/>
      <c r="F69" s="239" t="s">
        <v>257</v>
      </c>
      <c r="G69" s="168" t="s">
        <v>215</v>
      </c>
      <c r="H69" s="172" t="s">
        <v>202</v>
      </c>
      <c r="I69" s="224">
        <v>36.153100000000002</v>
      </c>
      <c r="J69" s="224">
        <v>36.153100000000002</v>
      </c>
      <c r="K69" s="169"/>
      <c r="L69" s="169"/>
      <c r="M69" s="169"/>
      <c r="N69" s="169"/>
    </row>
    <row r="70" spans="1:14" s="242" customFormat="1" ht="34" outlineLevel="2">
      <c r="A70" s="239"/>
      <c r="B70" s="239" t="s">
        <v>616</v>
      </c>
      <c r="C70" s="239"/>
      <c r="D70" s="239" t="s">
        <v>911</v>
      </c>
      <c r="E70" s="410"/>
      <c r="F70" s="239" t="s">
        <v>258</v>
      </c>
      <c r="G70" s="168" t="s">
        <v>215</v>
      </c>
      <c r="H70" s="172" t="s">
        <v>203</v>
      </c>
      <c r="I70" s="224">
        <v>41.484400000000001</v>
      </c>
      <c r="J70" s="224">
        <v>41.484400000000001</v>
      </c>
      <c r="K70" s="169"/>
      <c r="L70" s="169"/>
      <c r="M70" s="169"/>
      <c r="N70" s="169"/>
    </row>
    <row r="71" spans="1:14" s="242" customFormat="1" ht="17" outlineLevel="2">
      <c r="A71" s="239"/>
      <c r="B71" s="239" t="s">
        <v>396</v>
      </c>
      <c r="C71" s="239" t="s">
        <v>30</v>
      </c>
      <c r="D71" s="239"/>
      <c r="E71" s="410"/>
      <c r="F71" s="239" t="s">
        <v>301</v>
      </c>
      <c r="G71" s="168" t="s">
        <v>15</v>
      </c>
      <c r="H71" s="172"/>
      <c r="I71" s="224"/>
      <c r="J71" s="224"/>
      <c r="K71" s="169"/>
      <c r="L71" s="169"/>
      <c r="M71" s="169"/>
      <c r="N71" s="169"/>
    </row>
    <row r="72" spans="1:14" s="242" customFormat="1" ht="34" outlineLevel="2">
      <c r="A72" s="239"/>
      <c r="B72" s="239" t="s">
        <v>381</v>
      </c>
      <c r="C72" s="239"/>
      <c r="D72" s="239" t="s">
        <v>851</v>
      </c>
      <c r="E72" s="410"/>
      <c r="F72" s="240" t="s">
        <v>432</v>
      </c>
      <c r="G72" s="168" t="s">
        <v>13</v>
      </c>
      <c r="H72" s="172" t="s">
        <v>204</v>
      </c>
      <c r="I72" s="224">
        <v>692.39080000000001</v>
      </c>
      <c r="J72" s="224">
        <v>692.39080000000001</v>
      </c>
      <c r="K72" s="169"/>
      <c r="L72" s="169"/>
      <c r="M72" s="169"/>
      <c r="N72" s="169"/>
    </row>
    <row r="73" spans="1:14" s="242" customFormat="1" ht="17" outlineLevel="2">
      <c r="A73" s="239"/>
      <c r="B73" s="239" t="s">
        <v>617</v>
      </c>
      <c r="C73" s="239" t="s">
        <v>30</v>
      </c>
      <c r="D73" s="239"/>
      <c r="E73" s="410"/>
      <c r="F73" s="239" t="s">
        <v>323</v>
      </c>
      <c r="G73" s="168" t="s">
        <v>13</v>
      </c>
      <c r="H73" s="172"/>
      <c r="I73" s="224"/>
      <c r="J73" s="224"/>
      <c r="K73" s="169"/>
      <c r="L73" s="169"/>
      <c r="M73" s="169"/>
      <c r="N73" s="169"/>
    </row>
    <row r="74" spans="1:14" s="242" customFormat="1" ht="34" outlineLevel="2">
      <c r="A74" s="239"/>
      <c r="B74" s="239" t="s">
        <v>382</v>
      </c>
      <c r="C74" s="239"/>
      <c r="D74" s="239" t="s">
        <v>852</v>
      </c>
      <c r="E74" s="410"/>
      <c r="F74" s="240" t="s">
        <v>259</v>
      </c>
      <c r="G74" s="168" t="s">
        <v>214</v>
      </c>
      <c r="H74" s="172" t="s">
        <v>205</v>
      </c>
      <c r="I74" s="224">
        <v>70.552999999999997</v>
      </c>
      <c r="J74" s="224">
        <v>70.552999999999997</v>
      </c>
      <c r="K74" s="169"/>
      <c r="L74" s="169"/>
      <c r="M74" s="169"/>
      <c r="N74" s="169"/>
    </row>
    <row r="75" spans="1:14" s="242" customFormat="1" ht="17" outlineLevel="2">
      <c r="A75" s="239"/>
      <c r="B75" s="239" t="s">
        <v>618</v>
      </c>
      <c r="C75" s="239" t="s">
        <v>30</v>
      </c>
      <c r="D75" s="239"/>
      <c r="E75" s="410"/>
      <c r="F75" s="240" t="s">
        <v>302</v>
      </c>
      <c r="G75" s="168" t="s">
        <v>14</v>
      </c>
      <c r="H75" s="172"/>
      <c r="I75" s="224"/>
      <c r="J75" s="224"/>
      <c r="K75" s="169"/>
      <c r="L75" s="169"/>
      <c r="M75" s="169"/>
      <c r="N75" s="169"/>
    </row>
    <row r="76" spans="1:14" s="242" customFormat="1" ht="34" outlineLevel="2">
      <c r="A76" s="239"/>
      <c r="B76" s="239" t="s">
        <v>619</v>
      </c>
      <c r="C76" s="239"/>
      <c r="D76" s="239" t="s">
        <v>912</v>
      </c>
      <c r="E76" s="410"/>
      <c r="F76" s="239" t="s">
        <v>260</v>
      </c>
      <c r="G76" s="168" t="s">
        <v>215</v>
      </c>
      <c r="H76" s="172" t="s">
        <v>206</v>
      </c>
      <c r="I76" s="224">
        <v>36.867400000000004</v>
      </c>
      <c r="J76" s="224">
        <v>36.867400000000004</v>
      </c>
      <c r="K76" s="169"/>
      <c r="L76" s="169"/>
      <c r="M76" s="169"/>
      <c r="N76" s="169"/>
    </row>
    <row r="77" spans="1:14" s="242" customFormat="1" ht="34" outlineLevel="2">
      <c r="A77" s="239"/>
      <c r="B77" s="239" t="s">
        <v>572</v>
      </c>
      <c r="C77" s="239"/>
      <c r="D77" s="239" t="s">
        <v>913</v>
      </c>
      <c r="E77" s="410"/>
      <c r="F77" s="239" t="s">
        <v>261</v>
      </c>
      <c r="G77" s="168" t="s">
        <v>215</v>
      </c>
      <c r="H77" s="172" t="s">
        <v>207</v>
      </c>
      <c r="I77" s="224">
        <v>130.46709999999999</v>
      </c>
      <c r="J77" s="224">
        <v>130.46709999999999</v>
      </c>
      <c r="K77" s="169"/>
      <c r="L77" s="169"/>
      <c r="M77" s="169"/>
      <c r="N77" s="169"/>
    </row>
    <row r="78" spans="1:14" s="242" customFormat="1" ht="17" outlineLevel="2">
      <c r="A78" s="239"/>
      <c r="B78" s="239" t="s">
        <v>383</v>
      </c>
      <c r="C78" s="239" t="s">
        <v>30</v>
      </c>
      <c r="D78" s="239"/>
      <c r="E78" s="410"/>
      <c r="F78" s="239" t="s">
        <v>303</v>
      </c>
      <c r="G78" s="168" t="s">
        <v>15</v>
      </c>
      <c r="H78" s="172"/>
      <c r="I78" s="224"/>
      <c r="J78" s="224"/>
      <c r="K78" s="169"/>
      <c r="L78" s="169"/>
      <c r="M78" s="169"/>
      <c r="N78" s="169"/>
    </row>
    <row r="79" spans="1:14" s="242" customFormat="1" ht="34" outlineLevel="2">
      <c r="A79" s="239"/>
      <c r="B79" s="239" t="s">
        <v>384</v>
      </c>
      <c r="C79" s="239"/>
      <c r="D79" s="239" t="s">
        <v>853</v>
      </c>
      <c r="E79" s="410"/>
      <c r="F79" s="240" t="s">
        <v>433</v>
      </c>
      <c r="G79" s="168" t="s">
        <v>13</v>
      </c>
      <c r="H79" s="172" t="s">
        <v>208</v>
      </c>
      <c r="I79" s="224">
        <v>1530.777</v>
      </c>
      <c r="J79" s="224">
        <v>1530.777</v>
      </c>
      <c r="K79" s="169"/>
      <c r="L79" s="169"/>
      <c r="M79" s="169"/>
      <c r="N79" s="169"/>
    </row>
    <row r="80" spans="1:14" s="242" customFormat="1" ht="17" outlineLevel="2">
      <c r="A80" s="239"/>
      <c r="B80" s="239" t="s">
        <v>620</v>
      </c>
      <c r="C80" s="239" t="s">
        <v>30</v>
      </c>
      <c r="D80" s="239"/>
      <c r="E80" s="410"/>
      <c r="F80" s="239" t="s">
        <v>324</v>
      </c>
      <c r="G80" s="168" t="s">
        <v>13</v>
      </c>
      <c r="H80" s="172"/>
      <c r="I80" s="224"/>
      <c r="J80" s="224"/>
      <c r="K80" s="169"/>
      <c r="L80" s="169"/>
      <c r="M80" s="169"/>
      <c r="N80" s="169"/>
    </row>
    <row r="81" spans="1:14" s="242" customFormat="1" ht="46.5" customHeight="1" outlineLevel="2">
      <c r="A81" s="239"/>
      <c r="B81" s="239" t="s">
        <v>384</v>
      </c>
      <c r="C81" s="239"/>
      <c r="D81" s="239" t="s">
        <v>914</v>
      </c>
      <c r="E81" s="410"/>
      <c r="F81" s="239" t="s">
        <v>262</v>
      </c>
      <c r="G81" s="168" t="s">
        <v>214</v>
      </c>
      <c r="H81" s="172" t="s">
        <v>209</v>
      </c>
      <c r="I81" s="224">
        <v>5.5717999999999996</v>
      </c>
      <c r="J81" s="224">
        <v>5.5717999999999996</v>
      </c>
      <c r="K81" s="169"/>
      <c r="L81" s="169"/>
      <c r="M81" s="169"/>
      <c r="N81" s="169"/>
    </row>
    <row r="82" spans="1:14" s="242" customFormat="1" ht="17" outlineLevel="2">
      <c r="A82" s="239"/>
      <c r="B82" s="239" t="s">
        <v>620</v>
      </c>
      <c r="C82" s="239" t="s">
        <v>30</v>
      </c>
      <c r="D82" s="239"/>
      <c r="E82" s="410"/>
      <c r="F82" s="239" t="s">
        <v>304</v>
      </c>
      <c r="G82" s="168" t="s">
        <v>14</v>
      </c>
      <c r="H82" s="172"/>
      <c r="I82" s="224"/>
      <c r="J82" s="224"/>
      <c r="K82" s="169"/>
      <c r="L82" s="169"/>
      <c r="M82" s="169"/>
      <c r="N82" s="169"/>
    </row>
    <row r="83" spans="1:14" s="242" customFormat="1" ht="34" outlineLevel="2">
      <c r="A83" s="239"/>
      <c r="B83" s="239" t="s">
        <v>621</v>
      </c>
      <c r="C83" s="239"/>
      <c r="D83" s="239" t="s">
        <v>915</v>
      </c>
      <c r="E83" s="410"/>
      <c r="F83" s="239" t="s">
        <v>263</v>
      </c>
      <c r="G83" s="168" t="s">
        <v>215</v>
      </c>
      <c r="H83" s="172" t="s">
        <v>210</v>
      </c>
      <c r="I83" s="224">
        <v>2.3153000000000001</v>
      </c>
      <c r="J83" s="224">
        <v>2.3153000000000001</v>
      </c>
      <c r="K83" s="169"/>
      <c r="L83" s="169"/>
      <c r="M83" s="169"/>
      <c r="N83" s="169"/>
    </row>
    <row r="84" spans="1:14" s="242" customFormat="1" ht="34" outlineLevel="2">
      <c r="A84" s="239"/>
      <c r="B84" s="239" t="s">
        <v>573</v>
      </c>
      <c r="C84" s="239"/>
      <c r="D84" s="239" t="s">
        <v>916</v>
      </c>
      <c r="E84" s="410"/>
      <c r="F84" s="239" t="s">
        <v>264</v>
      </c>
      <c r="G84" s="168" t="s">
        <v>215</v>
      </c>
      <c r="H84" s="172" t="s">
        <v>211</v>
      </c>
      <c r="I84" s="224">
        <v>14.789899999999999</v>
      </c>
      <c r="J84" s="224">
        <v>14.789899999999999</v>
      </c>
      <c r="K84" s="169"/>
      <c r="L84" s="169"/>
      <c r="M84" s="169"/>
      <c r="N84" s="169"/>
    </row>
    <row r="85" spans="1:14" s="242" customFormat="1" ht="17" outlineLevel="2">
      <c r="A85" s="239"/>
      <c r="B85" s="239" t="s">
        <v>397</v>
      </c>
      <c r="C85" s="239" t="s">
        <v>30</v>
      </c>
      <c r="D85" s="239"/>
      <c r="E85" s="410"/>
      <c r="F85" s="239" t="s">
        <v>305</v>
      </c>
      <c r="G85" s="168" t="s">
        <v>15</v>
      </c>
      <c r="H85" s="172"/>
      <c r="I85" s="224"/>
      <c r="J85" s="224"/>
      <c r="K85" s="169"/>
      <c r="L85" s="169"/>
      <c r="M85" s="169"/>
      <c r="N85" s="169"/>
    </row>
    <row r="86" spans="1:14" s="242" customFormat="1" ht="34" outlineLevel="2">
      <c r="A86" s="239"/>
      <c r="B86" s="239" t="s">
        <v>385</v>
      </c>
      <c r="C86" s="239"/>
      <c r="D86" s="239" t="s">
        <v>917</v>
      </c>
      <c r="E86" s="410"/>
      <c r="F86" s="240" t="s">
        <v>526</v>
      </c>
      <c r="G86" s="168" t="s">
        <v>13</v>
      </c>
      <c r="H86" s="172" t="s">
        <v>212</v>
      </c>
      <c r="I86" s="224">
        <v>125.33280000000001</v>
      </c>
      <c r="J86" s="224">
        <v>125.33280000000001</v>
      </c>
      <c r="K86" s="169"/>
      <c r="L86" s="169"/>
      <c r="M86" s="169"/>
      <c r="N86" s="169"/>
    </row>
    <row r="87" spans="1:14" s="242" customFormat="1" ht="17" outlineLevel="2">
      <c r="A87" s="243"/>
      <c r="B87" s="239" t="s">
        <v>622</v>
      </c>
      <c r="C87" s="239" t="s">
        <v>30</v>
      </c>
      <c r="D87" s="239"/>
      <c r="E87" s="410"/>
      <c r="F87" s="239" t="s">
        <v>306</v>
      </c>
      <c r="G87" s="226" t="s">
        <v>13</v>
      </c>
      <c r="H87" s="228"/>
      <c r="I87" s="229"/>
      <c r="J87" s="229"/>
      <c r="K87" s="169"/>
      <c r="L87" s="169"/>
      <c r="M87" s="169"/>
      <c r="N87" s="169"/>
    </row>
    <row r="88" spans="1:14" s="242" customFormat="1" ht="17" outlineLevel="2">
      <c r="A88" s="243"/>
      <c r="B88" s="239" t="s">
        <v>574</v>
      </c>
      <c r="C88" s="239" t="s">
        <v>30</v>
      </c>
      <c r="D88" s="239"/>
      <c r="E88" s="410"/>
      <c r="F88" s="239" t="s">
        <v>119</v>
      </c>
      <c r="G88" s="226" t="s">
        <v>13</v>
      </c>
      <c r="H88" s="228"/>
      <c r="I88" s="229"/>
      <c r="J88" s="229"/>
      <c r="K88" s="169"/>
      <c r="L88" s="169"/>
      <c r="M88" s="169"/>
      <c r="N88" s="169"/>
    </row>
    <row r="89" spans="1:14" s="242" customFormat="1" ht="17" outlineLevel="2">
      <c r="A89" s="239"/>
      <c r="B89" s="239" t="s">
        <v>590</v>
      </c>
      <c r="C89" s="239" t="s">
        <v>30</v>
      </c>
      <c r="D89" s="239" t="s">
        <v>918</v>
      </c>
      <c r="E89" s="410"/>
      <c r="F89" s="239" t="s">
        <v>218</v>
      </c>
      <c r="G89" s="168" t="s">
        <v>226</v>
      </c>
      <c r="H89" s="172" t="s">
        <v>218</v>
      </c>
      <c r="I89" s="224">
        <v>1</v>
      </c>
      <c r="J89" s="224">
        <v>1</v>
      </c>
      <c r="K89" s="169"/>
      <c r="L89" s="169"/>
      <c r="M89" s="169"/>
      <c r="N89" s="169"/>
    </row>
    <row r="90" spans="1:14" s="242" customFormat="1" ht="17" outlineLevel="2">
      <c r="A90" s="239"/>
      <c r="B90" s="239" t="s">
        <v>591</v>
      </c>
      <c r="C90" s="239" t="s">
        <v>30</v>
      </c>
      <c r="D90" s="239" t="s">
        <v>919</v>
      </c>
      <c r="E90" s="410"/>
      <c r="F90" s="239" t="s">
        <v>219</v>
      </c>
      <c r="G90" s="168" t="s">
        <v>226</v>
      </c>
      <c r="H90" s="172" t="s">
        <v>219</v>
      </c>
      <c r="I90" s="224">
        <v>1</v>
      </c>
      <c r="J90" s="224">
        <v>1</v>
      </c>
      <c r="K90" s="169"/>
      <c r="L90" s="169"/>
      <c r="M90" s="169"/>
      <c r="N90" s="169"/>
    </row>
    <row r="91" spans="1:14" s="242" customFormat="1" ht="17" outlineLevel="2">
      <c r="A91" s="239"/>
      <c r="B91" s="239" t="s">
        <v>592</v>
      </c>
      <c r="C91" s="239" t="s">
        <v>30</v>
      </c>
      <c r="D91" s="239" t="s">
        <v>920</v>
      </c>
      <c r="E91" s="410"/>
      <c r="F91" s="239" t="s">
        <v>220</v>
      </c>
      <c r="G91" s="168" t="s">
        <v>226</v>
      </c>
      <c r="H91" s="172" t="s">
        <v>220</v>
      </c>
      <c r="I91" s="224">
        <v>1</v>
      </c>
      <c r="J91" s="224">
        <v>1</v>
      </c>
      <c r="K91" s="169"/>
      <c r="L91" s="169"/>
      <c r="M91" s="169"/>
      <c r="N91" s="169"/>
    </row>
    <row r="92" spans="1:14" s="242" customFormat="1" ht="17" outlineLevel="2">
      <c r="A92" s="239"/>
      <c r="B92" s="239" t="s">
        <v>427</v>
      </c>
      <c r="C92" s="239" t="s">
        <v>30</v>
      </c>
      <c r="D92" s="239" t="s">
        <v>921</v>
      </c>
      <c r="E92" s="410"/>
      <c r="F92" s="239" t="s">
        <v>221</v>
      </c>
      <c r="G92" s="168" t="s">
        <v>226</v>
      </c>
      <c r="H92" s="172" t="s">
        <v>221</v>
      </c>
      <c r="I92" s="224">
        <v>1</v>
      </c>
      <c r="J92" s="224">
        <v>1</v>
      </c>
      <c r="K92" s="169"/>
      <c r="L92" s="169"/>
      <c r="M92" s="169"/>
      <c r="N92" s="169"/>
    </row>
    <row r="93" spans="1:14" s="242" customFormat="1" ht="17" outlineLevel="2">
      <c r="A93" s="239"/>
      <c r="B93" s="239" t="s">
        <v>386</v>
      </c>
      <c r="C93" s="239" t="s">
        <v>30</v>
      </c>
      <c r="D93" s="239" t="s">
        <v>922</v>
      </c>
      <c r="E93" s="410"/>
      <c r="F93" s="239" t="s">
        <v>222</v>
      </c>
      <c r="G93" s="168" t="s">
        <v>226</v>
      </c>
      <c r="H93" s="172" t="s">
        <v>222</v>
      </c>
      <c r="I93" s="224">
        <v>1</v>
      </c>
      <c r="J93" s="224">
        <v>1</v>
      </c>
      <c r="K93" s="169"/>
      <c r="L93" s="169"/>
      <c r="M93" s="169"/>
      <c r="N93" s="169"/>
    </row>
    <row r="94" spans="1:14" s="242" customFormat="1" ht="17" outlineLevel="2">
      <c r="A94" s="239"/>
      <c r="B94" s="239" t="s">
        <v>376</v>
      </c>
      <c r="C94" s="239" t="s">
        <v>30</v>
      </c>
      <c r="D94" s="239" t="s">
        <v>923</v>
      </c>
      <c r="E94" s="410"/>
      <c r="F94" s="239" t="s">
        <v>223</v>
      </c>
      <c r="G94" s="168" t="s">
        <v>13</v>
      </c>
      <c r="H94" s="172" t="s">
        <v>223</v>
      </c>
      <c r="I94" s="224">
        <v>63.179999999999993</v>
      </c>
      <c r="J94" s="224">
        <v>63.179999999999993</v>
      </c>
      <c r="K94" s="169"/>
      <c r="L94" s="169"/>
      <c r="M94" s="169"/>
      <c r="N94" s="169"/>
    </row>
    <row r="95" spans="1:14" s="242" customFormat="1" ht="17" outlineLevel="2">
      <c r="A95" s="239"/>
      <c r="B95" s="239" t="s">
        <v>593</v>
      </c>
      <c r="C95" s="239" t="s">
        <v>30</v>
      </c>
      <c r="D95" s="239" t="s">
        <v>924</v>
      </c>
      <c r="E95" s="410"/>
      <c r="F95" s="239" t="s">
        <v>224</v>
      </c>
      <c r="G95" s="168" t="s">
        <v>13</v>
      </c>
      <c r="H95" s="172" t="s">
        <v>224</v>
      </c>
      <c r="I95" s="224">
        <v>1200</v>
      </c>
      <c r="J95" s="224">
        <v>1200</v>
      </c>
      <c r="K95" s="169"/>
      <c r="L95" s="169"/>
      <c r="M95" s="169"/>
      <c r="N95" s="169"/>
    </row>
    <row r="96" spans="1:14" s="242" customFormat="1" ht="34" outlineLevel="2">
      <c r="A96" s="239"/>
      <c r="B96" s="239" t="s">
        <v>594</v>
      </c>
      <c r="C96" s="239" t="s">
        <v>30</v>
      </c>
      <c r="D96" s="239" t="s">
        <v>925</v>
      </c>
      <c r="E96" s="410"/>
      <c r="F96" s="240" t="s">
        <v>225</v>
      </c>
      <c r="G96" s="168" t="s">
        <v>227</v>
      </c>
      <c r="H96" s="172" t="s">
        <v>225</v>
      </c>
      <c r="I96" s="224">
        <v>750</v>
      </c>
      <c r="J96" s="224">
        <v>750</v>
      </c>
      <c r="K96" s="169"/>
      <c r="L96" s="169"/>
      <c r="M96" s="169"/>
      <c r="N96" s="169"/>
    </row>
    <row r="97" spans="1:14" s="242" customFormat="1" ht="17" outlineLevel="2">
      <c r="A97" s="239"/>
      <c r="B97" s="239" t="s">
        <v>595</v>
      </c>
      <c r="C97" s="239" t="s">
        <v>30</v>
      </c>
      <c r="D97" s="239" t="s">
        <v>926</v>
      </c>
      <c r="E97" s="410"/>
      <c r="F97" s="239" t="s">
        <v>229</v>
      </c>
      <c r="G97" s="168" t="s">
        <v>226</v>
      </c>
      <c r="H97" s="172" t="s">
        <v>229</v>
      </c>
      <c r="I97" s="224">
        <v>1</v>
      </c>
      <c r="J97" s="224">
        <v>1</v>
      </c>
      <c r="K97" s="169"/>
      <c r="L97" s="169"/>
      <c r="M97" s="169"/>
      <c r="N97" s="169"/>
    </row>
    <row r="98" spans="1:14" s="242" customFormat="1" ht="34" outlineLevel="2">
      <c r="A98" s="239"/>
      <c r="B98" s="239" t="s">
        <v>596</v>
      </c>
      <c r="C98" s="239" t="s">
        <v>30</v>
      </c>
      <c r="D98" s="239" t="s">
        <v>927</v>
      </c>
      <c r="E98" s="410"/>
      <c r="F98" s="240" t="s">
        <v>230</v>
      </c>
      <c r="G98" s="168" t="s">
        <v>226</v>
      </c>
      <c r="H98" s="172" t="s">
        <v>230</v>
      </c>
      <c r="I98" s="224">
        <v>1</v>
      </c>
      <c r="J98" s="224">
        <v>1</v>
      </c>
      <c r="K98" s="169"/>
      <c r="L98" s="169"/>
      <c r="M98" s="169"/>
      <c r="N98" s="169"/>
    </row>
    <row r="99" spans="1:14" s="242" customFormat="1" ht="17" outlineLevel="2">
      <c r="A99" s="239"/>
      <c r="B99" s="239" t="s">
        <v>597</v>
      </c>
      <c r="C99" s="239" t="s">
        <v>30</v>
      </c>
      <c r="D99" s="239" t="s">
        <v>928</v>
      </c>
      <c r="E99" s="410"/>
      <c r="F99" s="239" t="s">
        <v>231</v>
      </c>
      <c r="G99" s="168" t="s">
        <v>226</v>
      </c>
      <c r="H99" s="172" t="s">
        <v>231</v>
      </c>
      <c r="I99" s="224">
        <v>1</v>
      </c>
      <c r="J99" s="224">
        <v>1</v>
      </c>
      <c r="K99" s="169"/>
      <c r="L99" s="169"/>
      <c r="M99" s="169"/>
      <c r="N99" s="169"/>
    </row>
    <row r="100" spans="1:14" s="242" customFormat="1" ht="17" outlineLevel="2">
      <c r="A100" s="239"/>
      <c r="B100" s="239" t="s">
        <v>598</v>
      </c>
      <c r="C100" s="239" t="s">
        <v>30</v>
      </c>
      <c r="D100" s="239" t="s">
        <v>929</v>
      </c>
      <c r="E100" s="410"/>
      <c r="F100" s="239" t="s">
        <v>232</v>
      </c>
      <c r="G100" s="168" t="s">
        <v>226</v>
      </c>
      <c r="H100" s="172" t="s">
        <v>232</v>
      </c>
      <c r="I100" s="224">
        <v>1</v>
      </c>
      <c r="J100" s="224">
        <v>1</v>
      </c>
      <c r="K100" s="169"/>
      <c r="L100" s="169"/>
      <c r="M100" s="169"/>
      <c r="N100" s="169"/>
    </row>
    <row r="101" spans="1:14" s="242" customFormat="1" ht="17" outlineLevel="2">
      <c r="A101" s="239"/>
      <c r="B101" s="239" t="s">
        <v>599</v>
      </c>
      <c r="C101" s="239" t="s">
        <v>30</v>
      </c>
      <c r="D101" s="239" t="s">
        <v>930</v>
      </c>
      <c r="E101" s="410"/>
      <c r="F101" s="239" t="s">
        <v>233</v>
      </c>
      <c r="G101" s="168" t="s">
        <v>226</v>
      </c>
      <c r="H101" s="172" t="s">
        <v>233</v>
      </c>
      <c r="I101" s="224">
        <v>1</v>
      </c>
      <c r="J101" s="224">
        <v>1</v>
      </c>
      <c r="K101" s="169"/>
      <c r="L101" s="169"/>
      <c r="M101" s="169"/>
      <c r="N101" s="169"/>
    </row>
    <row r="102" spans="1:14" s="242" customFormat="1" ht="17" outlineLevel="2">
      <c r="A102" s="239"/>
      <c r="B102" s="239" t="s">
        <v>600</v>
      </c>
      <c r="C102" s="239" t="s">
        <v>30</v>
      </c>
      <c r="D102" s="239" t="s">
        <v>931</v>
      </c>
      <c r="E102" s="410"/>
      <c r="F102" s="239" t="s">
        <v>285</v>
      </c>
      <c r="G102" s="168" t="s">
        <v>226</v>
      </c>
      <c r="H102" s="172" t="s">
        <v>285</v>
      </c>
      <c r="I102" s="224">
        <v>1</v>
      </c>
      <c r="J102" s="224">
        <v>1</v>
      </c>
      <c r="K102" s="169"/>
      <c r="L102" s="169"/>
      <c r="M102" s="169"/>
      <c r="N102" s="169"/>
    </row>
    <row r="103" spans="1:14" s="242" customFormat="1" ht="17" outlineLevel="2">
      <c r="A103" s="239"/>
      <c r="B103" s="239" t="s">
        <v>601</v>
      </c>
      <c r="C103" s="239" t="s">
        <v>30</v>
      </c>
      <c r="D103" s="239" t="s">
        <v>932</v>
      </c>
      <c r="E103" s="410"/>
      <c r="F103" s="239" t="s">
        <v>286</v>
      </c>
      <c r="G103" s="168" t="s">
        <v>226</v>
      </c>
      <c r="H103" s="172" t="s">
        <v>286</v>
      </c>
      <c r="I103" s="224">
        <v>1</v>
      </c>
      <c r="J103" s="224">
        <v>1</v>
      </c>
      <c r="K103" s="169"/>
      <c r="L103" s="169"/>
      <c r="M103" s="169"/>
      <c r="N103" s="169"/>
    </row>
    <row r="104" spans="1:14" s="242" customFormat="1" ht="34" outlineLevel="2">
      <c r="A104" s="239"/>
      <c r="B104" s="239" t="s">
        <v>602</v>
      </c>
      <c r="C104" s="239" t="s">
        <v>30</v>
      </c>
      <c r="D104" s="239" t="s">
        <v>933</v>
      </c>
      <c r="E104" s="410"/>
      <c r="F104" s="240" t="s">
        <v>287</v>
      </c>
      <c r="G104" s="168" t="s">
        <v>226</v>
      </c>
      <c r="H104" s="172" t="s">
        <v>287</v>
      </c>
      <c r="I104" s="224">
        <v>1</v>
      </c>
      <c r="J104" s="224">
        <v>1</v>
      </c>
      <c r="K104" s="169"/>
      <c r="L104" s="169"/>
      <c r="M104" s="169"/>
      <c r="N104" s="169"/>
    </row>
    <row r="105" spans="1:14" s="242" customFormat="1" ht="17" outlineLevel="2">
      <c r="A105" s="239"/>
      <c r="B105" s="239" t="s">
        <v>387</v>
      </c>
      <c r="C105" s="239" t="s">
        <v>30</v>
      </c>
      <c r="D105" s="239" t="s">
        <v>934</v>
      </c>
      <c r="E105" s="410"/>
      <c r="F105" s="240" t="s">
        <v>265</v>
      </c>
      <c r="G105" s="168" t="s">
        <v>14</v>
      </c>
      <c r="H105" s="172" t="s">
        <v>265</v>
      </c>
      <c r="I105" s="224">
        <v>5660</v>
      </c>
      <c r="J105" s="224">
        <v>5660</v>
      </c>
      <c r="K105" s="169"/>
      <c r="L105" s="169"/>
      <c r="M105" s="169"/>
      <c r="N105" s="169"/>
    </row>
    <row r="106" spans="1:14" s="242" customFormat="1" ht="17" outlineLevel="2">
      <c r="A106" s="239"/>
      <c r="B106" s="239" t="s">
        <v>388</v>
      </c>
      <c r="C106" s="239" t="s">
        <v>30</v>
      </c>
      <c r="D106" s="239" t="s">
        <v>935</v>
      </c>
      <c r="E106" s="410"/>
      <c r="F106" s="240" t="s">
        <v>266</v>
      </c>
      <c r="G106" s="168" t="s">
        <v>14</v>
      </c>
      <c r="H106" s="172" t="s">
        <v>266</v>
      </c>
      <c r="I106" s="224">
        <v>1990</v>
      </c>
      <c r="J106" s="224">
        <v>1990</v>
      </c>
      <c r="K106" s="169"/>
      <c r="L106" s="169"/>
      <c r="M106" s="169"/>
      <c r="N106" s="169"/>
    </row>
    <row r="107" spans="1:14" s="242" customFormat="1" ht="17" outlineLevel="2">
      <c r="A107" s="239"/>
      <c r="B107" s="239" t="s">
        <v>389</v>
      </c>
      <c r="C107" s="239" t="s">
        <v>30</v>
      </c>
      <c r="D107" s="239" t="s">
        <v>936</v>
      </c>
      <c r="E107" s="410"/>
      <c r="F107" s="240" t="s">
        <v>267</v>
      </c>
      <c r="G107" s="168" t="s">
        <v>14</v>
      </c>
      <c r="H107" s="172" t="s">
        <v>267</v>
      </c>
      <c r="I107" s="224">
        <v>7560</v>
      </c>
      <c r="J107" s="224">
        <v>7560</v>
      </c>
      <c r="K107" s="169"/>
      <c r="L107" s="169"/>
      <c r="M107" s="169"/>
      <c r="N107" s="169"/>
    </row>
    <row r="108" spans="1:14" s="242" customFormat="1" ht="17" outlineLevel="2">
      <c r="A108" s="239"/>
      <c r="B108" s="239" t="s">
        <v>390</v>
      </c>
      <c r="C108" s="239" t="s">
        <v>30</v>
      </c>
      <c r="D108" s="239" t="s">
        <v>937</v>
      </c>
      <c r="E108" s="410"/>
      <c r="F108" s="240" t="s">
        <v>268</v>
      </c>
      <c r="G108" s="168" t="s">
        <v>14</v>
      </c>
      <c r="H108" s="172" t="s">
        <v>268</v>
      </c>
      <c r="I108" s="224">
        <v>1990</v>
      </c>
      <c r="J108" s="224">
        <v>1990</v>
      </c>
      <c r="K108" s="169"/>
      <c r="L108" s="169"/>
      <c r="M108" s="169"/>
      <c r="N108" s="169"/>
    </row>
    <row r="109" spans="1:14" s="242" customFormat="1" ht="17" outlineLevel="2">
      <c r="A109" s="239"/>
      <c r="B109" s="239" t="s">
        <v>391</v>
      </c>
      <c r="C109" s="239" t="s">
        <v>30</v>
      </c>
      <c r="D109" s="239" t="s">
        <v>858</v>
      </c>
      <c r="E109" s="410"/>
      <c r="F109" s="240" t="s">
        <v>269</v>
      </c>
      <c r="G109" s="168" t="s">
        <v>13</v>
      </c>
      <c r="H109" s="172" t="s">
        <v>269</v>
      </c>
      <c r="I109" s="224">
        <v>192.01099999999997</v>
      </c>
      <c r="J109" s="224">
        <v>192.01099999999997</v>
      </c>
      <c r="K109" s="169"/>
      <c r="L109" s="169"/>
      <c r="M109" s="169"/>
      <c r="N109" s="169"/>
    </row>
    <row r="110" spans="1:14" s="242" customFormat="1" ht="17" outlineLevel="2">
      <c r="A110" s="239"/>
      <c r="B110" s="239" t="s">
        <v>392</v>
      </c>
      <c r="C110" s="239" t="s">
        <v>30</v>
      </c>
      <c r="D110" s="239" t="s">
        <v>859</v>
      </c>
      <c r="E110" s="410"/>
      <c r="F110" s="240" t="s">
        <v>270</v>
      </c>
      <c r="G110" s="168" t="s">
        <v>236</v>
      </c>
      <c r="H110" s="172" t="s">
        <v>270</v>
      </c>
      <c r="I110" s="224">
        <v>171</v>
      </c>
      <c r="J110" s="224">
        <v>171</v>
      </c>
      <c r="K110" s="169"/>
      <c r="L110" s="169"/>
      <c r="M110" s="169"/>
      <c r="N110" s="169"/>
    </row>
    <row r="111" spans="1:14" s="242" customFormat="1" ht="17" outlineLevel="2">
      <c r="A111" s="239"/>
      <c r="B111" s="239" t="s">
        <v>393</v>
      </c>
      <c r="C111" s="239" t="s">
        <v>30</v>
      </c>
      <c r="D111" s="239" t="s">
        <v>938</v>
      </c>
      <c r="E111" s="410"/>
      <c r="F111" s="240" t="s">
        <v>271</v>
      </c>
      <c r="G111" s="168" t="s">
        <v>227</v>
      </c>
      <c r="H111" s="172" t="s">
        <v>271</v>
      </c>
      <c r="I111" s="224">
        <v>421.59999999999997</v>
      </c>
      <c r="J111" s="224">
        <v>421.59999999999997</v>
      </c>
      <c r="K111" s="169"/>
      <c r="L111" s="169"/>
      <c r="M111" s="169"/>
      <c r="N111" s="169"/>
    </row>
    <row r="112" spans="1:14" s="242" customFormat="1" ht="17" outlineLevel="2">
      <c r="A112" s="239"/>
      <c r="B112" s="239" t="s">
        <v>394</v>
      </c>
      <c r="C112" s="239" t="s">
        <v>30</v>
      </c>
      <c r="D112" s="239" t="s">
        <v>854</v>
      </c>
      <c r="E112" s="410"/>
      <c r="F112" s="240" t="s">
        <v>272</v>
      </c>
      <c r="G112" s="168" t="s">
        <v>14</v>
      </c>
      <c r="H112" s="172" t="s">
        <v>272</v>
      </c>
      <c r="I112" s="224">
        <v>14129.295</v>
      </c>
      <c r="J112" s="224">
        <v>14129.295</v>
      </c>
      <c r="K112" s="169"/>
      <c r="L112" s="169"/>
      <c r="M112" s="169"/>
      <c r="N112" s="169"/>
    </row>
    <row r="113" spans="1:14" s="242" customFormat="1" ht="17" outlineLevel="2">
      <c r="A113" s="239"/>
      <c r="B113" s="239" t="s">
        <v>603</v>
      </c>
      <c r="C113" s="239" t="s">
        <v>30</v>
      </c>
      <c r="D113" s="239" t="s">
        <v>939</v>
      </c>
      <c r="E113" s="410"/>
      <c r="F113" s="240" t="s">
        <v>273</v>
      </c>
      <c r="G113" s="168" t="s">
        <v>226</v>
      </c>
      <c r="H113" s="172" t="s">
        <v>273</v>
      </c>
      <c r="I113" s="224">
        <v>1</v>
      </c>
      <c r="J113" s="224">
        <v>1</v>
      </c>
      <c r="K113" s="169"/>
      <c r="L113" s="169"/>
      <c r="M113" s="169"/>
      <c r="N113" s="169"/>
    </row>
    <row r="114" spans="1:14" s="242" customFormat="1" ht="17" outlineLevel="2">
      <c r="A114" s="239"/>
      <c r="B114" s="239" t="s">
        <v>604</v>
      </c>
      <c r="C114" s="239" t="s">
        <v>30</v>
      </c>
      <c r="D114" s="239" t="s">
        <v>940</v>
      </c>
      <c r="E114" s="410"/>
      <c r="F114" s="240" t="s">
        <v>274</v>
      </c>
      <c r="G114" s="168" t="s">
        <v>226</v>
      </c>
      <c r="H114" s="172" t="s">
        <v>274</v>
      </c>
      <c r="I114" s="224">
        <v>1</v>
      </c>
      <c r="J114" s="224">
        <v>1</v>
      </c>
      <c r="K114" s="169"/>
      <c r="L114" s="169"/>
      <c r="M114" s="169"/>
      <c r="N114" s="169"/>
    </row>
    <row r="115" spans="1:14" s="242" customFormat="1" ht="17" outlineLevel="2">
      <c r="A115" s="253"/>
      <c r="B115" s="253" t="s">
        <v>605</v>
      </c>
      <c r="C115" s="253" t="s">
        <v>30</v>
      </c>
      <c r="D115" s="253" t="s">
        <v>941</v>
      </c>
      <c r="E115" s="412"/>
      <c r="F115" s="254" t="s">
        <v>275</v>
      </c>
      <c r="G115" s="255" t="s">
        <v>226</v>
      </c>
      <c r="H115" s="258" t="s">
        <v>275</v>
      </c>
      <c r="I115" s="259">
        <v>1</v>
      </c>
      <c r="J115" s="259">
        <v>1</v>
      </c>
      <c r="K115" s="260"/>
      <c r="L115" s="260"/>
      <c r="M115" s="260"/>
      <c r="N115" s="260"/>
    </row>
    <row r="116" spans="1:14" s="242" customFormat="1" outlineLevel="2">
      <c r="A116" s="239"/>
      <c r="B116" s="239"/>
      <c r="C116" s="239"/>
      <c r="D116" s="239"/>
      <c r="E116" s="410"/>
      <c r="F116" s="240"/>
      <c r="G116" s="168"/>
      <c r="H116" s="172"/>
      <c r="I116" s="224"/>
      <c r="J116" s="224"/>
      <c r="K116" s="169"/>
      <c r="L116" s="169"/>
      <c r="M116" s="169"/>
      <c r="N116" s="169"/>
    </row>
    <row r="117" spans="1:14" s="242" customFormat="1" outlineLevel="2">
      <c r="A117" s="239"/>
      <c r="B117" s="239"/>
      <c r="C117" s="239"/>
      <c r="D117" s="239"/>
      <c r="E117" s="410"/>
      <c r="F117" s="240"/>
      <c r="G117" s="168"/>
      <c r="H117" s="172"/>
      <c r="I117" s="224"/>
      <c r="J117" s="224"/>
      <c r="K117" s="169"/>
      <c r="L117" s="169"/>
      <c r="M117" s="169"/>
      <c r="N117" s="169"/>
    </row>
    <row r="118" spans="1:14" s="242" customFormat="1" outlineLevel="2">
      <c r="A118" s="239"/>
      <c r="B118" s="239"/>
      <c r="C118" s="239"/>
      <c r="D118" s="239"/>
      <c r="E118" s="410"/>
      <c r="F118" s="240"/>
      <c r="G118" s="168"/>
      <c r="H118" s="172"/>
      <c r="I118" s="224"/>
      <c r="J118" s="224"/>
      <c r="K118" s="169"/>
      <c r="L118" s="169"/>
      <c r="M118" s="169"/>
      <c r="N118" s="169"/>
    </row>
    <row r="119" spans="1:14" s="242" customFormat="1" outlineLevel="2">
      <c r="A119" s="239"/>
      <c r="B119" s="239"/>
      <c r="C119" s="239"/>
      <c r="D119" s="239"/>
      <c r="E119" s="410"/>
      <c r="F119" s="240"/>
      <c r="G119" s="168"/>
      <c r="H119" s="172"/>
      <c r="I119" s="224"/>
      <c r="J119" s="224"/>
      <c r="K119" s="169"/>
      <c r="L119" s="169"/>
      <c r="M119" s="169"/>
      <c r="N119" s="169"/>
    </row>
    <row r="120" spans="1:14" s="242" customFormat="1" outlineLevel="2">
      <c r="A120" s="239"/>
      <c r="B120" s="239"/>
      <c r="C120" s="239"/>
      <c r="D120" s="239"/>
      <c r="E120" s="410"/>
      <c r="F120" s="240"/>
      <c r="G120" s="168"/>
      <c r="H120" s="172"/>
      <c r="I120" s="224"/>
      <c r="J120" s="224"/>
      <c r="K120" s="169"/>
      <c r="L120" s="169"/>
      <c r="M120" s="169"/>
      <c r="N120" s="169"/>
    </row>
    <row r="121" spans="1:14" s="242" customFormat="1" outlineLevel="2">
      <c r="A121" s="239"/>
      <c r="B121" s="239"/>
      <c r="C121" s="239"/>
      <c r="D121" s="239"/>
      <c r="E121" s="410"/>
      <c r="F121" s="240"/>
      <c r="G121" s="168"/>
      <c r="H121" s="172"/>
      <c r="I121" s="224"/>
      <c r="J121" s="224"/>
      <c r="K121" s="169"/>
      <c r="L121" s="169"/>
      <c r="M121" s="169"/>
      <c r="N121" s="169"/>
    </row>
    <row r="122" spans="1:14" s="242" customFormat="1" outlineLevel="2">
      <c r="A122" s="239"/>
      <c r="B122" s="239"/>
      <c r="C122" s="239"/>
      <c r="D122" s="239"/>
      <c r="E122" s="410"/>
      <c r="F122" s="240"/>
      <c r="G122" s="168"/>
      <c r="H122" s="172"/>
      <c r="I122" s="224"/>
      <c r="J122" s="224"/>
      <c r="K122" s="169"/>
      <c r="L122" s="169"/>
      <c r="M122" s="169"/>
      <c r="N122" s="169"/>
    </row>
    <row r="123" spans="1:14" s="242" customFormat="1" outlineLevel="2">
      <c r="A123" s="239"/>
      <c r="B123" s="239"/>
      <c r="C123" s="239"/>
      <c r="D123" s="239"/>
      <c r="E123" s="410"/>
      <c r="F123" s="240"/>
      <c r="G123" s="168"/>
      <c r="H123" s="172"/>
      <c r="I123" s="224"/>
      <c r="J123" s="224"/>
      <c r="K123" s="169"/>
      <c r="L123" s="169"/>
      <c r="M123" s="169"/>
      <c r="N123" s="169"/>
    </row>
    <row r="124" spans="1:14" s="242" customFormat="1" outlineLevel="2">
      <c r="A124" s="239"/>
      <c r="B124" s="239"/>
      <c r="C124" s="239"/>
      <c r="D124" s="239"/>
      <c r="E124" s="410"/>
      <c r="F124" s="240"/>
      <c r="G124" s="168"/>
      <c r="H124" s="172"/>
      <c r="I124" s="224"/>
      <c r="J124" s="224"/>
      <c r="K124" s="169"/>
      <c r="L124" s="169"/>
      <c r="M124" s="169"/>
      <c r="N124" s="169"/>
    </row>
    <row r="125" spans="1:14" s="242" customFormat="1" outlineLevel="2">
      <c r="A125" s="253"/>
      <c r="B125" s="253"/>
      <c r="C125" s="253"/>
      <c r="D125" s="253"/>
      <c r="E125" s="412"/>
      <c r="F125" s="254"/>
      <c r="G125" s="255"/>
      <c r="H125" s="258"/>
      <c r="I125" s="259"/>
      <c r="J125" s="259"/>
      <c r="K125" s="260"/>
      <c r="L125" s="260"/>
      <c r="M125" s="260"/>
      <c r="N125" s="260"/>
    </row>
    <row r="126" spans="1:14" s="242" customFormat="1" outlineLevel="1">
      <c r="A126" s="241"/>
      <c r="B126" s="241"/>
      <c r="C126" s="241"/>
      <c r="D126" s="241"/>
      <c r="E126" s="241"/>
      <c r="F126" s="246"/>
      <c r="G126" s="247"/>
      <c r="H126" s="249"/>
      <c r="I126" s="250"/>
      <c r="J126" s="250"/>
      <c r="K126" s="251"/>
      <c r="L126" s="251"/>
      <c r="M126" s="251"/>
      <c r="N126" s="251"/>
    </row>
    <row r="133" spans="4:6">
      <c r="D133"/>
      <c r="E133"/>
      <c r="F133"/>
    </row>
    <row r="134" spans="4:6">
      <c r="D134"/>
      <c r="E134"/>
      <c r="F134"/>
    </row>
    <row r="135" spans="4:6">
      <c r="D135"/>
      <c r="E135"/>
      <c r="F135"/>
    </row>
    <row r="136" spans="4:6">
      <c r="D136"/>
      <c r="E136"/>
      <c r="F136"/>
    </row>
    <row r="137" spans="4:6">
      <c r="D137"/>
      <c r="E137"/>
      <c r="F137"/>
    </row>
    <row r="138" spans="4:6">
      <c r="D138"/>
      <c r="E138"/>
      <c r="F138"/>
    </row>
    <row r="139" spans="4:6">
      <c r="D139"/>
      <c r="E139"/>
      <c r="F139"/>
    </row>
    <row r="140" spans="4:6">
      <c r="D140"/>
      <c r="E140"/>
      <c r="F140"/>
    </row>
    <row r="141" spans="4:6">
      <c r="D141"/>
      <c r="E141"/>
      <c r="F141"/>
    </row>
  </sheetData>
  <autoFilter ref="A6:N115" xr:uid="{731346DD-BF1A-4655-ACE3-BCD4991EEF0A}"/>
  <pageMargins left="0.7" right="0.7" top="0.75" bottom="0.75" header="0.3" footer="0.3"/>
  <pageSetup paperSize="9" scale="25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655CE-3621-4339-9630-CAC4BE278510}">
  <sheetPr codeName="Sheet4">
    <tabColor rgb="FF002060"/>
    <outlinePr summaryBelow="0"/>
  </sheetPr>
  <dimension ref="A1:BT132"/>
  <sheetViews>
    <sheetView showZeros="0" zoomScale="70" zoomScaleNormal="70" workbookViewId="0">
      <pane ySplit="6" topLeftCell="A7" activePane="bottomLeft" state="frozen"/>
      <selection activeCell="B16" sqref="B16"/>
      <selection pane="bottomLeft" activeCell="B5" sqref="B5"/>
    </sheetView>
  </sheetViews>
  <sheetFormatPr baseColWidth="10" defaultColWidth="9" defaultRowHeight="15" outlineLevelRow="1"/>
  <cols>
    <col min="1" max="1" width="10.5" customWidth="1"/>
    <col min="2" max="2" width="19.6640625" bestFit="1" customWidth="1"/>
    <col min="3" max="3" width="20.83203125" customWidth="1"/>
    <col min="4" max="4" width="8.1640625" customWidth="1"/>
    <col min="5" max="5" width="28.6640625" customWidth="1"/>
    <col min="6" max="6" width="16.33203125" customWidth="1"/>
    <col min="7" max="7" width="23.6640625" customWidth="1"/>
    <col min="8" max="8" width="15.83203125" customWidth="1"/>
    <col min="10" max="10" width="14.83203125" customWidth="1"/>
    <col min="11" max="11" width="13.83203125" customWidth="1"/>
    <col min="12" max="12" width="14" customWidth="1"/>
    <col min="13" max="13" width="14.5" customWidth="1"/>
    <col min="14" max="14" width="12.83203125" customWidth="1"/>
    <col min="15" max="15" width="14.5" customWidth="1"/>
    <col min="16" max="16" width="12.83203125" customWidth="1"/>
    <col min="17" max="17" width="14.83203125" customWidth="1"/>
    <col min="18" max="18" width="10.6640625" customWidth="1"/>
    <col min="19" max="20" width="11.5" customWidth="1"/>
    <col min="21" max="21" width="10" customWidth="1"/>
    <col min="22" max="24" width="11.5" customWidth="1"/>
    <col min="25" max="25" width="10" customWidth="1"/>
    <col min="26" max="27" width="11.5" customWidth="1"/>
    <col min="28" max="30" width="10" customWidth="1"/>
    <col min="31" max="32" width="11.5" customWidth="1"/>
    <col min="33" max="34" width="10" customWidth="1"/>
    <col min="35" max="35" width="9.1640625" customWidth="1"/>
    <col min="36" max="37" width="11.5" customWidth="1"/>
    <col min="38" max="39" width="10" customWidth="1"/>
    <col min="40" max="40" width="9.6640625" customWidth="1"/>
    <col min="41" max="41" width="9.1640625" customWidth="1"/>
    <col min="42" max="42" width="11.5" customWidth="1"/>
    <col min="43" max="43" width="10" customWidth="1"/>
    <col min="44" max="44" width="11.5" customWidth="1"/>
    <col min="45" max="45" width="10" customWidth="1"/>
    <col min="46" max="48" width="9.1640625" customWidth="1"/>
    <col min="49" max="54" width="10" customWidth="1"/>
    <col min="55" max="58" width="9.1640625" customWidth="1"/>
    <col min="59" max="59" width="10" customWidth="1"/>
    <col min="60" max="60" width="9.1640625" customWidth="1"/>
    <col min="61" max="63" width="10" customWidth="1"/>
    <col min="64" max="64" width="9.1640625" customWidth="1"/>
    <col min="65" max="65" width="10" customWidth="1"/>
    <col min="66" max="66" width="11.5" customWidth="1"/>
    <col min="67" max="67" width="9.1640625" customWidth="1"/>
    <col min="68" max="69" width="11.5" customWidth="1"/>
    <col min="70" max="70" width="9.1640625" customWidth="1"/>
    <col min="71" max="72" width="10" customWidth="1"/>
    <col min="73" max="73" width="9.1640625" customWidth="1"/>
    <col min="74" max="74" width="10" customWidth="1"/>
    <col min="75" max="78" width="9.1640625" customWidth="1"/>
    <col min="79" max="79" width="10" customWidth="1"/>
    <col min="80" max="86" width="9.1640625" customWidth="1"/>
    <col min="87" max="87" width="11.5" customWidth="1"/>
    <col min="88" max="88" width="10" customWidth="1"/>
    <col min="89" max="89" width="11.5" customWidth="1"/>
    <col min="90" max="90" width="10" customWidth="1"/>
    <col min="91" max="91" width="11.5" customWidth="1"/>
    <col min="92" max="92" width="10" customWidth="1"/>
    <col min="93" max="100" width="9.1640625" customWidth="1"/>
  </cols>
  <sheetData>
    <row r="1" spans="1:72" ht="21">
      <c r="A1" s="420" t="s">
        <v>1528</v>
      </c>
      <c r="B1" s="421"/>
      <c r="C1" s="422"/>
      <c r="G1" s="423"/>
      <c r="H1" s="11"/>
      <c r="I1" s="432" t="s">
        <v>21</v>
      </c>
      <c r="J1" s="414" t="s">
        <v>1260</v>
      </c>
      <c r="K1" t="s">
        <v>1261</v>
      </c>
      <c r="L1" t="s">
        <v>1262</v>
      </c>
      <c r="M1" t="s">
        <v>1263</v>
      </c>
      <c r="N1" t="s">
        <v>1264</v>
      </c>
      <c r="O1" t="s">
        <v>1265</v>
      </c>
      <c r="P1" t="s">
        <v>1266</v>
      </c>
      <c r="Q1" t="s">
        <v>1267</v>
      </c>
      <c r="R1" t="s">
        <v>1268</v>
      </c>
      <c r="S1" t="s">
        <v>1269</v>
      </c>
      <c r="T1" t="s">
        <v>1270</v>
      </c>
      <c r="U1" t="s">
        <v>1271</v>
      </c>
      <c r="V1" t="s">
        <v>1272</v>
      </c>
      <c r="W1" t="s">
        <v>1273</v>
      </c>
      <c r="X1" t="s">
        <v>1274</v>
      </c>
      <c r="Y1" t="s">
        <v>1275</v>
      </c>
      <c r="Z1" t="s">
        <v>1276</v>
      </c>
      <c r="AA1" t="s">
        <v>1277</v>
      </c>
      <c r="AB1" t="s">
        <v>1278</v>
      </c>
      <c r="AC1" t="s">
        <v>1279</v>
      </c>
      <c r="AD1" t="s">
        <v>1280</v>
      </c>
      <c r="AE1" t="s">
        <v>1281</v>
      </c>
      <c r="AF1" t="s">
        <v>1282</v>
      </c>
      <c r="AG1" t="s">
        <v>1283</v>
      </c>
      <c r="AH1" t="s">
        <v>1284</v>
      </c>
      <c r="AI1" t="s">
        <v>1285</v>
      </c>
      <c r="AJ1" t="s">
        <v>1286</v>
      </c>
      <c r="AK1" t="s">
        <v>1287</v>
      </c>
      <c r="AL1" t="s">
        <v>1288</v>
      </c>
      <c r="AM1" t="s">
        <v>1289</v>
      </c>
      <c r="AN1" t="s">
        <v>1290</v>
      </c>
      <c r="AO1" t="s">
        <v>1291</v>
      </c>
      <c r="AP1" t="s">
        <v>1292</v>
      </c>
      <c r="AQ1" t="s">
        <v>1293</v>
      </c>
      <c r="AR1" t="s">
        <v>1294</v>
      </c>
      <c r="AS1" t="s">
        <v>1295</v>
      </c>
      <c r="AT1" t="s">
        <v>1296</v>
      </c>
      <c r="AU1" t="s">
        <v>1297</v>
      </c>
      <c r="AV1" t="s">
        <v>1298</v>
      </c>
      <c r="AW1" t="s">
        <v>1299</v>
      </c>
      <c r="AX1" t="s">
        <v>1300</v>
      </c>
      <c r="AY1" t="s">
        <v>1301</v>
      </c>
      <c r="AZ1" t="s">
        <v>1302</v>
      </c>
      <c r="BA1" t="s">
        <v>1303</v>
      </c>
      <c r="BB1" t="s">
        <v>1304</v>
      </c>
      <c r="BC1" t="s">
        <v>1305</v>
      </c>
      <c r="BD1" t="s">
        <v>1306</v>
      </c>
      <c r="BE1" t="s">
        <v>1307</v>
      </c>
      <c r="BF1" t="s">
        <v>1308</v>
      </c>
      <c r="BG1" t="s">
        <v>1309</v>
      </c>
      <c r="BH1" t="s">
        <v>1310</v>
      </c>
      <c r="BI1" t="s">
        <v>1311</v>
      </c>
      <c r="BJ1" t="s">
        <v>1312</v>
      </c>
      <c r="BK1" t="s">
        <v>1313</v>
      </c>
      <c r="BL1" t="s">
        <v>1314</v>
      </c>
      <c r="BM1" t="s">
        <v>1315</v>
      </c>
      <c r="BN1" t="s">
        <v>1316</v>
      </c>
      <c r="BO1" t="s">
        <v>1317</v>
      </c>
      <c r="BP1" t="s">
        <v>1318</v>
      </c>
      <c r="BQ1" t="s">
        <v>1319</v>
      </c>
      <c r="BR1" t="s">
        <v>1320</v>
      </c>
      <c r="BS1" t="s">
        <v>1321</v>
      </c>
      <c r="BT1" t="s">
        <v>1322</v>
      </c>
    </row>
    <row r="2" spans="1:72" ht="21">
      <c r="A2" s="424"/>
      <c r="B2" s="425" t="s">
        <v>1531</v>
      </c>
      <c r="C2" s="422"/>
      <c r="H2" s="11"/>
      <c r="I2" s="432" t="s">
        <v>951</v>
      </c>
      <c r="J2" t="s">
        <v>1323</v>
      </c>
      <c r="K2" t="s">
        <v>1324</v>
      </c>
      <c r="L2">
        <v>0</v>
      </c>
      <c r="M2">
        <v>0</v>
      </c>
      <c r="N2">
        <v>0</v>
      </c>
      <c r="O2">
        <v>0</v>
      </c>
      <c r="P2">
        <v>0</v>
      </c>
      <c r="Q2" t="s">
        <v>1325</v>
      </c>
      <c r="R2" t="s">
        <v>1326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t="s">
        <v>1327</v>
      </c>
      <c r="Z2" t="s">
        <v>1328</v>
      </c>
      <c r="AA2" t="s">
        <v>1329</v>
      </c>
      <c r="AB2" t="s">
        <v>1330</v>
      </c>
      <c r="AC2" t="s">
        <v>1331</v>
      </c>
      <c r="AD2" t="s">
        <v>1332</v>
      </c>
      <c r="AE2" t="s">
        <v>1333</v>
      </c>
      <c r="AF2">
        <v>0</v>
      </c>
      <c r="AG2" t="s">
        <v>1334</v>
      </c>
      <c r="AH2" t="s">
        <v>1335</v>
      </c>
      <c r="AI2" t="s">
        <v>1336</v>
      </c>
      <c r="AJ2" t="s">
        <v>1336</v>
      </c>
      <c r="AK2" t="s">
        <v>1337</v>
      </c>
      <c r="AL2" t="s">
        <v>1337</v>
      </c>
      <c r="AM2" t="s">
        <v>1336</v>
      </c>
      <c r="AN2" t="s">
        <v>1338</v>
      </c>
      <c r="AO2" t="s">
        <v>1339</v>
      </c>
      <c r="AP2" t="s">
        <v>1340</v>
      </c>
      <c r="AQ2" t="s">
        <v>1340</v>
      </c>
      <c r="AR2" t="s">
        <v>1341</v>
      </c>
      <c r="AS2">
        <v>0</v>
      </c>
      <c r="AT2" t="s">
        <v>1342</v>
      </c>
      <c r="AU2">
        <v>0</v>
      </c>
      <c r="AV2" t="s">
        <v>1342</v>
      </c>
      <c r="AW2" t="s">
        <v>1342</v>
      </c>
      <c r="AX2" t="s">
        <v>1342</v>
      </c>
      <c r="AY2" t="s">
        <v>1342</v>
      </c>
      <c r="AZ2" t="s">
        <v>1342</v>
      </c>
      <c r="BA2" t="s">
        <v>1342</v>
      </c>
      <c r="BB2" t="s">
        <v>1342</v>
      </c>
      <c r="BC2">
        <v>0</v>
      </c>
      <c r="BD2" t="s">
        <v>1343</v>
      </c>
      <c r="BE2" t="s">
        <v>1343</v>
      </c>
      <c r="BF2" t="s">
        <v>1344</v>
      </c>
      <c r="BG2" t="s">
        <v>1344</v>
      </c>
      <c r="BH2" t="s">
        <v>1345</v>
      </c>
      <c r="BI2" t="s">
        <v>1345</v>
      </c>
      <c r="BJ2" t="s">
        <v>1346</v>
      </c>
      <c r="BK2" t="s">
        <v>1347</v>
      </c>
      <c r="BL2" t="s">
        <v>1348</v>
      </c>
      <c r="BM2" t="s">
        <v>1348</v>
      </c>
      <c r="BN2" t="s">
        <v>1349</v>
      </c>
      <c r="BO2" t="s">
        <v>1348</v>
      </c>
      <c r="BP2" t="s">
        <v>1350</v>
      </c>
      <c r="BQ2" t="s">
        <v>1350</v>
      </c>
      <c r="BR2" t="s">
        <v>1351</v>
      </c>
      <c r="BS2" t="s">
        <v>1350</v>
      </c>
      <c r="BT2" t="s">
        <v>1351</v>
      </c>
    </row>
    <row r="3" spans="1:72" ht="21">
      <c r="A3" s="424" t="s">
        <v>1529</v>
      </c>
      <c r="B3" s="425"/>
      <c r="C3" s="422"/>
      <c r="D3" s="426"/>
      <c r="E3" s="426"/>
      <c r="F3" s="427"/>
      <c r="G3" s="427"/>
      <c r="I3" s="432" t="s">
        <v>151</v>
      </c>
      <c r="J3" t="s">
        <v>1352</v>
      </c>
      <c r="K3">
        <v>0</v>
      </c>
      <c r="L3" t="s">
        <v>1353</v>
      </c>
      <c r="M3" t="s">
        <v>1354</v>
      </c>
      <c r="N3" t="s">
        <v>1355</v>
      </c>
      <c r="O3" t="s">
        <v>1356</v>
      </c>
      <c r="P3" t="s">
        <v>1357</v>
      </c>
      <c r="Q3">
        <v>0</v>
      </c>
      <c r="R3" t="s">
        <v>1358</v>
      </c>
      <c r="S3" t="s">
        <v>1359</v>
      </c>
      <c r="T3" t="s">
        <v>1360</v>
      </c>
      <c r="U3" t="s">
        <v>1361</v>
      </c>
      <c r="V3" t="s">
        <v>1362</v>
      </c>
      <c r="W3" t="s">
        <v>1363</v>
      </c>
      <c r="X3" t="s">
        <v>1364</v>
      </c>
      <c r="Y3">
        <v>0</v>
      </c>
      <c r="Z3" t="s">
        <v>1365</v>
      </c>
      <c r="AA3" t="s">
        <v>1366</v>
      </c>
      <c r="AB3" t="s">
        <v>1367</v>
      </c>
      <c r="AC3">
        <v>0</v>
      </c>
      <c r="AD3">
        <v>0</v>
      </c>
      <c r="AE3" t="s">
        <v>1368</v>
      </c>
      <c r="AF3" t="s">
        <v>1369</v>
      </c>
      <c r="AG3">
        <v>0</v>
      </c>
      <c r="AH3" t="s">
        <v>1370</v>
      </c>
      <c r="AI3" t="s">
        <v>1371</v>
      </c>
      <c r="AJ3" t="s">
        <v>1372</v>
      </c>
      <c r="AK3" t="s">
        <v>1373</v>
      </c>
      <c r="AL3" t="s">
        <v>1374</v>
      </c>
      <c r="AM3" t="s">
        <v>1375</v>
      </c>
      <c r="AN3" t="s">
        <v>1376</v>
      </c>
      <c r="AO3" t="s">
        <v>1377</v>
      </c>
      <c r="AP3" t="s">
        <v>1378</v>
      </c>
      <c r="AQ3" t="s">
        <v>1379</v>
      </c>
      <c r="AR3" t="s">
        <v>1380</v>
      </c>
      <c r="AS3" t="s">
        <v>1381</v>
      </c>
      <c r="AT3" t="s">
        <v>1382</v>
      </c>
      <c r="AU3" t="s">
        <v>1383</v>
      </c>
      <c r="AV3" t="s">
        <v>1384</v>
      </c>
      <c r="AW3" t="s">
        <v>1385</v>
      </c>
      <c r="AX3" t="s">
        <v>1386</v>
      </c>
      <c r="AY3" t="s">
        <v>1387</v>
      </c>
      <c r="AZ3" t="s">
        <v>1388</v>
      </c>
      <c r="BA3" t="s">
        <v>1389</v>
      </c>
      <c r="BB3" t="s">
        <v>1390</v>
      </c>
      <c r="BC3" t="s">
        <v>1391</v>
      </c>
      <c r="BD3">
        <v>0</v>
      </c>
      <c r="BE3">
        <v>0</v>
      </c>
      <c r="BF3" t="s">
        <v>1392</v>
      </c>
      <c r="BG3" t="s">
        <v>1393</v>
      </c>
      <c r="BH3" t="s">
        <v>1394</v>
      </c>
      <c r="BI3" t="s">
        <v>1395</v>
      </c>
      <c r="BJ3" t="s">
        <v>1396</v>
      </c>
      <c r="BK3" t="s">
        <v>1397</v>
      </c>
      <c r="BL3" t="s">
        <v>1398</v>
      </c>
      <c r="BM3" t="s">
        <v>1399</v>
      </c>
      <c r="BN3" t="s">
        <v>1400</v>
      </c>
      <c r="BO3" t="s">
        <v>1401</v>
      </c>
      <c r="BP3" t="s">
        <v>1402</v>
      </c>
      <c r="BQ3" t="s">
        <v>1403</v>
      </c>
      <c r="BR3" t="s">
        <v>1404</v>
      </c>
      <c r="BS3" t="s">
        <v>1405</v>
      </c>
      <c r="BT3">
        <v>0</v>
      </c>
    </row>
    <row r="4" spans="1:72" ht="21">
      <c r="A4" s="424"/>
      <c r="B4" s="425" t="s">
        <v>1530</v>
      </c>
      <c r="C4" s="422"/>
      <c r="G4" s="11"/>
      <c r="I4" s="415" t="s">
        <v>947</v>
      </c>
      <c r="J4" t="s">
        <v>1406</v>
      </c>
      <c r="K4" t="s">
        <v>1406</v>
      </c>
      <c r="L4" t="s">
        <v>1407</v>
      </c>
      <c r="M4" t="s">
        <v>1407</v>
      </c>
      <c r="N4" t="s">
        <v>1407</v>
      </c>
      <c r="O4" t="s">
        <v>1407</v>
      </c>
      <c r="P4" t="s">
        <v>1407</v>
      </c>
      <c r="Q4" t="s">
        <v>1407</v>
      </c>
      <c r="R4" t="s">
        <v>1407</v>
      </c>
      <c r="S4" t="s">
        <v>1407</v>
      </c>
      <c r="T4" t="s">
        <v>1407</v>
      </c>
      <c r="U4" t="s">
        <v>1407</v>
      </c>
      <c r="V4" t="s">
        <v>1407</v>
      </c>
      <c r="W4" t="s">
        <v>1407</v>
      </c>
      <c r="X4" t="s">
        <v>1407</v>
      </c>
      <c r="Y4" t="s">
        <v>1407</v>
      </c>
      <c r="Z4" t="s">
        <v>1408</v>
      </c>
      <c r="AA4" t="s">
        <v>1408</v>
      </c>
      <c r="AB4" t="s">
        <v>1408</v>
      </c>
      <c r="AC4" t="s">
        <v>1408</v>
      </c>
      <c r="AD4" t="s">
        <v>1408</v>
      </c>
      <c r="AE4" t="s">
        <v>1409</v>
      </c>
      <c r="AF4" t="s">
        <v>1410</v>
      </c>
      <c r="AG4" t="s">
        <v>1410</v>
      </c>
      <c r="AH4" t="s">
        <v>1411</v>
      </c>
      <c r="AI4" t="s">
        <v>1411</v>
      </c>
      <c r="AJ4" t="s">
        <v>1411</v>
      </c>
      <c r="AK4" t="s">
        <v>1411</v>
      </c>
      <c r="AL4" t="s">
        <v>1411</v>
      </c>
      <c r="AM4" t="s">
        <v>1411</v>
      </c>
      <c r="AN4" t="s">
        <v>1411</v>
      </c>
      <c r="AO4" t="s">
        <v>1411</v>
      </c>
      <c r="AP4" t="s">
        <v>1411</v>
      </c>
      <c r="AQ4" t="s">
        <v>1411</v>
      </c>
      <c r="AR4" t="s">
        <v>1411</v>
      </c>
      <c r="AS4" t="s">
        <v>1411</v>
      </c>
      <c r="AT4" t="s">
        <v>1412</v>
      </c>
      <c r="AU4" t="s">
        <v>1412</v>
      </c>
      <c r="AV4" t="s">
        <v>1412</v>
      </c>
      <c r="AW4" t="s">
        <v>1412</v>
      </c>
      <c r="AX4" t="s">
        <v>1412</v>
      </c>
      <c r="AY4" t="s">
        <v>1412</v>
      </c>
      <c r="AZ4" t="s">
        <v>1412</v>
      </c>
      <c r="BA4" t="s">
        <v>1412</v>
      </c>
      <c r="BB4" t="s">
        <v>1412</v>
      </c>
      <c r="BC4" t="s">
        <v>1413</v>
      </c>
      <c r="BD4" t="s">
        <v>1413</v>
      </c>
      <c r="BE4" t="s">
        <v>1413</v>
      </c>
      <c r="BF4" t="s">
        <v>1413</v>
      </c>
      <c r="BG4" t="s">
        <v>1413</v>
      </c>
      <c r="BH4" t="s">
        <v>1413</v>
      </c>
      <c r="BI4" t="s">
        <v>1413</v>
      </c>
      <c r="BJ4" t="s">
        <v>1413</v>
      </c>
      <c r="BK4" t="s">
        <v>1413</v>
      </c>
      <c r="BL4" t="s">
        <v>1414</v>
      </c>
      <c r="BM4" t="s">
        <v>1414</v>
      </c>
      <c r="BN4" t="s">
        <v>1414</v>
      </c>
      <c r="BO4" t="s">
        <v>1414</v>
      </c>
      <c r="BP4" t="s">
        <v>1415</v>
      </c>
      <c r="BQ4" t="s">
        <v>1415</v>
      </c>
      <c r="BR4" t="s">
        <v>1415</v>
      </c>
      <c r="BS4" t="s">
        <v>1415</v>
      </c>
      <c r="BT4" t="s">
        <v>1415</v>
      </c>
    </row>
    <row r="5" spans="1:72" ht="21">
      <c r="A5" s="424" t="s">
        <v>1532</v>
      </c>
      <c r="B5" s="425"/>
      <c r="C5" s="422"/>
      <c r="D5" s="426"/>
      <c r="E5" s="426"/>
      <c r="F5" s="426"/>
      <c r="G5" s="426"/>
      <c r="I5" s="415" t="s">
        <v>19</v>
      </c>
      <c r="J5" t="s">
        <v>1416</v>
      </c>
      <c r="K5" t="s">
        <v>1417</v>
      </c>
      <c r="L5" t="s">
        <v>1418</v>
      </c>
      <c r="M5" t="s">
        <v>1419</v>
      </c>
      <c r="N5" t="s">
        <v>1420</v>
      </c>
      <c r="O5" t="s">
        <v>1421</v>
      </c>
      <c r="P5" t="s">
        <v>1422</v>
      </c>
      <c r="Q5" t="s">
        <v>1423</v>
      </c>
      <c r="R5" t="s">
        <v>1424</v>
      </c>
      <c r="S5" t="s">
        <v>1425</v>
      </c>
      <c r="T5" t="s">
        <v>1426</v>
      </c>
      <c r="U5" t="s">
        <v>1427</v>
      </c>
      <c r="V5" t="s">
        <v>1428</v>
      </c>
      <c r="W5" t="s">
        <v>1429</v>
      </c>
      <c r="X5" t="s">
        <v>1430</v>
      </c>
      <c r="Y5" t="s">
        <v>1431</v>
      </c>
      <c r="Z5" t="s">
        <v>1432</v>
      </c>
      <c r="AA5" t="s">
        <v>1433</v>
      </c>
      <c r="AB5" t="s">
        <v>1434</v>
      </c>
      <c r="AC5" t="s">
        <v>1435</v>
      </c>
      <c r="AD5" t="s">
        <v>1436</v>
      </c>
      <c r="AE5" t="s">
        <v>1437</v>
      </c>
      <c r="AF5" t="s">
        <v>1438</v>
      </c>
      <c r="AG5" t="s">
        <v>1439</v>
      </c>
      <c r="AH5" t="s">
        <v>1440</v>
      </c>
      <c r="AI5" t="s">
        <v>1441</v>
      </c>
      <c r="AJ5" t="s">
        <v>1442</v>
      </c>
      <c r="AK5" t="s">
        <v>1443</v>
      </c>
      <c r="AL5" t="s">
        <v>1444</v>
      </c>
      <c r="AM5" t="s">
        <v>1445</v>
      </c>
      <c r="AN5" t="s">
        <v>1446</v>
      </c>
      <c r="AO5" t="s">
        <v>1447</v>
      </c>
      <c r="AP5" t="s">
        <v>1448</v>
      </c>
      <c r="AQ5" t="s">
        <v>1449</v>
      </c>
      <c r="AR5" t="s">
        <v>1450</v>
      </c>
      <c r="AS5" t="s">
        <v>1451</v>
      </c>
      <c r="AT5" t="s">
        <v>1452</v>
      </c>
      <c r="AU5" t="s">
        <v>1453</v>
      </c>
      <c r="AV5" t="s">
        <v>1454</v>
      </c>
      <c r="AW5" t="s">
        <v>1455</v>
      </c>
      <c r="AX5" t="s">
        <v>1456</v>
      </c>
      <c r="AY5" t="s">
        <v>1457</v>
      </c>
      <c r="AZ5" t="s">
        <v>1458</v>
      </c>
      <c r="BA5" t="s">
        <v>1459</v>
      </c>
      <c r="BB5" t="s">
        <v>1460</v>
      </c>
      <c r="BC5" t="s">
        <v>1461</v>
      </c>
      <c r="BD5" t="s">
        <v>1462</v>
      </c>
      <c r="BE5" t="s">
        <v>1463</v>
      </c>
      <c r="BF5" t="s">
        <v>1464</v>
      </c>
      <c r="BG5" t="s">
        <v>1465</v>
      </c>
      <c r="BH5" t="s">
        <v>1466</v>
      </c>
      <c r="BI5" t="s">
        <v>1467</v>
      </c>
      <c r="BJ5" t="s">
        <v>1468</v>
      </c>
      <c r="BK5" t="s">
        <v>1469</v>
      </c>
      <c r="BL5" t="s">
        <v>1470</v>
      </c>
      <c r="BM5" t="s">
        <v>1471</v>
      </c>
      <c r="BN5" t="s">
        <v>1472</v>
      </c>
      <c r="BO5" t="s">
        <v>1473</v>
      </c>
      <c r="BP5" t="s">
        <v>1474</v>
      </c>
      <c r="BQ5" t="s">
        <v>1475</v>
      </c>
      <c r="BR5" t="s">
        <v>1476</v>
      </c>
      <c r="BS5" t="s">
        <v>1477</v>
      </c>
      <c r="BT5" t="s">
        <v>1478</v>
      </c>
    </row>
    <row r="6" spans="1:72" ht="26">
      <c r="A6" s="428"/>
      <c r="B6" s="429"/>
      <c r="C6" s="430"/>
      <c r="D6" s="17"/>
      <c r="E6" s="17"/>
      <c r="F6" s="17"/>
      <c r="G6" s="431"/>
      <c r="I6" s="17" t="s">
        <v>27</v>
      </c>
      <c r="J6" t="s">
        <v>236</v>
      </c>
      <c r="K6" t="s">
        <v>14</v>
      </c>
      <c r="L6" t="s">
        <v>28</v>
      </c>
      <c r="M6" t="s">
        <v>15</v>
      </c>
      <c r="N6" t="s">
        <v>13</v>
      </c>
      <c r="O6" t="s">
        <v>28</v>
      </c>
      <c r="P6" t="s">
        <v>13</v>
      </c>
      <c r="Q6" t="s">
        <v>227</v>
      </c>
      <c r="R6" t="s">
        <v>1479</v>
      </c>
      <c r="S6" t="s">
        <v>15</v>
      </c>
      <c r="T6" t="s">
        <v>28</v>
      </c>
      <c r="U6" t="s">
        <v>15</v>
      </c>
      <c r="V6" t="s">
        <v>13</v>
      </c>
      <c r="W6" t="s">
        <v>28</v>
      </c>
      <c r="X6" t="s">
        <v>13</v>
      </c>
      <c r="Y6" t="s">
        <v>227</v>
      </c>
      <c r="Z6" t="s">
        <v>13</v>
      </c>
      <c r="AA6" t="s">
        <v>13</v>
      </c>
      <c r="AB6" t="s">
        <v>13</v>
      </c>
      <c r="AC6" t="s">
        <v>13</v>
      </c>
      <c r="AD6" t="s">
        <v>13</v>
      </c>
      <c r="AE6" t="s">
        <v>28</v>
      </c>
      <c r="AF6" t="s">
        <v>1480</v>
      </c>
      <c r="AG6" t="s">
        <v>227</v>
      </c>
      <c r="AH6" t="s">
        <v>13</v>
      </c>
      <c r="AI6" t="s">
        <v>13</v>
      </c>
      <c r="AJ6" t="s">
        <v>13</v>
      </c>
      <c r="AK6" t="s">
        <v>13</v>
      </c>
      <c r="AL6" t="s">
        <v>13</v>
      </c>
      <c r="AM6" t="s">
        <v>13</v>
      </c>
      <c r="AN6" t="s">
        <v>28</v>
      </c>
      <c r="AO6" t="s">
        <v>13</v>
      </c>
      <c r="AP6" t="s">
        <v>13</v>
      </c>
      <c r="AQ6" t="s">
        <v>13</v>
      </c>
      <c r="AR6" t="s">
        <v>13</v>
      </c>
      <c r="AS6" t="s">
        <v>28</v>
      </c>
      <c r="AT6" t="s">
        <v>15</v>
      </c>
      <c r="AU6" t="s">
        <v>15</v>
      </c>
      <c r="AV6" t="s">
        <v>15</v>
      </c>
      <c r="AW6" t="s">
        <v>15</v>
      </c>
      <c r="AX6" t="s">
        <v>15</v>
      </c>
      <c r="AY6" t="s">
        <v>15</v>
      </c>
      <c r="AZ6" t="s">
        <v>15</v>
      </c>
      <c r="BA6" t="s">
        <v>15</v>
      </c>
      <c r="BB6" t="s">
        <v>15</v>
      </c>
      <c r="BC6" t="s">
        <v>14</v>
      </c>
      <c r="BD6" t="s">
        <v>14</v>
      </c>
      <c r="BE6" t="s">
        <v>14</v>
      </c>
      <c r="BF6" t="s">
        <v>14</v>
      </c>
      <c r="BG6" t="s">
        <v>14</v>
      </c>
      <c r="BH6" t="s">
        <v>14</v>
      </c>
      <c r="BI6" t="s">
        <v>14</v>
      </c>
      <c r="BJ6" t="s">
        <v>14</v>
      </c>
      <c r="BK6" t="s">
        <v>14</v>
      </c>
      <c r="BL6" t="s">
        <v>14</v>
      </c>
      <c r="BM6" t="s">
        <v>14</v>
      </c>
      <c r="BN6" t="s">
        <v>28</v>
      </c>
      <c r="BO6" t="s">
        <v>14</v>
      </c>
      <c r="BP6" t="s">
        <v>14</v>
      </c>
      <c r="BQ6" t="s">
        <v>14</v>
      </c>
      <c r="BR6" t="s">
        <v>14</v>
      </c>
      <c r="BS6" t="s">
        <v>14</v>
      </c>
      <c r="BT6" t="s">
        <v>14</v>
      </c>
    </row>
    <row r="7" spans="1:72">
      <c r="A7" s="198" t="s">
        <v>0</v>
      </c>
      <c r="B7" s="199" t="s">
        <v>152</v>
      </c>
      <c r="C7" s="199" t="s">
        <v>1</v>
      </c>
      <c r="D7" s="199" t="s">
        <v>0</v>
      </c>
      <c r="E7" s="199" t="s">
        <v>1527</v>
      </c>
      <c r="F7" s="199" t="s">
        <v>47</v>
      </c>
      <c r="G7" s="199" t="s">
        <v>1526</v>
      </c>
      <c r="H7" s="199"/>
      <c r="I7" s="190" t="s">
        <v>131</v>
      </c>
      <c r="J7" s="197">
        <v>650</v>
      </c>
      <c r="K7" s="197">
        <v>4928.4858999999997</v>
      </c>
      <c r="L7" s="197">
        <v>1</v>
      </c>
      <c r="M7" s="197">
        <v>8953.8000000000029</v>
      </c>
      <c r="N7" s="197">
        <v>13213.349999999988</v>
      </c>
      <c r="O7" s="197">
        <v>710.96503697447815</v>
      </c>
      <c r="P7" s="197">
        <v>439.5</v>
      </c>
      <c r="Q7" s="197">
        <v>895379.25715695159</v>
      </c>
      <c r="R7" s="197">
        <v>445.67513029767815</v>
      </c>
      <c r="S7" s="197">
        <v>586</v>
      </c>
      <c r="T7" s="197">
        <v>16260.499999999998</v>
      </c>
      <c r="U7" s="197">
        <v>23992.799999999974</v>
      </c>
      <c r="V7" s="197">
        <v>2195.478464016338</v>
      </c>
      <c r="W7" s="197">
        <v>1598.7012246919339</v>
      </c>
      <c r="X7" s="197">
        <v>6053.2920000000013</v>
      </c>
      <c r="Y7" s="197">
        <v>3228045.0892423848</v>
      </c>
      <c r="Z7" s="197">
        <v>118976.56874190042</v>
      </c>
      <c r="AA7" s="197">
        <v>7985.9714847033119</v>
      </c>
      <c r="AB7" s="197">
        <v>1996.36</v>
      </c>
      <c r="AC7" s="197">
        <v>4122.0920000000006</v>
      </c>
      <c r="AD7" s="197">
        <v>1617.5135</v>
      </c>
      <c r="AE7" s="197">
        <v>1732.87</v>
      </c>
      <c r="AF7" s="197">
        <v>3785.230019237637</v>
      </c>
      <c r="AG7" s="197">
        <v>10567.36137426099</v>
      </c>
      <c r="AH7" s="197">
        <v>3240.6612246919335</v>
      </c>
      <c r="AI7" s="197">
        <v>8226.4380000000001</v>
      </c>
      <c r="AJ7" s="197">
        <v>61.389899999999997</v>
      </c>
      <c r="AK7" s="197">
        <v>123.332223</v>
      </c>
      <c r="AL7" s="197">
        <v>1173.6790000000001</v>
      </c>
      <c r="AM7" s="197">
        <v>2906.9697999999994</v>
      </c>
      <c r="AN7" s="197">
        <v>1712.9573</v>
      </c>
      <c r="AO7" s="197">
        <v>5892.4216999999999</v>
      </c>
      <c r="AP7" s="197">
        <v>1137.3973075000001</v>
      </c>
      <c r="AQ7" s="197">
        <v>16100</v>
      </c>
      <c r="AR7" s="197">
        <v>1958.32</v>
      </c>
      <c r="AS7" s="197">
        <v>7485.3</v>
      </c>
      <c r="AT7" s="197">
        <v>7539.3799999999974</v>
      </c>
      <c r="AU7" s="197">
        <v>13465.129999999981</v>
      </c>
      <c r="AV7" s="197">
        <v>391.11799999999999</v>
      </c>
      <c r="AW7" s="197">
        <v>13506.880000000001</v>
      </c>
      <c r="AX7" s="197">
        <v>3552.5585000000001</v>
      </c>
      <c r="AY7" s="197">
        <v>4122.0920000000006</v>
      </c>
      <c r="AZ7" s="197">
        <v>19943.599999999999</v>
      </c>
      <c r="BA7" s="197">
        <v>126962.54022660374</v>
      </c>
      <c r="BB7" s="197">
        <v>12648</v>
      </c>
      <c r="BC7" s="197">
        <v>270906.0080287389</v>
      </c>
      <c r="BD7" s="197">
        <v>611241.04335742048</v>
      </c>
      <c r="BE7" s="197">
        <v>144258.97177499998</v>
      </c>
      <c r="BF7" s="197">
        <v>817128.54994576867</v>
      </c>
      <c r="BG7" s="197">
        <v>9208.4849999999988</v>
      </c>
      <c r="BH7" s="197">
        <v>18499.833450000002</v>
      </c>
      <c r="BI7" s="197">
        <v>123177.87972999999</v>
      </c>
      <c r="BJ7" s="197">
        <v>609661.85612684221</v>
      </c>
      <c r="BK7" s="197">
        <v>1192999.2537628878</v>
      </c>
      <c r="BL7" s="197">
        <v>219089.52869725204</v>
      </c>
      <c r="BM7" s="197">
        <v>605.58399999999995</v>
      </c>
      <c r="BN7" s="197">
        <v>5447.7080000000005</v>
      </c>
      <c r="BO7" s="197">
        <v>332.95350000000002</v>
      </c>
      <c r="BP7" s="197">
        <v>572.1114</v>
      </c>
      <c r="BQ7" s="197">
        <v>5789.9849999999988</v>
      </c>
      <c r="BR7" s="197">
        <v>11848.883500000002</v>
      </c>
      <c r="BS7" s="197">
        <v>38073.964600000007</v>
      </c>
      <c r="BT7" s="197">
        <v>6684.9503361808993</v>
      </c>
    </row>
    <row r="8" spans="1:72">
      <c r="A8" s="416" t="s">
        <v>17</v>
      </c>
      <c r="B8" s="416" t="s">
        <v>860</v>
      </c>
      <c r="C8" s="416" t="s">
        <v>861</v>
      </c>
      <c r="D8" s="416" t="s">
        <v>862</v>
      </c>
      <c r="E8" s="416" t="s">
        <v>863</v>
      </c>
      <c r="F8" s="416" t="s">
        <v>864</v>
      </c>
      <c r="G8" s="416" t="s">
        <v>946</v>
      </c>
      <c r="H8" s="416" t="s">
        <v>865</v>
      </c>
      <c r="I8" s="416" t="s">
        <v>866</v>
      </c>
      <c r="J8" s="417" t="s">
        <v>867</v>
      </c>
      <c r="K8" s="417" t="s">
        <v>868</v>
      </c>
      <c r="L8" s="417" t="s">
        <v>869</v>
      </c>
      <c r="M8" s="417" t="s">
        <v>870</v>
      </c>
      <c r="N8" s="417" t="s">
        <v>871</v>
      </c>
      <c r="O8" s="417" t="s">
        <v>872</v>
      </c>
      <c r="P8" s="417" t="s">
        <v>873</v>
      </c>
      <c r="Q8" s="417" t="s">
        <v>874</v>
      </c>
      <c r="R8" s="417" t="s">
        <v>875</v>
      </c>
      <c r="S8" s="417" t="s">
        <v>876</v>
      </c>
      <c r="T8" s="417" t="s">
        <v>877</v>
      </c>
      <c r="U8" s="417" t="s">
        <v>878</v>
      </c>
      <c r="V8" s="417" t="s">
        <v>879</v>
      </c>
      <c r="W8" s="417" t="s">
        <v>880</v>
      </c>
      <c r="X8" s="417" t="s">
        <v>881</v>
      </c>
      <c r="Y8" s="417" t="s">
        <v>882</v>
      </c>
      <c r="Z8" s="417" t="s">
        <v>883</v>
      </c>
      <c r="AA8" s="417" t="s">
        <v>884</v>
      </c>
      <c r="AB8" s="417" t="s">
        <v>1481</v>
      </c>
      <c r="AC8" s="417" t="s">
        <v>1482</v>
      </c>
      <c r="AD8" s="417" t="s">
        <v>1483</v>
      </c>
      <c r="AE8" s="417" t="s">
        <v>1484</v>
      </c>
      <c r="AF8" s="417" t="s">
        <v>1485</v>
      </c>
      <c r="AG8" s="417" t="s">
        <v>1486</v>
      </c>
      <c r="AH8" s="417" t="s">
        <v>1487</v>
      </c>
      <c r="AI8" s="417" t="s">
        <v>1488</v>
      </c>
      <c r="AJ8" s="417" t="s">
        <v>1489</v>
      </c>
      <c r="AK8" s="417" t="s">
        <v>1490</v>
      </c>
      <c r="AL8" s="417" t="s">
        <v>1491</v>
      </c>
      <c r="AM8" s="417" t="s">
        <v>1492</v>
      </c>
      <c r="AN8" s="417" t="s">
        <v>1493</v>
      </c>
      <c r="AO8" s="417" t="s">
        <v>1494</v>
      </c>
      <c r="AP8" s="417" t="s">
        <v>1495</v>
      </c>
      <c r="AQ8" s="417" t="s">
        <v>1496</v>
      </c>
      <c r="AR8" s="417" t="s">
        <v>1497</v>
      </c>
      <c r="AS8" s="417" t="s">
        <v>1498</v>
      </c>
      <c r="AT8" s="417" t="s">
        <v>1499</v>
      </c>
      <c r="AU8" s="417" t="s">
        <v>1500</v>
      </c>
      <c r="AV8" s="417" t="s">
        <v>1501</v>
      </c>
      <c r="AW8" s="417" t="s">
        <v>1502</v>
      </c>
      <c r="AX8" s="417" t="s">
        <v>1503</v>
      </c>
      <c r="AY8" s="417" t="s">
        <v>1504</v>
      </c>
      <c r="AZ8" s="417" t="s">
        <v>1505</v>
      </c>
      <c r="BA8" s="417" t="s">
        <v>1506</v>
      </c>
      <c r="BB8" s="417" t="s">
        <v>1507</v>
      </c>
      <c r="BC8" s="417" t="s">
        <v>1508</v>
      </c>
      <c r="BD8" s="417" t="s">
        <v>1509</v>
      </c>
      <c r="BE8" s="417" t="s">
        <v>1510</v>
      </c>
      <c r="BF8" s="417" t="s">
        <v>1511</v>
      </c>
      <c r="BG8" s="417" t="s">
        <v>1512</v>
      </c>
      <c r="BH8" s="417" t="s">
        <v>1513</v>
      </c>
      <c r="BI8" s="417" t="s">
        <v>1514</v>
      </c>
      <c r="BJ8" s="417" t="s">
        <v>1515</v>
      </c>
      <c r="BK8" s="417" t="s">
        <v>1516</v>
      </c>
      <c r="BL8" s="417" t="s">
        <v>1517</v>
      </c>
      <c r="BM8" s="417" t="s">
        <v>1518</v>
      </c>
      <c r="BN8" s="417" t="s">
        <v>1519</v>
      </c>
      <c r="BO8" s="417" t="s">
        <v>1520</v>
      </c>
      <c r="BP8" s="417" t="s">
        <v>1521</v>
      </c>
      <c r="BQ8" s="417" t="s">
        <v>1522</v>
      </c>
      <c r="BR8" s="417" t="s">
        <v>1523</v>
      </c>
      <c r="BS8" s="417" t="s">
        <v>1524</v>
      </c>
      <c r="BT8" s="417" t="s">
        <v>1525</v>
      </c>
    </row>
    <row r="9" spans="1:72">
      <c r="A9" s="418">
        <v>1</v>
      </c>
      <c r="B9" s="418" t="s">
        <v>952</v>
      </c>
      <c r="C9" s="418"/>
      <c r="D9" s="418"/>
      <c r="E9" s="418" t="s">
        <v>953</v>
      </c>
      <c r="F9" s="418"/>
      <c r="G9" s="418" t="s">
        <v>954</v>
      </c>
      <c r="H9" s="418"/>
      <c r="I9" s="418"/>
      <c r="J9" s="419">
        <v>0</v>
      </c>
      <c r="K9" s="419">
        <v>0</v>
      </c>
      <c r="L9" s="419">
        <v>0</v>
      </c>
      <c r="M9" s="419">
        <v>2375.2000000000007</v>
      </c>
      <c r="N9" s="419">
        <v>3503.9999999999973</v>
      </c>
      <c r="O9" s="419">
        <v>188.8072052066243</v>
      </c>
      <c r="P9" s="419">
        <v>129.75</v>
      </c>
      <c r="Q9" s="419">
        <v>264916.79490961618</v>
      </c>
      <c r="R9" s="419">
        <v>127.53295377247767</v>
      </c>
      <c r="S9" s="419">
        <v>173</v>
      </c>
      <c r="T9" s="419">
        <v>4924.7999999999993</v>
      </c>
      <c r="U9" s="419">
        <v>7264.3499999999958</v>
      </c>
      <c r="V9" s="419">
        <v>661.25027570921657</v>
      </c>
      <c r="W9" s="419">
        <v>0</v>
      </c>
      <c r="X9" s="419">
        <v>0</v>
      </c>
      <c r="Y9" s="419">
        <v>0</v>
      </c>
      <c r="Z9" s="419">
        <v>0</v>
      </c>
      <c r="AA9" s="419">
        <v>0</v>
      </c>
      <c r="AB9" s="419">
        <v>0</v>
      </c>
      <c r="AC9" s="419">
        <v>0</v>
      </c>
      <c r="AD9" s="419">
        <v>0</v>
      </c>
      <c r="AE9" s="419">
        <v>0</v>
      </c>
      <c r="AF9" s="419">
        <v>1003.911636396648</v>
      </c>
      <c r="AG9" s="419">
        <v>3204.2179713956357</v>
      </c>
      <c r="AH9" s="419">
        <v>0</v>
      </c>
      <c r="AI9" s="419">
        <v>0</v>
      </c>
      <c r="AJ9" s="419">
        <v>0</v>
      </c>
      <c r="AK9" s="419">
        <v>0</v>
      </c>
      <c r="AL9" s="419">
        <v>0</v>
      </c>
      <c r="AM9" s="419">
        <v>0</v>
      </c>
      <c r="AN9" s="419">
        <v>0</v>
      </c>
      <c r="AO9" s="419">
        <v>0</v>
      </c>
      <c r="AP9" s="419">
        <v>0</v>
      </c>
      <c r="AQ9" s="419">
        <v>0</v>
      </c>
      <c r="AR9" s="419">
        <v>0</v>
      </c>
      <c r="AS9" s="419">
        <v>0</v>
      </c>
      <c r="AT9" s="419">
        <v>1999.5799999999997</v>
      </c>
      <c r="AU9" s="419">
        <v>4082.8699999999953</v>
      </c>
      <c r="AV9" s="419">
        <v>0</v>
      </c>
      <c r="AW9" s="419">
        <v>0</v>
      </c>
      <c r="AX9" s="419">
        <v>0</v>
      </c>
      <c r="AY9" s="419">
        <v>0</v>
      </c>
      <c r="AZ9" s="419">
        <v>0</v>
      </c>
      <c r="BA9" s="419">
        <v>0</v>
      </c>
      <c r="BB9" s="419">
        <v>0</v>
      </c>
      <c r="BC9" s="419">
        <v>72452.01625947206</v>
      </c>
      <c r="BD9" s="419">
        <v>188549.75212438626</v>
      </c>
      <c r="BE9" s="419">
        <v>0</v>
      </c>
      <c r="BF9" s="419">
        <v>0</v>
      </c>
      <c r="BG9" s="419">
        <v>0</v>
      </c>
      <c r="BH9" s="419">
        <v>0</v>
      </c>
      <c r="BI9" s="419">
        <v>0</v>
      </c>
      <c r="BJ9" s="419">
        <v>0</v>
      </c>
      <c r="BK9" s="419">
        <v>0</v>
      </c>
      <c r="BL9" s="419">
        <v>0</v>
      </c>
      <c r="BM9" s="419">
        <v>0</v>
      </c>
      <c r="BN9" s="419">
        <v>0</v>
      </c>
      <c r="BO9" s="419">
        <v>0</v>
      </c>
      <c r="BP9" s="419">
        <v>0</v>
      </c>
      <c r="BQ9" s="419">
        <v>0</v>
      </c>
      <c r="BR9" s="419">
        <v>0</v>
      </c>
      <c r="BS9" s="419">
        <v>0</v>
      </c>
      <c r="BT9" s="419">
        <v>0</v>
      </c>
    </row>
    <row r="10" spans="1:72" outlineLevel="1">
      <c r="A10" s="402"/>
      <c r="B10" s="402" t="s">
        <v>954</v>
      </c>
      <c r="C10" s="402" t="s">
        <v>953</v>
      </c>
      <c r="D10" s="402">
        <v>1</v>
      </c>
      <c r="E10" s="402" t="s">
        <v>955</v>
      </c>
      <c r="F10" s="402" t="s">
        <v>956</v>
      </c>
      <c r="G10" s="402" t="s">
        <v>957</v>
      </c>
      <c r="H10" s="402"/>
      <c r="I10" s="402"/>
      <c r="J10" s="396" t="s">
        <v>5</v>
      </c>
      <c r="K10" s="396" t="s">
        <v>5</v>
      </c>
      <c r="L10" s="396" t="s">
        <v>5</v>
      </c>
      <c r="M10" s="396">
        <v>2375.2000000000007</v>
      </c>
      <c r="N10" s="396">
        <v>3503.9999999999973</v>
      </c>
      <c r="O10" s="396">
        <v>188.8072052066243</v>
      </c>
      <c r="P10" s="396">
        <v>42</v>
      </c>
      <c r="Q10" s="396">
        <v>73538.796503364138</v>
      </c>
      <c r="R10" s="396">
        <v>28.148670176164551</v>
      </c>
      <c r="S10" s="396">
        <v>56</v>
      </c>
      <c r="T10" s="396" t="s">
        <v>5</v>
      </c>
      <c r="U10" s="396" t="s">
        <v>5</v>
      </c>
      <c r="V10" s="396" t="s">
        <v>5</v>
      </c>
      <c r="W10" s="396" t="s">
        <v>5</v>
      </c>
      <c r="X10" s="396" t="s">
        <v>5</v>
      </c>
      <c r="Y10" s="396" t="s">
        <v>5</v>
      </c>
      <c r="Z10" s="396" t="s">
        <v>5</v>
      </c>
      <c r="AA10" s="396" t="s">
        <v>5</v>
      </c>
      <c r="AB10" s="396" t="s">
        <v>5</v>
      </c>
      <c r="AC10" s="396" t="s">
        <v>5</v>
      </c>
      <c r="AD10" s="396" t="s">
        <v>5</v>
      </c>
      <c r="AE10" s="396" t="s">
        <v>5</v>
      </c>
      <c r="AF10" s="396">
        <v>1003.911636396648</v>
      </c>
      <c r="AG10" s="396" t="s">
        <v>5</v>
      </c>
      <c r="AH10" s="396" t="s">
        <v>5</v>
      </c>
      <c r="AI10" s="396" t="s">
        <v>5</v>
      </c>
      <c r="AJ10" s="396" t="s">
        <v>5</v>
      </c>
      <c r="AK10" s="396" t="s">
        <v>5</v>
      </c>
      <c r="AL10" s="396" t="s">
        <v>5</v>
      </c>
      <c r="AM10" s="396" t="s">
        <v>5</v>
      </c>
      <c r="AN10" s="396" t="s">
        <v>5</v>
      </c>
      <c r="AO10" s="396" t="s">
        <v>5</v>
      </c>
      <c r="AP10" s="396" t="s">
        <v>5</v>
      </c>
      <c r="AQ10" s="396" t="s">
        <v>5</v>
      </c>
      <c r="AR10" s="396" t="s">
        <v>5</v>
      </c>
      <c r="AS10" s="396" t="s">
        <v>5</v>
      </c>
      <c r="AT10" s="396">
        <v>1999.5799999999997</v>
      </c>
      <c r="AU10" s="396" t="s">
        <v>5</v>
      </c>
      <c r="AV10" s="396" t="s">
        <v>5</v>
      </c>
      <c r="AW10" s="396" t="s">
        <v>5</v>
      </c>
      <c r="AX10" s="396" t="s">
        <v>5</v>
      </c>
      <c r="AY10" s="396" t="s">
        <v>5</v>
      </c>
      <c r="AZ10" s="396" t="s">
        <v>5</v>
      </c>
      <c r="BA10" s="396" t="s">
        <v>5</v>
      </c>
      <c r="BB10" s="396" t="s">
        <v>5</v>
      </c>
      <c r="BC10" s="396">
        <v>72452.01625947206</v>
      </c>
      <c r="BD10" s="396" t="s">
        <v>5</v>
      </c>
      <c r="BE10" s="396" t="s">
        <v>5</v>
      </c>
      <c r="BF10" s="396" t="s">
        <v>5</v>
      </c>
      <c r="BG10" s="396" t="s">
        <v>5</v>
      </c>
      <c r="BH10" s="396" t="s">
        <v>5</v>
      </c>
      <c r="BI10" s="396" t="s">
        <v>5</v>
      </c>
      <c r="BJ10" s="396" t="s">
        <v>5</v>
      </c>
      <c r="BK10" s="396" t="s">
        <v>5</v>
      </c>
      <c r="BL10" s="396" t="s">
        <v>5</v>
      </c>
      <c r="BM10" s="396" t="s">
        <v>5</v>
      </c>
      <c r="BN10" s="396" t="s">
        <v>5</v>
      </c>
      <c r="BO10" s="396" t="s">
        <v>5</v>
      </c>
      <c r="BP10" s="396" t="s">
        <v>5</v>
      </c>
      <c r="BQ10" s="396" t="s">
        <v>5</v>
      </c>
      <c r="BR10" s="396" t="s">
        <v>5</v>
      </c>
      <c r="BS10" s="396" t="s">
        <v>5</v>
      </c>
      <c r="BT10" s="396" t="s">
        <v>5</v>
      </c>
    </row>
    <row r="11" spans="1:72" outlineLevel="1">
      <c r="A11" s="403"/>
      <c r="B11" s="403" t="s">
        <v>954</v>
      </c>
      <c r="C11" s="403" t="s">
        <v>953</v>
      </c>
      <c r="D11" s="403">
        <v>2</v>
      </c>
      <c r="E11" s="403" t="s">
        <v>958</v>
      </c>
      <c r="F11" s="403" t="s">
        <v>959</v>
      </c>
      <c r="G11" s="403" t="s">
        <v>960</v>
      </c>
      <c r="H11" s="403"/>
      <c r="I11" s="403"/>
      <c r="J11" s="397" t="s">
        <v>5</v>
      </c>
      <c r="K11" s="397" t="s">
        <v>5</v>
      </c>
      <c r="L11" s="397" t="s">
        <v>5</v>
      </c>
      <c r="M11" s="397" t="s">
        <v>5</v>
      </c>
      <c r="N11" s="397" t="s">
        <v>5</v>
      </c>
      <c r="O11" s="397" t="s">
        <v>5</v>
      </c>
      <c r="P11" s="397">
        <v>87.75</v>
      </c>
      <c r="Q11" s="397">
        <v>191377.99840625204</v>
      </c>
      <c r="R11" s="397">
        <v>99.384283596313111</v>
      </c>
      <c r="S11" s="397">
        <v>117</v>
      </c>
      <c r="T11" s="397">
        <v>4924.7999999999993</v>
      </c>
      <c r="U11" s="397">
        <v>7264.3499999999958</v>
      </c>
      <c r="V11" s="397">
        <v>661.25027570921657</v>
      </c>
      <c r="W11" s="397" t="s">
        <v>5</v>
      </c>
      <c r="X11" s="397" t="s">
        <v>5</v>
      </c>
      <c r="Y11" s="397" t="s">
        <v>5</v>
      </c>
      <c r="Z11" s="397" t="s">
        <v>5</v>
      </c>
      <c r="AA11" s="397" t="s">
        <v>5</v>
      </c>
      <c r="AB11" s="397" t="s">
        <v>5</v>
      </c>
      <c r="AC11" s="397" t="s">
        <v>5</v>
      </c>
      <c r="AD11" s="397" t="s">
        <v>5</v>
      </c>
      <c r="AE11" s="397" t="s">
        <v>5</v>
      </c>
      <c r="AF11" s="397" t="s">
        <v>5</v>
      </c>
      <c r="AG11" s="397">
        <v>3204.2179713956357</v>
      </c>
      <c r="AH11" s="397" t="s">
        <v>5</v>
      </c>
      <c r="AI11" s="397" t="s">
        <v>5</v>
      </c>
      <c r="AJ11" s="397" t="s">
        <v>5</v>
      </c>
      <c r="AK11" s="397" t="s">
        <v>5</v>
      </c>
      <c r="AL11" s="397" t="s">
        <v>5</v>
      </c>
      <c r="AM11" s="397" t="s">
        <v>5</v>
      </c>
      <c r="AN11" s="397" t="s">
        <v>5</v>
      </c>
      <c r="AO11" s="397" t="s">
        <v>5</v>
      </c>
      <c r="AP11" s="397" t="s">
        <v>5</v>
      </c>
      <c r="AQ11" s="397" t="s">
        <v>5</v>
      </c>
      <c r="AR11" s="397" t="s">
        <v>5</v>
      </c>
      <c r="AS11" s="397" t="s">
        <v>5</v>
      </c>
      <c r="AT11" s="397" t="s">
        <v>5</v>
      </c>
      <c r="AU11" s="397">
        <v>4082.8699999999953</v>
      </c>
      <c r="AV11" s="397" t="s">
        <v>5</v>
      </c>
      <c r="AW11" s="397" t="s">
        <v>5</v>
      </c>
      <c r="AX11" s="397" t="s">
        <v>5</v>
      </c>
      <c r="AY11" s="397" t="s">
        <v>5</v>
      </c>
      <c r="AZ11" s="397" t="s">
        <v>5</v>
      </c>
      <c r="BA11" s="397" t="s">
        <v>5</v>
      </c>
      <c r="BB11" s="397" t="s">
        <v>5</v>
      </c>
      <c r="BC11" s="397" t="s">
        <v>5</v>
      </c>
      <c r="BD11" s="397">
        <v>188549.75212438626</v>
      </c>
      <c r="BE11" s="397" t="s">
        <v>5</v>
      </c>
      <c r="BF11" s="397" t="s">
        <v>5</v>
      </c>
      <c r="BG11" s="397" t="s">
        <v>5</v>
      </c>
      <c r="BH11" s="397" t="s">
        <v>5</v>
      </c>
      <c r="BI11" s="397" t="s">
        <v>5</v>
      </c>
      <c r="BJ11" s="397" t="s">
        <v>5</v>
      </c>
      <c r="BK11" s="397" t="s">
        <v>5</v>
      </c>
      <c r="BL11" s="397" t="s">
        <v>5</v>
      </c>
      <c r="BM11" s="397" t="s">
        <v>5</v>
      </c>
      <c r="BN11" s="397" t="s">
        <v>5</v>
      </c>
      <c r="BO11" s="397" t="s">
        <v>5</v>
      </c>
      <c r="BP11" s="397" t="s">
        <v>5</v>
      </c>
      <c r="BQ11" s="397" t="s">
        <v>5</v>
      </c>
      <c r="BR11" s="397" t="s">
        <v>5</v>
      </c>
      <c r="BS11" s="397" t="s">
        <v>5</v>
      </c>
      <c r="BT11" s="397" t="s">
        <v>5</v>
      </c>
    </row>
    <row r="12" spans="1:72">
      <c r="A12" s="418">
        <v>2</v>
      </c>
      <c r="B12" s="418" t="s">
        <v>961</v>
      </c>
      <c r="C12" s="418"/>
      <c r="D12" s="418"/>
      <c r="E12" s="418" t="s">
        <v>962</v>
      </c>
      <c r="F12" s="418"/>
      <c r="G12" s="418" t="s">
        <v>963</v>
      </c>
      <c r="H12" s="418"/>
      <c r="I12" s="418"/>
      <c r="J12" s="419">
        <v>0</v>
      </c>
      <c r="K12" s="419">
        <v>0</v>
      </c>
      <c r="L12" s="419">
        <v>0</v>
      </c>
      <c r="M12" s="419">
        <v>3165.6000000000013</v>
      </c>
      <c r="N12" s="419">
        <v>4671.7499999999973</v>
      </c>
      <c r="O12" s="419">
        <v>252.94596082231465</v>
      </c>
      <c r="P12" s="419">
        <v>154.5</v>
      </c>
      <c r="Q12" s="419">
        <v>313712.00025714212</v>
      </c>
      <c r="R12" s="419">
        <v>163.5208400971448</v>
      </c>
      <c r="S12" s="419">
        <v>206</v>
      </c>
      <c r="T12" s="419">
        <v>5731.1999999999989</v>
      </c>
      <c r="U12" s="419">
        <v>8457.1499999999942</v>
      </c>
      <c r="V12" s="419">
        <v>778.3374339085135</v>
      </c>
      <c r="W12" s="419">
        <v>0</v>
      </c>
      <c r="X12" s="419">
        <v>0</v>
      </c>
      <c r="Y12" s="419">
        <v>0</v>
      </c>
      <c r="Z12" s="419">
        <v>0</v>
      </c>
      <c r="AA12" s="419">
        <v>0</v>
      </c>
      <c r="AB12" s="419">
        <v>0</v>
      </c>
      <c r="AC12" s="419">
        <v>0</v>
      </c>
      <c r="AD12" s="419">
        <v>0</v>
      </c>
      <c r="AE12" s="419">
        <v>0</v>
      </c>
      <c r="AF12" s="419">
        <v>1336.6757062309143</v>
      </c>
      <c r="AG12" s="419">
        <v>3720.071859167097</v>
      </c>
      <c r="AH12" s="419">
        <v>0</v>
      </c>
      <c r="AI12" s="419">
        <v>0</v>
      </c>
      <c r="AJ12" s="419">
        <v>0</v>
      </c>
      <c r="AK12" s="419">
        <v>0</v>
      </c>
      <c r="AL12" s="419">
        <v>0</v>
      </c>
      <c r="AM12" s="419">
        <v>0</v>
      </c>
      <c r="AN12" s="419">
        <v>0</v>
      </c>
      <c r="AO12" s="419">
        <v>0</v>
      </c>
      <c r="AP12" s="419">
        <v>0</v>
      </c>
      <c r="AQ12" s="419">
        <v>0</v>
      </c>
      <c r="AR12" s="419">
        <v>0</v>
      </c>
      <c r="AS12" s="419">
        <v>0</v>
      </c>
      <c r="AT12" s="419">
        <v>2662.3799999999978</v>
      </c>
      <c r="AU12" s="419">
        <v>4740.1899999999887</v>
      </c>
      <c r="AV12" s="419">
        <v>0</v>
      </c>
      <c r="AW12" s="419">
        <v>0</v>
      </c>
      <c r="AX12" s="419">
        <v>0</v>
      </c>
      <c r="AY12" s="419">
        <v>0</v>
      </c>
      <c r="AZ12" s="419">
        <v>0</v>
      </c>
      <c r="BA12" s="419">
        <v>0</v>
      </c>
      <c r="BB12" s="419">
        <v>0</v>
      </c>
      <c r="BC12" s="419">
        <v>95640.48237206167</v>
      </c>
      <c r="BD12" s="419">
        <v>213435.3799502459</v>
      </c>
      <c r="BE12" s="419">
        <v>0</v>
      </c>
      <c r="BF12" s="419">
        <v>0</v>
      </c>
      <c r="BG12" s="419">
        <v>0</v>
      </c>
      <c r="BH12" s="419">
        <v>0</v>
      </c>
      <c r="BI12" s="419">
        <v>0</v>
      </c>
      <c r="BJ12" s="419">
        <v>0</v>
      </c>
      <c r="BK12" s="419">
        <v>0</v>
      </c>
      <c r="BL12" s="419">
        <v>0</v>
      </c>
      <c r="BM12" s="419">
        <v>0</v>
      </c>
      <c r="BN12" s="419">
        <v>0</v>
      </c>
      <c r="BO12" s="419">
        <v>0</v>
      </c>
      <c r="BP12" s="419">
        <v>0</v>
      </c>
      <c r="BQ12" s="419">
        <v>0</v>
      </c>
      <c r="BR12" s="419">
        <v>0</v>
      </c>
      <c r="BS12" s="419">
        <v>0</v>
      </c>
      <c r="BT12" s="419">
        <v>0</v>
      </c>
    </row>
    <row r="13" spans="1:72" outlineLevel="1">
      <c r="A13" s="402"/>
      <c r="B13" s="402" t="s">
        <v>963</v>
      </c>
      <c r="C13" s="402" t="s">
        <v>962</v>
      </c>
      <c r="D13" s="402">
        <v>1</v>
      </c>
      <c r="E13" s="402" t="s">
        <v>964</v>
      </c>
      <c r="F13" s="402" t="s">
        <v>965</v>
      </c>
      <c r="G13" s="402" t="s">
        <v>966</v>
      </c>
      <c r="H13" s="402"/>
      <c r="I13" s="402"/>
      <c r="J13" s="396" t="s">
        <v>5</v>
      </c>
      <c r="K13" s="396" t="s">
        <v>5</v>
      </c>
      <c r="L13" s="396" t="s">
        <v>5</v>
      </c>
      <c r="M13" s="396">
        <v>3165.6000000000013</v>
      </c>
      <c r="N13" s="396">
        <v>4671.7499999999973</v>
      </c>
      <c r="O13" s="396">
        <v>252.94596082231465</v>
      </c>
      <c r="P13" s="396">
        <v>54.75</v>
      </c>
      <c r="Q13" s="396">
        <v>97075.089607642585</v>
      </c>
      <c r="R13" s="396">
        <v>44.902155479228199</v>
      </c>
      <c r="S13" s="396">
        <v>73</v>
      </c>
      <c r="T13" s="396" t="s">
        <v>5</v>
      </c>
      <c r="U13" s="396" t="s">
        <v>5</v>
      </c>
      <c r="V13" s="396" t="s">
        <v>5</v>
      </c>
      <c r="W13" s="396" t="s">
        <v>5</v>
      </c>
      <c r="X13" s="396" t="s">
        <v>5</v>
      </c>
      <c r="Y13" s="396" t="s">
        <v>5</v>
      </c>
      <c r="Z13" s="396" t="s">
        <v>5</v>
      </c>
      <c r="AA13" s="396" t="s">
        <v>5</v>
      </c>
      <c r="AB13" s="396" t="s">
        <v>5</v>
      </c>
      <c r="AC13" s="396" t="s">
        <v>5</v>
      </c>
      <c r="AD13" s="396" t="s">
        <v>5</v>
      </c>
      <c r="AE13" s="396" t="s">
        <v>5</v>
      </c>
      <c r="AF13" s="396">
        <v>1336.6757062309143</v>
      </c>
      <c r="AG13" s="396" t="s">
        <v>5</v>
      </c>
      <c r="AH13" s="396" t="s">
        <v>5</v>
      </c>
      <c r="AI13" s="396" t="s">
        <v>5</v>
      </c>
      <c r="AJ13" s="396" t="s">
        <v>5</v>
      </c>
      <c r="AK13" s="396" t="s">
        <v>5</v>
      </c>
      <c r="AL13" s="396" t="s">
        <v>5</v>
      </c>
      <c r="AM13" s="396" t="s">
        <v>5</v>
      </c>
      <c r="AN13" s="396" t="s">
        <v>5</v>
      </c>
      <c r="AO13" s="396" t="s">
        <v>5</v>
      </c>
      <c r="AP13" s="396" t="s">
        <v>5</v>
      </c>
      <c r="AQ13" s="396" t="s">
        <v>5</v>
      </c>
      <c r="AR13" s="396" t="s">
        <v>5</v>
      </c>
      <c r="AS13" s="396" t="s">
        <v>5</v>
      </c>
      <c r="AT13" s="396">
        <v>2662.3799999999978</v>
      </c>
      <c r="AU13" s="396" t="s">
        <v>5</v>
      </c>
      <c r="AV13" s="396" t="s">
        <v>5</v>
      </c>
      <c r="AW13" s="396" t="s">
        <v>5</v>
      </c>
      <c r="AX13" s="396" t="s">
        <v>5</v>
      </c>
      <c r="AY13" s="396" t="s">
        <v>5</v>
      </c>
      <c r="AZ13" s="396" t="s">
        <v>5</v>
      </c>
      <c r="BA13" s="396" t="s">
        <v>5</v>
      </c>
      <c r="BB13" s="396" t="s">
        <v>5</v>
      </c>
      <c r="BC13" s="396">
        <v>95640.48237206167</v>
      </c>
      <c r="BD13" s="396" t="s">
        <v>5</v>
      </c>
      <c r="BE13" s="396" t="s">
        <v>5</v>
      </c>
      <c r="BF13" s="396" t="s">
        <v>5</v>
      </c>
      <c r="BG13" s="396" t="s">
        <v>5</v>
      </c>
      <c r="BH13" s="396" t="s">
        <v>5</v>
      </c>
      <c r="BI13" s="396" t="s">
        <v>5</v>
      </c>
      <c r="BJ13" s="396" t="s">
        <v>5</v>
      </c>
      <c r="BK13" s="396" t="s">
        <v>5</v>
      </c>
      <c r="BL13" s="396" t="s">
        <v>5</v>
      </c>
      <c r="BM13" s="396" t="s">
        <v>5</v>
      </c>
      <c r="BN13" s="396" t="s">
        <v>5</v>
      </c>
      <c r="BO13" s="396" t="s">
        <v>5</v>
      </c>
      <c r="BP13" s="396" t="s">
        <v>5</v>
      </c>
      <c r="BQ13" s="396" t="s">
        <v>5</v>
      </c>
      <c r="BR13" s="396" t="s">
        <v>5</v>
      </c>
      <c r="BS13" s="396" t="s">
        <v>5</v>
      </c>
      <c r="BT13" s="396" t="s">
        <v>5</v>
      </c>
    </row>
    <row r="14" spans="1:72" outlineLevel="1">
      <c r="A14" s="403"/>
      <c r="B14" s="403" t="s">
        <v>963</v>
      </c>
      <c r="C14" s="403" t="s">
        <v>962</v>
      </c>
      <c r="D14" s="403">
        <v>2</v>
      </c>
      <c r="E14" s="403" t="s">
        <v>967</v>
      </c>
      <c r="F14" s="403" t="s">
        <v>968</v>
      </c>
      <c r="G14" s="403" t="s">
        <v>969</v>
      </c>
      <c r="H14" s="403"/>
      <c r="I14" s="403"/>
      <c r="J14" s="397" t="s">
        <v>5</v>
      </c>
      <c r="K14" s="397" t="s">
        <v>5</v>
      </c>
      <c r="L14" s="397" t="s">
        <v>5</v>
      </c>
      <c r="M14" s="397" t="s">
        <v>5</v>
      </c>
      <c r="N14" s="397" t="s">
        <v>5</v>
      </c>
      <c r="O14" s="397" t="s">
        <v>5</v>
      </c>
      <c r="P14" s="397">
        <v>99.75</v>
      </c>
      <c r="Q14" s="397">
        <v>216636.91064949956</v>
      </c>
      <c r="R14" s="397">
        <v>118.61868461791661</v>
      </c>
      <c r="S14" s="397">
        <v>133</v>
      </c>
      <c r="T14" s="397">
        <v>5731.1999999999989</v>
      </c>
      <c r="U14" s="397">
        <v>8457.1499999999942</v>
      </c>
      <c r="V14" s="397">
        <v>778.3374339085135</v>
      </c>
      <c r="W14" s="397" t="s">
        <v>5</v>
      </c>
      <c r="X14" s="397" t="s">
        <v>5</v>
      </c>
      <c r="Y14" s="397" t="s">
        <v>5</v>
      </c>
      <c r="Z14" s="397" t="s">
        <v>5</v>
      </c>
      <c r="AA14" s="397" t="s">
        <v>5</v>
      </c>
      <c r="AB14" s="397" t="s">
        <v>5</v>
      </c>
      <c r="AC14" s="397" t="s">
        <v>5</v>
      </c>
      <c r="AD14" s="397" t="s">
        <v>5</v>
      </c>
      <c r="AE14" s="397" t="s">
        <v>5</v>
      </c>
      <c r="AF14" s="397" t="s">
        <v>5</v>
      </c>
      <c r="AG14" s="397">
        <v>3720.071859167097</v>
      </c>
      <c r="AH14" s="397" t="s">
        <v>5</v>
      </c>
      <c r="AI14" s="397" t="s">
        <v>5</v>
      </c>
      <c r="AJ14" s="397" t="s">
        <v>5</v>
      </c>
      <c r="AK14" s="397" t="s">
        <v>5</v>
      </c>
      <c r="AL14" s="397" t="s">
        <v>5</v>
      </c>
      <c r="AM14" s="397" t="s">
        <v>5</v>
      </c>
      <c r="AN14" s="397" t="s">
        <v>5</v>
      </c>
      <c r="AO14" s="397" t="s">
        <v>5</v>
      </c>
      <c r="AP14" s="397" t="s">
        <v>5</v>
      </c>
      <c r="AQ14" s="397" t="s">
        <v>5</v>
      </c>
      <c r="AR14" s="397" t="s">
        <v>5</v>
      </c>
      <c r="AS14" s="397" t="s">
        <v>5</v>
      </c>
      <c r="AT14" s="397" t="s">
        <v>5</v>
      </c>
      <c r="AU14" s="397">
        <v>4740.1899999999887</v>
      </c>
      <c r="AV14" s="397" t="s">
        <v>5</v>
      </c>
      <c r="AW14" s="397" t="s">
        <v>5</v>
      </c>
      <c r="AX14" s="397" t="s">
        <v>5</v>
      </c>
      <c r="AY14" s="397" t="s">
        <v>5</v>
      </c>
      <c r="AZ14" s="397" t="s">
        <v>5</v>
      </c>
      <c r="BA14" s="397" t="s">
        <v>5</v>
      </c>
      <c r="BB14" s="397" t="s">
        <v>5</v>
      </c>
      <c r="BC14" s="397" t="s">
        <v>5</v>
      </c>
      <c r="BD14" s="397">
        <v>213435.3799502459</v>
      </c>
      <c r="BE14" s="397" t="s">
        <v>5</v>
      </c>
      <c r="BF14" s="397" t="s">
        <v>5</v>
      </c>
      <c r="BG14" s="397" t="s">
        <v>5</v>
      </c>
      <c r="BH14" s="397" t="s">
        <v>5</v>
      </c>
      <c r="BI14" s="397" t="s">
        <v>5</v>
      </c>
      <c r="BJ14" s="397" t="s">
        <v>5</v>
      </c>
      <c r="BK14" s="397" t="s">
        <v>5</v>
      </c>
      <c r="BL14" s="397" t="s">
        <v>5</v>
      </c>
      <c r="BM14" s="397" t="s">
        <v>5</v>
      </c>
      <c r="BN14" s="397" t="s">
        <v>5</v>
      </c>
      <c r="BO14" s="397" t="s">
        <v>5</v>
      </c>
      <c r="BP14" s="397" t="s">
        <v>5</v>
      </c>
      <c r="BQ14" s="397" t="s">
        <v>5</v>
      </c>
      <c r="BR14" s="397" t="s">
        <v>5</v>
      </c>
      <c r="BS14" s="397" t="s">
        <v>5</v>
      </c>
      <c r="BT14" s="397" t="s">
        <v>5</v>
      </c>
    </row>
    <row r="15" spans="1:72">
      <c r="A15" s="418">
        <v>3</v>
      </c>
      <c r="B15" s="418" t="s">
        <v>970</v>
      </c>
      <c r="C15" s="418"/>
      <c r="D15" s="418"/>
      <c r="E15" s="418" t="s">
        <v>971</v>
      </c>
      <c r="F15" s="418"/>
      <c r="G15" s="418" t="s">
        <v>972</v>
      </c>
      <c r="H15" s="418"/>
      <c r="I15" s="418"/>
      <c r="J15" s="419">
        <v>0</v>
      </c>
      <c r="K15" s="419">
        <v>0</v>
      </c>
      <c r="L15" s="419">
        <v>0</v>
      </c>
      <c r="M15" s="419">
        <v>3413</v>
      </c>
      <c r="N15" s="419">
        <v>5037.5999999999931</v>
      </c>
      <c r="O15" s="419">
        <v>269.2118709455392</v>
      </c>
      <c r="P15" s="419">
        <v>155.25</v>
      </c>
      <c r="Q15" s="419">
        <v>316750.46199019335</v>
      </c>
      <c r="R15" s="419">
        <v>154.62133642805566</v>
      </c>
      <c r="S15" s="419">
        <v>207</v>
      </c>
      <c r="T15" s="419">
        <v>5604.5</v>
      </c>
      <c r="U15" s="419">
        <v>8271.2999999999847</v>
      </c>
      <c r="V15" s="419">
        <v>755.8907543986079</v>
      </c>
      <c r="W15" s="419">
        <v>0</v>
      </c>
      <c r="X15" s="419">
        <v>0</v>
      </c>
      <c r="Y15" s="419">
        <v>0</v>
      </c>
      <c r="Z15" s="419">
        <v>0</v>
      </c>
      <c r="AA15" s="419">
        <v>0</v>
      </c>
      <c r="AB15" s="419">
        <v>0</v>
      </c>
      <c r="AC15" s="419">
        <v>0</v>
      </c>
      <c r="AD15" s="419">
        <v>0</v>
      </c>
      <c r="AE15" s="419">
        <v>0</v>
      </c>
      <c r="AF15" s="419">
        <v>1444.6426766100747</v>
      </c>
      <c r="AG15" s="419">
        <v>3643.0715436982573</v>
      </c>
      <c r="AH15" s="419">
        <v>0</v>
      </c>
      <c r="AI15" s="419">
        <v>0</v>
      </c>
      <c r="AJ15" s="419">
        <v>0</v>
      </c>
      <c r="AK15" s="419">
        <v>0</v>
      </c>
      <c r="AL15" s="419">
        <v>0</v>
      </c>
      <c r="AM15" s="419">
        <v>0</v>
      </c>
      <c r="AN15" s="419">
        <v>0</v>
      </c>
      <c r="AO15" s="419">
        <v>0</v>
      </c>
      <c r="AP15" s="419">
        <v>0</v>
      </c>
      <c r="AQ15" s="419">
        <v>0</v>
      </c>
      <c r="AR15" s="419">
        <v>0</v>
      </c>
      <c r="AS15" s="419">
        <v>0</v>
      </c>
      <c r="AT15" s="419">
        <v>2877.4200000000005</v>
      </c>
      <c r="AU15" s="419">
        <v>4642.0699999999979</v>
      </c>
      <c r="AV15" s="419">
        <v>0</v>
      </c>
      <c r="AW15" s="419">
        <v>0</v>
      </c>
      <c r="AX15" s="419">
        <v>0</v>
      </c>
      <c r="AY15" s="419">
        <v>0</v>
      </c>
      <c r="AZ15" s="419">
        <v>0</v>
      </c>
      <c r="BA15" s="419">
        <v>0</v>
      </c>
      <c r="BB15" s="419">
        <v>0</v>
      </c>
      <c r="BC15" s="419">
        <v>102813.50939720517</v>
      </c>
      <c r="BD15" s="419">
        <v>209255.91128278826</v>
      </c>
      <c r="BE15" s="419">
        <v>0</v>
      </c>
      <c r="BF15" s="419">
        <v>0</v>
      </c>
      <c r="BG15" s="419">
        <v>0</v>
      </c>
      <c r="BH15" s="419">
        <v>0</v>
      </c>
      <c r="BI15" s="419">
        <v>0</v>
      </c>
      <c r="BJ15" s="419">
        <v>0</v>
      </c>
      <c r="BK15" s="419">
        <v>0</v>
      </c>
      <c r="BL15" s="419">
        <v>0</v>
      </c>
      <c r="BM15" s="419">
        <v>0</v>
      </c>
      <c r="BN15" s="419">
        <v>0</v>
      </c>
      <c r="BO15" s="419">
        <v>0</v>
      </c>
      <c r="BP15" s="419">
        <v>0</v>
      </c>
      <c r="BQ15" s="419">
        <v>0</v>
      </c>
      <c r="BR15" s="419">
        <v>0</v>
      </c>
      <c r="BS15" s="419">
        <v>0</v>
      </c>
      <c r="BT15" s="419">
        <v>0</v>
      </c>
    </row>
    <row r="16" spans="1:72" outlineLevel="1">
      <c r="A16" s="402"/>
      <c r="B16" s="402" t="s">
        <v>972</v>
      </c>
      <c r="C16" s="402" t="s">
        <v>971</v>
      </c>
      <c r="D16" s="402">
        <v>1</v>
      </c>
      <c r="E16" s="402" t="s">
        <v>973</v>
      </c>
      <c r="F16" s="402" t="s">
        <v>974</v>
      </c>
      <c r="G16" s="402" t="s">
        <v>975</v>
      </c>
      <c r="H16" s="402"/>
      <c r="I16" s="402"/>
      <c r="J16" s="396" t="s">
        <v>5</v>
      </c>
      <c r="K16" s="396" t="s">
        <v>5</v>
      </c>
      <c r="L16" s="396" t="s">
        <v>5</v>
      </c>
      <c r="M16" s="396">
        <v>3413</v>
      </c>
      <c r="N16" s="396">
        <v>5037.5999999999931</v>
      </c>
      <c r="O16" s="396">
        <v>269.2118709455392</v>
      </c>
      <c r="P16" s="396">
        <v>58.5</v>
      </c>
      <c r="Q16" s="396">
        <v>104355.71203816324</v>
      </c>
      <c r="R16" s="396">
        <v>39.207076316800624</v>
      </c>
      <c r="S16" s="396">
        <v>78</v>
      </c>
      <c r="T16" s="396" t="s">
        <v>5</v>
      </c>
      <c r="U16" s="396" t="s">
        <v>5</v>
      </c>
      <c r="V16" s="396" t="s">
        <v>5</v>
      </c>
      <c r="W16" s="396" t="s">
        <v>5</v>
      </c>
      <c r="X16" s="396" t="s">
        <v>5</v>
      </c>
      <c r="Y16" s="396" t="s">
        <v>5</v>
      </c>
      <c r="Z16" s="396" t="s">
        <v>5</v>
      </c>
      <c r="AA16" s="396" t="s">
        <v>5</v>
      </c>
      <c r="AB16" s="396" t="s">
        <v>5</v>
      </c>
      <c r="AC16" s="396" t="s">
        <v>5</v>
      </c>
      <c r="AD16" s="396" t="s">
        <v>5</v>
      </c>
      <c r="AE16" s="396" t="s">
        <v>5</v>
      </c>
      <c r="AF16" s="396">
        <v>1444.6426766100747</v>
      </c>
      <c r="AG16" s="396" t="s">
        <v>5</v>
      </c>
      <c r="AH16" s="396" t="s">
        <v>5</v>
      </c>
      <c r="AI16" s="396" t="s">
        <v>5</v>
      </c>
      <c r="AJ16" s="396" t="s">
        <v>5</v>
      </c>
      <c r="AK16" s="396" t="s">
        <v>5</v>
      </c>
      <c r="AL16" s="396" t="s">
        <v>5</v>
      </c>
      <c r="AM16" s="396" t="s">
        <v>5</v>
      </c>
      <c r="AN16" s="396" t="s">
        <v>5</v>
      </c>
      <c r="AO16" s="396" t="s">
        <v>5</v>
      </c>
      <c r="AP16" s="396" t="s">
        <v>5</v>
      </c>
      <c r="AQ16" s="396" t="s">
        <v>5</v>
      </c>
      <c r="AR16" s="396" t="s">
        <v>5</v>
      </c>
      <c r="AS16" s="396" t="s">
        <v>5</v>
      </c>
      <c r="AT16" s="396">
        <v>2877.4200000000005</v>
      </c>
      <c r="AU16" s="396" t="s">
        <v>5</v>
      </c>
      <c r="AV16" s="396" t="s">
        <v>5</v>
      </c>
      <c r="AW16" s="396" t="s">
        <v>5</v>
      </c>
      <c r="AX16" s="396" t="s">
        <v>5</v>
      </c>
      <c r="AY16" s="396" t="s">
        <v>5</v>
      </c>
      <c r="AZ16" s="396" t="s">
        <v>5</v>
      </c>
      <c r="BA16" s="396" t="s">
        <v>5</v>
      </c>
      <c r="BB16" s="396" t="s">
        <v>5</v>
      </c>
      <c r="BC16" s="396">
        <v>102813.50939720517</v>
      </c>
      <c r="BD16" s="396" t="s">
        <v>5</v>
      </c>
      <c r="BE16" s="396" t="s">
        <v>5</v>
      </c>
      <c r="BF16" s="396" t="s">
        <v>5</v>
      </c>
      <c r="BG16" s="396" t="s">
        <v>5</v>
      </c>
      <c r="BH16" s="396" t="s">
        <v>5</v>
      </c>
      <c r="BI16" s="396" t="s">
        <v>5</v>
      </c>
      <c r="BJ16" s="396" t="s">
        <v>5</v>
      </c>
      <c r="BK16" s="396" t="s">
        <v>5</v>
      </c>
      <c r="BL16" s="396" t="s">
        <v>5</v>
      </c>
      <c r="BM16" s="396" t="s">
        <v>5</v>
      </c>
      <c r="BN16" s="396" t="s">
        <v>5</v>
      </c>
      <c r="BO16" s="396" t="s">
        <v>5</v>
      </c>
      <c r="BP16" s="396" t="s">
        <v>5</v>
      </c>
      <c r="BQ16" s="396" t="s">
        <v>5</v>
      </c>
      <c r="BR16" s="396" t="s">
        <v>5</v>
      </c>
      <c r="BS16" s="396" t="s">
        <v>5</v>
      </c>
      <c r="BT16" s="396" t="s">
        <v>5</v>
      </c>
    </row>
    <row r="17" spans="1:72" outlineLevel="1">
      <c r="A17" s="403"/>
      <c r="B17" s="403" t="s">
        <v>972</v>
      </c>
      <c r="C17" s="403" t="s">
        <v>971</v>
      </c>
      <c r="D17" s="403">
        <v>2</v>
      </c>
      <c r="E17" s="403" t="s">
        <v>976</v>
      </c>
      <c r="F17" s="403" t="s">
        <v>977</v>
      </c>
      <c r="G17" s="403" t="s">
        <v>978</v>
      </c>
      <c r="H17" s="403"/>
      <c r="I17" s="403"/>
      <c r="J17" s="397" t="s">
        <v>5</v>
      </c>
      <c r="K17" s="397" t="s">
        <v>5</v>
      </c>
      <c r="L17" s="397" t="s">
        <v>5</v>
      </c>
      <c r="M17" s="397" t="s">
        <v>5</v>
      </c>
      <c r="N17" s="397" t="s">
        <v>5</v>
      </c>
      <c r="O17" s="397" t="s">
        <v>5</v>
      </c>
      <c r="P17" s="397">
        <v>96.75</v>
      </c>
      <c r="Q17" s="397">
        <v>212394.74995203008</v>
      </c>
      <c r="R17" s="397">
        <v>115.41426011125502</v>
      </c>
      <c r="S17" s="397">
        <v>129</v>
      </c>
      <c r="T17" s="397">
        <v>5604.5</v>
      </c>
      <c r="U17" s="397">
        <v>8271.2999999999847</v>
      </c>
      <c r="V17" s="397">
        <v>755.8907543986079</v>
      </c>
      <c r="W17" s="397" t="s">
        <v>5</v>
      </c>
      <c r="X17" s="397" t="s">
        <v>5</v>
      </c>
      <c r="Y17" s="397" t="s">
        <v>5</v>
      </c>
      <c r="Z17" s="397" t="s">
        <v>5</v>
      </c>
      <c r="AA17" s="397" t="s">
        <v>5</v>
      </c>
      <c r="AB17" s="397" t="s">
        <v>5</v>
      </c>
      <c r="AC17" s="397" t="s">
        <v>5</v>
      </c>
      <c r="AD17" s="397" t="s">
        <v>5</v>
      </c>
      <c r="AE17" s="397" t="s">
        <v>5</v>
      </c>
      <c r="AF17" s="397" t="s">
        <v>5</v>
      </c>
      <c r="AG17" s="397">
        <v>3643.0715436982573</v>
      </c>
      <c r="AH17" s="397" t="s">
        <v>5</v>
      </c>
      <c r="AI17" s="397" t="s">
        <v>5</v>
      </c>
      <c r="AJ17" s="397" t="s">
        <v>5</v>
      </c>
      <c r="AK17" s="397" t="s">
        <v>5</v>
      </c>
      <c r="AL17" s="397" t="s">
        <v>5</v>
      </c>
      <c r="AM17" s="397" t="s">
        <v>5</v>
      </c>
      <c r="AN17" s="397" t="s">
        <v>5</v>
      </c>
      <c r="AO17" s="397" t="s">
        <v>5</v>
      </c>
      <c r="AP17" s="397" t="s">
        <v>5</v>
      </c>
      <c r="AQ17" s="397" t="s">
        <v>5</v>
      </c>
      <c r="AR17" s="397" t="s">
        <v>5</v>
      </c>
      <c r="AS17" s="397" t="s">
        <v>5</v>
      </c>
      <c r="AT17" s="397" t="s">
        <v>5</v>
      </c>
      <c r="AU17" s="397">
        <v>4642.0699999999979</v>
      </c>
      <c r="AV17" s="397" t="s">
        <v>5</v>
      </c>
      <c r="AW17" s="397" t="s">
        <v>5</v>
      </c>
      <c r="AX17" s="397" t="s">
        <v>5</v>
      </c>
      <c r="AY17" s="397" t="s">
        <v>5</v>
      </c>
      <c r="AZ17" s="397" t="s">
        <v>5</v>
      </c>
      <c r="BA17" s="397" t="s">
        <v>5</v>
      </c>
      <c r="BB17" s="397" t="s">
        <v>5</v>
      </c>
      <c r="BC17" s="397" t="s">
        <v>5</v>
      </c>
      <c r="BD17" s="397">
        <v>209255.91128278826</v>
      </c>
      <c r="BE17" s="397" t="s">
        <v>5</v>
      </c>
      <c r="BF17" s="397" t="s">
        <v>5</v>
      </c>
      <c r="BG17" s="397" t="s">
        <v>5</v>
      </c>
      <c r="BH17" s="397" t="s">
        <v>5</v>
      </c>
      <c r="BI17" s="397" t="s">
        <v>5</v>
      </c>
      <c r="BJ17" s="397" t="s">
        <v>5</v>
      </c>
      <c r="BK17" s="397" t="s">
        <v>5</v>
      </c>
      <c r="BL17" s="397" t="s">
        <v>5</v>
      </c>
      <c r="BM17" s="397" t="s">
        <v>5</v>
      </c>
      <c r="BN17" s="397" t="s">
        <v>5</v>
      </c>
      <c r="BO17" s="397" t="s">
        <v>5</v>
      </c>
      <c r="BP17" s="397" t="s">
        <v>5</v>
      </c>
      <c r="BQ17" s="397" t="s">
        <v>5</v>
      </c>
      <c r="BR17" s="397" t="s">
        <v>5</v>
      </c>
      <c r="BS17" s="397" t="s">
        <v>5</v>
      </c>
      <c r="BT17" s="397" t="s">
        <v>5</v>
      </c>
    </row>
    <row r="18" spans="1:72">
      <c r="A18" s="418">
        <v>4</v>
      </c>
      <c r="B18" s="418" t="s">
        <v>979</v>
      </c>
      <c r="C18" s="418"/>
      <c r="D18" s="418"/>
      <c r="E18" s="418" t="s">
        <v>980</v>
      </c>
      <c r="F18" s="418"/>
      <c r="G18" s="418" t="s">
        <v>981</v>
      </c>
      <c r="H18" s="418"/>
      <c r="I18" s="418"/>
      <c r="J18" s="419">
        <v>0</v>
      </c>
      <c r="K18" s="419">
        <v>0</v>
      </c>
      <c r="L18" s="419">
        <v>0</v>
      </c>
      <c r="M18" s="419">
        <v>0</v>
      </c>
      <c r="N18" s="419">
        <v>0</v>
      </c>
      <c r="O18" s="419">
        <v>0</v>
      </c>
      <c r="P18" s="419">
        <v>0</v>
      </c>
      <c r="Q18" s="419">
        <v>0</v>
      </c>
      <c r="R18" s="419">
        <v>0</v>
      </c>
      <c r="S18" s="419">
        <v>0</v>
      </c>
      <c r="T18" s="419">
        <v>0</v>
      </c>
      <c r="U18" s="419">
        <v>0</v>
      </c>
      <c r="V18" s="419">
        <v>0</v>
      </c>
      <c r="W18" s="419">
        <v>0</v>
      </c>
      <c r="X18" s="419">
        <v>0</v>
      </c>
      <c r="Y18" s="419">
        <v>0</v>
      </c>
      <c r="Z18" s="419">
        <v>25308.728036746023</v>
      </c>
      <c r="AA18" s="419">
        <v>1948.993433252708</v>
      </c>
      <c r="AB18" s="419">
        <v>0</v>
      </c>
      <c r="AC18" s="419">
        <v>0</v>
      </c>
      <c r="AD18" s="419">
        <v>0</v>
      </c>
      <c r="AE18" s="419">
        <v>0</v>
      </c>
      <c r="AF18" s="419">
        <v>0</v>
      </c>
      <c r="AG18" s="419">
        <v>0</v>
      </c>
      <c r="AH18" s="419">
        <v>0</v>
      </c>
      <c r="AI18" s="419">
        <v>0</v>
      </c>
      <c r="AJ18" s="419">
        <v>0</v>
      </c>
      <c r="AK18" s="419">
        <v>0</v>
      </c>
      <c r="AL18" s="419">
        <v>0</v>
      </c>
      <c r="AM18" s="419">
        <v>0</v>
      </c>
      <c r="AN18" s="419">
        <v>0</v>
      </c>
      <c r="AO18" s="419">
        <v>0</v>
      </c>
      <c r="AP18" s="419">
        <v>0</v>
      </c>
      <c r="AQ18" s="419">
        <v>0</v>
      </c>
      <c r="AR18" s="419">
        <v>0</v>
      </c>
      <c r="AS18" s="419">
        <v>0</v>
      </c>
      <c r="AT18" s="419">
        <v>0</v>
      </c>
      <c r="AU18" s="419">
        <v>0</v>
      </c>
      <c r="AV18" s="419">
        <v>0</v>
      </c>
      <c r="AW18" s="419">
        <v>0</v>
      </c>
      <c r="AX18" s="419">
        <v>0</v>
      </c>
      <c r="AY18" s="419">
        <v>0</v>
      </c>
      <c r="AZ18" s="419">
        <v>0</v>
      </c>
      <c r="BA18" s="419">
        <v>27257.721469998731</v>
      </c>
      <c r="BB18" s="419">
        <v>0</v>
      </c>
      <c r="BC18" s="419">
        <v>0</v>
      </c>
      <c r="BD18" s="419">
        <v>0</v>
      </c>
      <c r="BE18" s="419">
        <v>0</v>
      </c>
      <c r="BF18" s="419">
        <v>0</v>
      </c>
      <c r="BG18" s="419">
        <v>0</v>
      </c>
      <c r="BH18" s="419">
        <v>0</v>
      </c>
      <c r="BI18" s="419">
        <v>0</v>
      </c>
      <c r="BJ18" s="419">
        <v>0</v>
      </c>
      <c r="BK18" s="419">
        <v>0</v>
      </c>
      <c r="BL18" s="419">
        <v>0</v>
      </c>
      <c r="BM18" s="419">
        <v>0</v>
      </c>
      <c r="BN18" s="419">
        <v>0</v>
      </c>
      <c r="BO18" s="419">
        <v>0</v>
      </c>
      <c r="BP18" s="419">
        <v>0</v>
      </c>
      <c r="BQ18" s="419">
        <v>0</v>
      </c>
      <c r="BR18" s="419">
        <v>0</v>
      </c>
      <c r="BS18" s="419">
        <v>0</v>
      </c>
      <c r="BT18" s="419">
        <v>0</v>
      </c>
    </row>
    <row r="19" spans="1:72" outlineLevel="1">
      <c r="A19" s="402"/>
      <c r="B19" s="402" t="s">
        <v>981</v>
      </c>
      <c r="C19" s="402" t="s">
        <v>980</v>
      </c>
      <c r="D19" s="402">
        <v>1</v>
      </c>
      <c r="E19" s="402" t="s">
        <v>982</v>
      </c>
      <c r="F19" s="402" t="s">
        <v>983</v>
      </c>
      <c r="G19" s="402" t="s">
        <v>984</v>
      </c>
      <c r="H19" s="402"/>
      <c r="I19" s="402"/>
      <c r="J19" s="396" t="s">
        <v>5</v>
      </c>
      <c r="K19" s="396" t="s">
        <v>5</v>
      </c>
      <c r="L19" s="396" t="s">
        <v>5</v>
      </c>
      <c r="M19" s="396" t="s">
        <v>5</v>
      </c>
      <c r="N19" s="396" t="s">
        <v>5</v>
      </c>
      <c r="O19" s="396" t="s">
        <v>5</v>
      </c>
      <c r="P19" s="396" t="s">
        <v>5</v>
      </c>
      <c r="Q19" s="396" t="s">
        <v>5</v>
      </c>
      <c r="R19" s="396" t="s">
        <v>5</v>
      </c>
      <c r="S19" s="396" t="s">
        <v>5</v>
      </c>
      <c r="T19" s="396" t="s">
        <v>5</v>
      </c>
      <c r="U19" s="396" t="s">
        <v>5</v>
      </c>
      <c r="V19" s="396" t="s">
        <v>5</v>
      </c>
      <c r="W19" s="396" t="s">
        <v>5</v>
      </c>
      <c r="X19" s="396" t="s">
        <v>5</v>
      </c>
      <c r="Y19" s="396" t="s">
        <v>5</v>
      </c>
      <c r="Z19" s="396">
        <v>7872.54063820582</v>
      </c>
      <c r="AA19" s="396" t="s">
        <v>5</v>
      </c>
      <c r="AB19" s="396" t="s">
        <v>5</v>
      </c>
      <c r="AC19" s="396" t="s">
        <v>5</v>
      </c>
      <c r="AD19" s="396" t="s">
        <v>5</v>
      </c>
      <c r="AE19" s="396" t="s">
        <v>5</v>
      </c>
      <c r="AF19" s="396" t="s">
        <v>5</v>
      </c>
      <c r="AG19" s="396" t="s">
        <v>5</v>
      </c>
      <c r="AH19" s="396" t="s">
        <v>5</v>
      </c>
      <c r="AI19" s="396" t="s">
        <v>5</v>
      </c>
      <c r="AJ19" s="396" t="s">
        <v>5</v>
      </c>
      <c r="AK19" s="396" t="s">
        <v>5</v>
      </c>
      <c r="AL19" s="396" t="s">
        <v>5</v>
      </c>
      <c r="AM19" s="396" t="s">
        <v>5</v>
      </c>
      <c r="AN19" s="396" t="s">
        <v>5</v>
      </c>
      <c r="AO19" s="396" t="s">
        <v>5</v>
      </c>
      <c r="AP19" s="396" t="s">
        <v>5</v>
      </c>
      <c r="AQ19" s="396" t="s">
        <v>5</v>
      </c>
      <c r="AR19" s="396" t="s">
        <v>5</v>
      </c>
      <c r="AS19" s="396" t="s">
        <v>5</v>
      </c>
      <c r="AT19" s="396" t="s">
        <v>5</v>
      </c>
      <c r="AU19" s="396" t="s">
        <v>5</v>
      </c>
      <c r="AV19" s="396" t="s">
        <v>5</v>
      </c>
      <c r="AW19" s="396" t="s">
        <v>5</v>
      </c>
      <c r="AX19" s="396" t="s">
        <v>5</v>
      </c>
      <c r="AY19" s="396" t="s">
        <v>5</v>
      </c>
      <c r="AZ19" s="396" t="s">
        <v>5</v>
      </c>
      <c r="BA19" s="396">
        <v>7872.54063820582</v>
      </c>
      <c r="BB19" s="396" t="s">
        <v>5</v>
      </c>
      <c r="BC19" s="396" t="s">
        <v>5</v>
      </c>
      <c r="BD19" s="396" t="s">
        <v>5</v>
      </c>
      <c r="BE19" s="396" t="s">
        <v>5</v>
      </c>
      <c r="BF19" s="396" t="s">
        <v>5</v>
      </c>
      <c r="BG19" s="396" t="s">
        <v>5</v>
      </c>
      <c r="BH19" s="396" t="s">
        <v>5</v>
      </c>
      <c r="BI19" s="396" t="s">
        <v>5</v>
      </c>
      <c r="BJ19" s="396" t="s">
        <v>5</v>
      </c>
      <c r="BK19" s="396" t="s">
        <v>5</v>
      </c>
      <c r="BL19" s="396" t="s">
        <v>5</v>
      </c>
      <c r="BM19" s="396" t="s">
        <v>5</v>
      </c>
      <c r="BN19" s="396" t="s">
        <v>5</v>
      </c>
      <c r="BO19" s="396" t="s">
        <v>5</v>
      </c>
      <c r="BP19" s="396" t="s">
        <v>5</v>
      </c>
      <c r="BQ19" s="396" t="s">
        <v>5</v>
      </c>
      <c r="BR19" s="396" t="s">
        <v>5</v>
      </c>
      <c r="BS19" s="396" t="s">
        <v>5</v>
      </c>
      <c r="BT19" s="396" t="s">
        <v>5</v>
      </c>
    </row>
    <row r="20" spans="1:72" outlineLevel="1">
      <c r="A20" s="398"/>
      <c r="B20" s="398" t="s">
        <v>981</v>
      </c>
      <c r="C20" s="398" t="s">
        <v>980</v>
      </c>
      <c r="D20" s="398">
        <v>2</v>
      </c>
      <c r="E20" s="398" t="s">
        <v>985</v>
      </c>
      <c r="F20" s="398" t="s">
        <v>986</v>
      </c>
      <c r="G20" s="398" t="s">
        <v>987</v>
      </c>
      <c r="H20" s="398"/>
      <c r="I20" s="398"/>
      <c r="J20" s="399" t="s">
        <v>5</v>
      </c>
      <c r="K20" s="399" t="s">
        <v>5</v>
      </c>
      <c r="L20" s="399" t="s">
        <v>5</v>
      </c>
      <c r="M20" s="399" t="s">
        <v>5</v>
      </c>
      <c r="N20" s="399" t="s">
        <v>5</v>
      </c>
      <c r="O20" s="399" t="s">
        <v>5</v>
      </c>
      <c r="P20" s="399" t="s">
        <v>5</v>
      </c>
      <c r="Q20" s="399" t="s">
        <v>5</v>
      </c>
      <c r="R20" s="399" t="s">
        <v>5</v>
      </c>
      <c r="S20" s="399" t="s">
        <v>5</v>
      </c>
      <c r="T20" s="399" t="s">
        <v>5</v>
      </c>
      <c r="U20" s="399" t="s">
        <v>5</v>
      </c>
      <c r="V20" s="399" t="s">
        <v>5</v>
      </c>
      <c r="W20" s="399" t="s">
        <v>5</v>
      </c>
      <c r="X20" s="399" t="s">
        <v>5</v>
      </c>
      <c r="Y20" s="399" t="s">
        <v>5</v>
      </c>
      <c r="Z20" s="399">
        <v>16342.632398540203</v>
      </c>
      <c r="AA20" s="399" t="s">
        <v>5</v>
      </c>
      <c r="AB20" s="399" t="s">
        <v>5</v>
      </c>
      <c r="AC20" s="399" t="s">
        <v>5</v>
      </c>
      <c r="AD20" s="399" t="s">
        <v>5</v>
      </c>
      <c r="AE20" s="399" t="s">
        <v>5</v>
      </c>
      <c r="AF20" s="399" t="s">
        <v>5</v>
      </c>
      <c r="AG20" s="399" t="s">
        <v>5</v>
      </c>
      <c r="AH20" s="399" t="s">
        <v>5</v>
      </c>
      <c r="AI20" s="399" t="s">
        <v>5</v>
      </c>
      <c r="AJ20" s="399" t="s">
        <v>5</v>
      </c>
      <c r="AK20" s="399" t="s">
        <v>5</v>
      </c>
      <c r="AL20" s="399" t="s">
        <v>5</v>
      </c>
      <c r="AM20" s="399" t="s">
        <v>5</v>
      </c>
      <c r="AN20" s="399" t="s">
        <v>5</v>
      </c>
      <c r="AO20" s="399" t="s">
        <v>5</v>
      </c>
      <c r="AP20" s="399" t="s">
        <v>5</v>
      </c>
      <c r="AQ20" s="399" t="s">
        <v>5</v>
      </c>
      <c r="AR20" s="399" t="s">
        <v>5</v>
      </c>
      <c r="AS20" s="399" t="s">
        <v>5</v>
      </c>
      <c r="AT20" s="399" t="s">
        <v>5</v>
      </c>
      <c r="AU20" s="399" t="s">
        <v>5</v>
      </c>
      <c r="AV20" s="399" t="s">
        <v>5</v>
      </c>
      <c r="AW20" s="399" t="s">
        <v>5</v>
      </c>
      <c r="AX20" s="399" t="s">
        <v>5</v>
      </c>
      <c r="AY20" s="399" t="s">
        <v>5</v>
      </c>
      <c r="AZ20" s="399" t="s">
        <v>5</v>
      </c>
      <c r="BA20" s="399">
        <v>16342.632398540203</v>
      </c>
      <c r="BB20" s="399" t="s">
        <v>5</v>
      </c>
      <c r="BC20" s="399" t="s">
        <v>5</v>
      </c>
      <c r="BD20" s="399" t="s">
        <v>5</v>
      </c>
      <c r="BE20" s="399" t="s">
        <v>5</v>
      </c>
      <c r="BF20" s="399" t="s">
        <v>5</v>
      </c>
      <c r="BG20" s="399" t="s">
        <v>5</v>
      </c>
      <c r="BH20" s="399" t="s">
        <v>5</v>
      </c>
      <c r="BI20" s="399" t="s">
        <v>5</v>
      </c>
      <c r="BJ20" s="399" t="s">
        <v>5</v>
      </c>
      <c r="BK20" s="399" t="s">
        <v>5</v>
      </c>
      <c r="BL20" s="399" t="s">
        <v>5</v>
      </c>
      <c r="BM20" s="399" t="s">
        <v>5</v>
      </c>
      <c r="BN20" s="399" t="s">
        <v>5</v>
      </c>
      <c r="BO20" s="399" t="s">
        <v>5</v>
      </c>
      <c r="BP20" s="399" t="s">
        <v>5</v>
      </c>
      <c r="BQ20" s="399" t="s">
        <v>5</v>
      </c>
      <c r="BR20" s="399" t="s">
        <v>5</v>
      </c>
      <c r="BS20" s="399" t="s">
        <v>5</v>
      </c>
      <c r="BT20" s="399" t="s">
        <v>5</v>
      </c>
    </row>
    <row r="21" spans="1:72" outlineLevel="1">
      <c r="A21" s="403"/>
      <c r="B21" s="403" t="s">
        <v>981</v>
      </c>
      <c r="C21" s="403" t="s">
        <v>980</v>
      </c>
      <c r="D21" s="403">
        <v>3</v>
      </c>
      <c r="E21" s="403" t="s">
        <v>988</v>
      </c>
      <c r="F21" s="403" t="s">
        <v>989</v>
      </c>
      <c r="G21" s="403" t="s">
        <v>990</v>
      </c>
      <c r="H21" s="403"/>
      <c r="I21" s="403"/>
      <c r="J21" s="397" t="s">
        <v>5</v>
      </c>
      <c r="K21" s="397" t="s">
        <v>5</v>
      </c>
      <c r="L21" s="397" t="s">
        <v>5</v>
      </c>
      <c r="M21" s="397" t="s">
        <v>5</v>
      </c>
      <c r="N21" s="397" t="s">
        <v>5</v>
      </c>
      <c r="O21" s="397" t="s">
        <v>5</v>
      </c>
      <c r="P21" s="397" t="s">
        <v>5</v>
      </c>
      <c r="Q21" s="397" t="s">
        <v>5</v>
      </c>
      <c r="R21" s="397" t="s">
        <v>5</v>
      </c>
      <c r="S21" s="397" t="s">
        <v>5</v>
      </c>
      <c r="T21" s="397" t="s">
        <v>5</v>
      </c>
      <c r="U21" s="397" t="s">
        <v>5</v>
      </c>
      <c r="V21" s="397" t="s">
        <v>5</v>
      </c>
      <c r="W21" s="397" t="s">
        <v>5</v>
      </c>
      <c r="X21" s="397" t="s">
        <v>5</v>
      </c>
      <c r="Y21" s="397" t="s">
        <v>5</v>
      </c>
      <c r="Z21" s="397">
        <v>1093.5550000000001</v>
      </c>
      <c r="AA21" s="397">
        <v>1948.993433252708</v>
      </c>
      <c r="AB21" s="397" t="s">
        <v>5</v>
      </c>
      <c r="AC21" s="397" t="s">
        <v>5</v>
      </c>
      <c r="AD21" s="397" t="s">
        <v>5</v>
      </c>
      <c r="AE21" s="397" t="s">
        <v>5</v>
      </c>
      <c r="AF21" s="397" t="s">
        <v>5</v>
      </c>
      <c r="AG21" s="397" t="s">
        <v>5</v>
      </c>
      <c r="AH21" s="397" t="s">
        <v>5</v>
      </c>
      <c r="AI21" s="397" t="s">
        <v>5</v>
      </c>
      <c r="AJ21" s="397" t="s">
        <v>5</v>
      </c>
      <c r="AK21" s="397" t="s">
        <v>5</v>
      </c>
      <c r="AL21" s="397" t="s">
        <v>5</v>
      </c>
      <c r="AM21" s="397" t="s">
        <v>5</v>
      </c>
      <c r="AN21" s="397" t="s">
        <v>5</v>
      </c>
      <c r="AO21" s="397" t="s">
        <v>5</v>
      </c>
      <c r="AP21" s="397" t="s">
        <v>5</v>
      </c>
      <c r="AQ21" s="397" t="s">
        <v>5</v>
      </c>
      <c r="AR21" s="397" t="s">
        <v>5</v>
      </c>
      <c r="AS21" s="397" t="s">
        <v>5</v>
      </c>
      <c r="AT21" s="397" t="s">
        <v>5</v>
      </c>
      <c r="AU21" s="397" t="s">
        <v>5</v>
      </c>
      <c r="AV21" s="397" t="s">
        <v>5</v>
      </c>
      <c r="AW21" s="397" t="s">
        <v>5</v>
      </c>
      <c r="AX21" s="397" t="s">
        <v>5</v>
      </c>
      <c r="AY21" s="397" t="s">
        <v>5</v>
      </c>
      <c r="AZ21" s="397" t="s">
        <v>5</v>
      </c>
      <c r="BA21" s="397">
        <v>3042.548433252708</v>
      </c>
      <c r="BB21" s="397" t="s">
        <v>5</v>
      </c>
      <c r="BC21" s="397" t="s">
        <v>5</v>
      </c>
      <c r="BD21" s="397" t="s">
        <v>5</v>
      </c>
      <c r="BE21" s="397" t="s">
        <v>5</v>
      </c>
      <c r="BF21" s="397" t="s">
        <v>5</v>
      </c>
      <c r="BG21" s="397" t="s">
        <v>5</v>
      </c>
      <c r="BH21" s="397" t="s">
        <v>5</v>
      </c>
      <c r="BI21" s="397" t="s">
        <v>5</v>
      </c>
      <c r="BJ21" s="397" t="s">
        <v>5</v>
      </c>
      <c r="BK21" s="397" t="s">
        <v>5</v>
      </c>
      <c r="BL21" s="397" t="s">
        <v>5</v>
      </c>
      <c r="BM21" s="397" t="s">
        <v>5</v>
      </c>
      <c r="BN21" s="397" t="s">
        <v>5</v>
      </c>
      <c r="BO21" s="397" t="s">
        <v>5</v>
      </c>
      <c r="BP21" s="397" t="s">
        <v>5</v>
      </c>
      <c r="BQ21" s="397" t="s">
        <v>5</v>
      </c>
      <c r="BR21" s="397" t="s">
        <v>5</v>
      </c>
      <c r="BS21" s="397" t="s">
        <v>5</v>
      </c>
      <c r="BT21" s="397" t="s">
        <v>5</v>
      </c>
    </row>
    <row r="22" spans="1:72">
      <c r="A22" s="418">
        <v>5</v>
      </c>
      <c r="B22" s="418" t="s">
        <v>979</v>
      </c>
      <c r="C22" s="418"/>
      <c r="D22" s="418"/>
      <c r="E22" s="418" t="s">
        <v>991</v>
      </c>
      <c r="F22" s="418"/>
      <c r="G22" s="418" t="s">
        <v>992</v>
      </c>
      <c r="H22" s="418"/>
      <c r="I22" s="418"/>
      <c r="J22" s="419">
        <v>0</v>
      </c>
      <c r="K22" s="419">
        <v>0</v>
      </c>
      <c r="L22" s="419">
        <v>0</v>
      </c>
      <c r="M22" s="419">
        <v>0</v>
      </c>
      <c r="N22" s="419">
        <v>0</v>
      </c>
      <c r="O22" s="419">
        <v>0</v>
      </c>
      <c r="P22" s="419">
        <v>0</v>
      </c>
      <c r="Q22" s="419">
        <v>0</v>
      </c>
      <c r="R22" s="419">
        <v>0</v>
      </c>
      <c r="S22" s="419">
        <v>0</v>
      </c>
      <c r="T22" s="419">
        <v>0</v>
      </c>
      <c r="U22" s="419">
        <v>0</v>
      </c>
      <c r="V22" s="419">
        <v>0</v>
      </c>
      <c r="W22" s="419">
        <v>0</v>
      </c>
      <c r="X22" s="419">
        <v>0</v>
      </c>
      <c r="Y22" s="419">
        <v>0</v>
      </c>
      <c r="Z22" s="419">
        <v>29669.535423951202</v>
      </c>
      <c r="AA22" s="419">
        <v>2412.4216478153903</v>
      </c>
      <c r="AB22" s="419">
        <v>0</v>
      </c>
      <c r="AC22" s="419">
        <v>0</v>
      </c>
      <c r="AD22" s="419">
        <v>0</v>
      </c>
      <c r="AE22" s="419">
        <v>0</v>
      </c>
      <c r="AF22" s="419">
        <v>0</v>
      </c>
      <c r="AG22" s="419">
        <v>0</v>
      </c>
      <c r="AH22" s="419">
        <v>0</v>
      </c>
      <c r="AI22" s="419">
        <v>0</v>
      </c>
      <c r="AJ22" s="419">
        <v>0</v>
      </c>
      <c r="AK22" s="419">
        <v>0</v>
      </c>
      <c r="AL22" s="419">
        <v>0</v>
      </c>
      <c r="AM22" s="419">
        <v>0</v>
      </c>
      <c r="AN22" s="419">
        <v>0</v>
      </c>
      <c r="AO22" s="419">
        <v>0</v>
      </c>
      <c r="AP22" s="419">
        <v>0</v>
      </c>
      <c r="AQ22" s="419">
        <v>0</v>
      </c>
      <c r="AR22" s="419">
        <v>0</v>
      </c>
      <c r="AS22" s="419">
        <v>0</v>
      </c>
      <c r="AT22" s="419">
        <v>0</v>
      </c>
      <c r="AU22" s="419">
        <v>0</v>
      </c>
      <c r="AV22" s="419">
        <v>0</v>
      </c>
      <c r="AW22" s="419">
        <v>0</v>
      </c>
      <c r="AX22" s="419">
        <v>0</v>
      </c>
      <c r="AY22" s="419">
        <v>0</v>
      </c>
      <c r="AZ22" s="419">
        <v>0</v>
      </c>
      <c r="BA22" s="419">
        <v>32081.957071766592</v>
      </c>
      <c r="BB22" s="419">
        <v>0</v>
      </c>
      <c r="BC22" s="419">
        <v>0</v>
      </c>
      <c r="BD22" s="419">
        <v>0</v>
      </c>
      <c r="BE22" s="419">
        <v>0</v>
      </c>
      <c r="BF22" s="419">
        <v>0</v>
      </c>
      <c r="BG22" s="419">
        <v>0</v>
      </c>
      <c r="BH22" s="419">
        <v>0</v>
      </c>
      <c r="BI22" s="419">
        <v>0</v>
      </c>
      <c r="BJ22" s="419">
        <v>0</v>
      </c>
      <c r="BK22" s="419">
        <v>0</v>
      </c>
      <c r="BL22" s="419">
        <v>0</v>
      </c>
      <c r="BM22" s="419">
        <v>0</v>
      </c>
      <c r="BN22" s="419">
        <v>0</v>
      </c>
      <c r="BO22" s="419">
        <v>0</v>
      </c>
      <c r="BP22" s="419">
        <v>0</v>
      </c>
      <c r="BQ22" s="419">
        <v>0</v>
      </c>
      <c r="BR22" s="419">
        <v>0</v>
      </c>
      <c r="BS22" s="419">
        <v>0</v>
      </c>
      <c r="BT22" s="419">
        <v>0</v>
      </c>
    </row>
    <row r="23" spans="1:72" outlineLevel="1">
      <c r="A23" s="402"/>
      <c r="B23" s="402" t="s">
        <v>992</v>
      </c>
      <c r="C23" s="402" t="s">
        <v>991</v>
      </c>
      <c r="D23" s="402">
        <v>1</v>
      </c>
      <c r="E23" s="402" t="s">
        <v>982</v>
      </c>
      <c r="F23" s="402" t="s">
        <v>993</v>
      </c>
      <c r="G23" s="402" t="s">
        <v>994</v>
      </c>
      <c r="H23" s="402"/>
      <c r="I23" s="402"/>
      <c r="J23" s="396" t="s">
        <v>5</v>
      </c>
      <c r="K23" s="396" t="s">
        <v>5</v>
      </c>
      <c r="L23" s="396" t="s">
        <v>5</v>
      </c>
      <c r="M23" s="396" t="s">
        <v>5</v>
      </c>
      <c r="N23" s="396" t="s">
        <v>5</v>
      </c>
      <c r="O23" s="396" t="s">
        <v>5</v>
      </c>
      <c r="P23" s="396" t="s">
        <v>5</v>
      </c>
      <c r="Q23" s="396" t="s">
        <v>5</v>
      </c>
      <c r="R23" s="396" t="s">
        <v>5</v>
      </c>
      <c r="S23" s="396" t="s">
        <v>5</v>
      </c>
      <c r="T23" s="396" t="s">
        <v>5</v>
      </c>
      <c r="U23" s="396" t="s">
        <v>5</v>
      </c>
      <c r="V23" s="396" t="s">
        <v>5</v>
      </c>
      <c r="W23" s="396" t="s">
        <v>5</v>
      </c>
      <c r="X23" s="396" t="s">
        <v>5</v>
      </c>
      <c r="Y23" s="396" t="s">
        <v>5</v>
      </c>
      <c r="Z23" s="396">
        <v>9252.9841268707914</v>
      </c>
      <c r="AA23" s="396" t="s">
        <v>5</v>
      </c>
      <c r="AB23" s="396" t="s">
        <v>5</v>
      </c>
      <c r="AC23" s="396" t="s">
        <v>5</v>
      </c>
      <c r="AD23" s="396" t="s">
        <v>5</v>
      </c>
      <c r="AE23" s="396" t="s">
        <v>5</v>
      </c>
      <c r="AF23" s="396" t="s">
        <v>5</v>
      </c>
      <c r="AG23" s="396" t="s">
        <v>5</v>
      </c>
      <c r="AH23" s="396" t="s">
        <v>5</v>
      </c>
      <c r="AI23" s="396" t="s">
        <v>5</v>
      </c>
      <c r="AJ23" s="396" t="s">
        <v>5</v>
      </c>
      <c r="AK23" s="396" t="s">
        <v>5</v>
      </c>
      <c r="AL23" s="396" t="s">
        <v>5</v>
      </c>
      <c r="AM23" s="396" t="s">
        <v>5</v>
      </c>
      <c r="AN23" s="396" t="s">
        <v>5</v>
      </c>
      <c r="AO23" s="396" t="s">
        <v>5</v>
      </c>
      <c r="AP23" s="396" t="s">
        <v>5</v>
      </c>
      <c r="AQ23" s="396" t="s">
        <v>5</v>
      </c>
      <c r="AR23" s="396" t="s">
        <v>5</v>
      </c>
      <c r="AS23" s="396" t="s">
        <v>5</v>
      </c>
      <c r="AT23" s="396" t="s">
        <v>5</v>
      </c>
      <c r="AU23" s="396" t="s">
        <v>5</v>
      </c>
      <c r="AV23" s="396" t="s">
        <v>5</v>
      </c>
      <c r="AW23" s="396" t="s">
        <v>5</v>
      </c>
      <c r="AX23" s="396" t="s">
        <v>5</v>
      </c>
      <c r="AY23" s="396" t="s">
        <v>5</v>
      </c>
      <c r="AZ23" s="396" t="s">
        <v>5</v>
      </c>
      <c r="BA23" s="396">
        <v>9252.9841268707914</v>
      </c>
      <c r="BB23" s="396" t="s">
        <v>5</v>
      </c>
      <c r="BC23" s="396" t="s">
        <v>5</v>
      </c>
      <c r="BD23" s="396" t="s">
        <v>5</v>
      </c>
      <c r="BE23" s="396" t="s">
        <v>5</v>
      </c>
      <c r="BF23" s="396" t="s">
        <v>5</v>
      </c>
      <c r="BG23" s="396" t="s">
        <v>5</v>
      </c>
      <c r="BH23" s="396" t="s">
        <v>5</v>
      </c>
      <c r="BI23" s="396" t="s">
        <v>5</v>
      </c>
      <c r="BJ23" s="396" t="s">
        <v>5</v>
      </c>
      <c r="BK23" s="396" t="s">
        <v>5</v>
      </c>
      <c r="BL23" s="396" t="s">
        <v>5</v>
      </c>
      <c r="BM23" s="396" t="s">
        <v>5</v>
      </c>
      <c r="BN23" s="396" t="s">
        <v>5</v>
      </c>
      <c r="BO23" s="396" t="s">
        <v>5</v>
      </c>
      <c r="BP23" s="396" t="s">
        <v>5</v>
      </c>
      <c r="BQ23" s="396" t="s">
        <v>5</v>
      </c>
      <c r="BR23" s="396" t="s">
        <v>5</v>
      </c>
      <c r="BS23" s="396" t="s">
        <v>5</v>
      </c>
      <c r="BT23" s="396" t="s">
        <v>5</v>
      </c>
    </row>
    <row r="24" spans="1:72" outlineLevel="1">
      <c r="A24" s="398"/>
      <c r="B24" s="398" t="s">
        <v>992</v>
      </c>
      <c r="C24" s="398" t="s">
        <v>991</v>
      </c>
      <c r="D24" s="398">
        <v>2</v>
      </c>
      <c r="E24" s="398" t="s">
        <v>985</v>
      </c>
      <c r="F24" s="398" t="s">
        <v>995</v>
      </c>
      <c r="G24" s="398" t="s">
        <v>996</v>
      </c>
      <c r="H24" s="398"/>
      <c r="I24" s="398"/>
      <c r="J24" s="399" t="s">
        <v>5</v>
      </c>
      <c r="K24" s="399" t="s">
        <v>5</v>
      </c>
      <c r="L24" s="399" t="s">
        <v>5</v>
      </c>
      <c r="M24" s="399" t="s">
        <v>5</v>
      </c>
      <c r="N24" s="399" t="s">
        <v>5</v>
      </c>
      <c r="O24" s="399" t="s">
        <v>5</v>
      </c>
      <c r="P24" s="399" t="s">
        <v>5</v>
      </c>
      <c r="Q24" s="399" t="s">
        <v>5</v>
      </c>
      <c r="R24" s="399" t="s">
        <v>5</v>
      </c>
      <c r="S24" s="399" t="s">
        <v>5</v>
      </c>
      <c r="T24" s="399" t="s">
        <v>5</v>
      </c>
      <c r="U24" s="399" t="s">
        <v>5</v>
      </c>
      <c r="V24" s="399" t="s">
        <v>5</v>
      </c>
      <c r="W24" s="399" t="s">
        <v>5</v>
      </c>
      <c r="X24" s="399" t="s">
        <v>5</v>
      </c>
      <c r="Y24" s="399" t="s">
        <v>5</v>
      </c>
      <c r="Z24" s="399">
        <v>19208.774297080407</v>
      </c>
      <c r="AA24" s="399" t="s">
        <v>5</v>
      </c>
      <c r="AB24" s="399" t="s">
        <v>5</v>
      </c>
      <c r="AC24" s="399" t="s">
        <v>5</v>
      </c>
      <c r="AD24" s="399" t="s">
        <v>5</v>
      </c>
      <c r="AE24" s="399" t="s">
        <v>5</v>
      </c>
      <c r="AF24" s="399" t="s">
        <v>5</v>
      </c>
      <c r="AG24" s="399" t="s">
        <v>5</v>
      </c>
      <c r="AH24" s="399" t="s">
        <v>5</v>
      </c>
      <c r="AI24" s="399" t="s">
        <v>5</v>
      </c>
      <c r="AJ24" s="399" t="s">
        <v>5</v>
      </c>
      <c r="AK24" s="399" t="s">
        <v>5</v>
      </c>
      <c r="AL24" s="399" t="s">
        <v>5</v>
      </c>
      <c r="AM24" s="399" t="s">
        <v>5</v>
      </c>
      <c r="AN24" s="399" t="s">
        <v>5</v>
      </c>
      <c r="AO24" s="399" t="s">
        <v>5</v>
      </c>
      <c r="AP24" s="399" t="s">
        <v>5</v>
      </c>
      <c r="AQ24" s="399" t="s">
        <v>5</v>
      </c>
      <c r="AR24" s="399" t="s">
        <v>5</v>
      </c>
      <c r="AS24" s="399" t="s">
        <v>5</v>
      </c>
      <c r="AT24" s="399" t="s">
        <v>5</v>
      </c>
      <c r="AU24" s="399" t="s">
        <v>5</v>
      </c>
      <c r="AV24" s="399" t="s">
        <v>5</v>
      </c>
      <c r="AW24" s="399" t="s">
        <v>5</v>
      </c>
      <c r="AX24" s="399" t="s">
        <v>5</v>
      </c>
      <c r="AY24" s="399" t="s">
        <v>5</v>
      </c>
      <c r="AZ24" s="399" t="s">
        <v>5</v>
      </c>
      <c r="BA24" s="399">
        <v>19208.774297080407</v>
      </c>
      <c r="BB24" s="399" t="s">
        <v>5</v>
      </c>
      <c r="BC24" s="399" t="s">
        <v>5</v>
      </c>
      <c r="BD24" s="399" t="s">
        <v>5</v>
      </c>
      <c r="BE24" s="399" t="s">
        <v>5</v>
      </c>
      <c r="BF24" s="399" t="s">
        <v>5</v>
      </c>
      <c r="BG24" s="399" t="s">
        <v>5</v>
      </c>
      <c r="BH24" s="399" t="s">
        <v>5</v>
      </c>
      <c r="BI24" s="399" t="s">
        <v>5</v>
      </c>
      <c r="BJ24" s="399" t="s">
        <v>5</v>
      </c>
      <c r="BK24" s="399" t="s">
        <v>5</v>
      </c>
      <c r="BL24" s="399" t="s">
        <v>5</v>
      </c>
      <c r="BM24" s="399" t="s">
        <v>5</v>
      </c>
      <c r="BN24" s="399" t="s">
        <v>5</v>
      </c>
      <c r="BO24" s="399" t="s">
        <v>5</v>
      </c>
      <c r="BP24" s="399" t="s">
        <v>5</v>
      </c>
      <c r="BQ24" s="399" t="s">
        <v>5</v>
      </c>
      <c r="BR24" s="399" t="s">
        <v>5</v>
      </c>
      <c r="BS24" s="399" t="s">
        <v>5</v>
      </c>
      <c r="BT24" s="399" t="s">
        <v>5</v>
      </c>
    </row>
    <row r="25" spans="1:72" outlineLevel="1">
      <c r="A25" s="403"/>
      <c r="B25" s="403" t="s">
        <v>992</v>
      </c>
      <c r="C25" s="403" t="s">
        <v>991</v>
      </c>
      <c r="D25" s="403">
        <v>3</v>
      </c>
      <c r="E25" s="403" t="s">
        <v>988</v>
      </c>
      <c r="F25" s="403" t="s">
        <v>997</v>
      </c>
      <c r="G25" s="403" t="s">
        <v>998</v>
      </c>
      <c r="H25" s="403"/>
      <c r="I25" s="403"/>
      <c r="J25" s="397" t="s">
        <v>5</v>
      </c>
      <c r="K25" s="397" t="s">
        <v>5</v>
      </c>
      <c r="L25" s="397" t="s">
        <v>5</v>
      </c>
      <c r="M25" s="397" t="s">
        <v>5</v>
      </c>
      <c r="N25" s="397" t="s">
        <v>5</v>
      </c>
      <c r="O25" s="397" t="s">
        <v>5</v>
      </c>
      <c r="P25" s="397" t="s">
        <v>5</v>
      </c>
      <c r="Q25" s="397" t="s">
        <v>5</v>
      </c>
      <c r="R25" s="397" t="s">
        <v>5</v>
      </c>
      <c r="S25" s="397" t="s">
        <v>5</v>
      </c>
      <c r="T25" s="397" t="s">
        <v>5</v>
      </c>
      <c r="U25" s="397" t="s">
        <v>5</v>
      </c>
      <c r="V25" s="397" t="s">
        <v>5</v>
      </c>
      <c r="W25" s="397" t="s">
        <v>5</v>
      </c>
      <c r="X25" s="397" t="s">
        <v>5</v>
      </c>
      <c r="Y25" s="397" t="s">
        <v>5</v>
      </c>
      <c r="Z25" s="397">
        <v>1207.777</v>
      </c>
      <c r="AA25" s="397">
        <v>2412.4216478153903</v>
      </c>
      <c r="AB25" s="397" t="s">
        <v>5</v>
      </c>
      <c r="AC25" s="397" t="s">
        <v>5</v>
      </c>
      <c r="AD25" s="397" t="s">
        <v>5</v>
      </c>
      <c r="AE25" s="397" t="s">
        <v>5</v>
      </c>
      <c r="AF25" s="397" t="s">
        <v>5</v>
      </c>
      <c r="AG25" s="397" t="s">
        <v>5</v>
      </c>
      <c r="AH25" s="397" t="s">
        <v>5</v>
      </c>
      <c r="AI25" s="397" t="s">
        <v>5</v>
      </c>
      <c r="AJ25" s="397" t="s">
        <v>5</v>
      </c>
      <c r="AK25" s="397" t="s">
        <v>5</v>
      </c>
      <c r="AL25" s="397" t="s">
        <v>5</v>
      </c>
      <c r="AM25" s="397" t="s">
        <v>5</v>
      </c>
      <c r="AN25" s="397" t="s">
        <v>5</v>
      </c>
      <c r="AO25" s="397" t="s">
        <v>5</v>
      </c>
      <c r="AP25" s="397" t="s">
        <v>5</v>
      </c>
      <c r="AQ25" s="397" t="s">
        <v>5</v>
      </c>
      <c r="AR25" s="397" t="s">
        <v>5</v>
      </c>
      <c r="AS25" s="397" t="s">
        <v>5</v>
      </c>
      <c r="AT25" s="397" t="s">
        <v>5</v>
      </c>
      <c r="AU25" s="397" t="s">
        <v>5</v>
      </c>
      <c r="AV25" s="397" t="s">
        <v>5</v>
      </c>
      <c r="AW25" s="397" t="s">
        <v>5</v>
      </c>
      <c r="AX25" s="397" t="s">
        <v>5</v>
      </c>
      <c r="AY25" s="397" t="s">
        <v>5</v>
      </c>
      <c r="AZ25" s="397" t="s">
        <v>5</v>
      </c>
      <c r="BA25" s="397">
        <v>3620.1986478153904</v>
      </c>
      <c r="BB25" s="397" t="s">
        <v>5</v>
      </c>
      <c r="BC25" s="397" t="s">
        <v>5</v>
      </c>
      <c r="BD25" s="397" t="s">
        <v>5</v>
      </c>
      <c r="BE25" s="397" t="s">
        <v>5</v>
      </c>
      <c r="BF25" s="397" t="s">
        <v>5</v>
      </c>
      <c r="BG25" s="397" t="s">
        <v>5</v>
      </c>
      <c r="BH25" s="397" t="s">
        <v>5</v>
      </c>
      <c r="BI25" s="397" t="s">
        <v>5</v>
      </c>
      <c r="BJ25" s="397" t="s">
        <v>5</v>
      </c>
      <c r="BK25" s="397" t="s">
        <v>5</v>
      </c>
      <c r="BL25" s="397" t="s">
        <v>5</v>
      </c>
      <c r="BM25" s="397" t="s">
        <v>5</v>
      </c>
      <c r="BN25" s="397" t="s">
        <v>5</v>
      </c>
      <c r="BO25" s="397" t="s">
        <v>5</v>
      </c>
      <c r="BP25" s="397" t="s">
        <v>5</v>
      </c>
      <c r="BQ25" s="397" t="s">
        <v>5</v>
      </c>
      <c r="BR25" s="397" t="s">
        <v>5</v>
      </c>
      <c r="BS25" s="397" t="s">
        <v>5</v>
      </c>
      <c r="BT25" s="397" t="s">
        <v>5</v>
      </c>
    </row>
    <row r="26" spans="1:72">
      <c r="A26" s="418">
        <v>6</v>
      </c>
      <c r="B26" s="418" t="s">
        <v>979</v>
      </c>
      <c r="C26" s="418"/>
      <c r="D26" s="418"/>
      <c r="E26" s="418" t="s">
        <v>999</v>
      </c>
      <c r="F26" s="418"/>
      <c r="G26" s="418" t="s">
        <v>1000</v>
      </c>
      <c r="H26" s="418"/>
      <c r="I26" s="418"/>
      <c r="J26" s="419">
        <v>0</v>
      </c>
      <c r="K26" s="419">
        <v>0</v>
      </c>
      <c r="L26" s="419">
        <v>0</v>
      </c>
      <c r="M26" s="419">
        <v>0</v>
      </c>
      <c r="N26" s="419">
        <v>0</v>
      </c>
      <c r="O26" s="419">
        <v>0</v>
      </c>
      <c r="P26" s="419">
        <v>0</v>
      </c>
      <c r="Q26" s="419">
        <v>0</v>
      </c>
      <c r="R26" s="419">
        <v>0</v>
      </c>
      <c r="S26" s="419">
        <v>0</v>
      </c>
      <c r="T26" s="419">
        <v>0</v>
      </c>
      <c r="U26" s="419">
        <v>0</v>
      </c>
      <c r="V26" s="419">
        <v>0</v>
      </c>
      <c r="W26" s="419">
        <v>0</v>
      </c>
      <c r="X26" s="419">
        <v>0</v>
      </c>
      <c r="Y26" s="419">
        <v>0</v>
      </c>
      <c r="Z26" s="419">
        <v>30561.413855804272</v>
      </c>
      <c r="AA26" s="419">
        <v>2189.3674185563104</v>
      </c>
      <c r="AB26" s="419">
        <v>0</v>
      </c>
      <c r="AC26" s="419">
        <v>0</v>
      </c>
      <c r="AD26" s="419">
        <v>0</v>
      </c>
      <c r="AE26" s="419">
        <v>0</v>
      </c>
      <c r="AF26" s="419">
        <v>0</v>
      </c>
      <c r="AG26" s="419">
        <v>0</v>
      </c>
      <c r="AH26" s="419">
        <v>0</v>
      </c>
      <c r="AI26" s="419">
        <v>0</v>
      </c>
      <c r="AJ26" s="419">
        <v>0</v>
      </c>
      <c r="AK26" s="419">
        <v>0</v>
      </c>
      <c r="AL26" s="419">
        <v>0</v>
      </c>
      <c r="AM26" s="419">
        <v>0</v>
      </c>
      <c r="AN26" s="419">
        <v>0</v>
      </c>
      <c r="AO26" s="419">
        <v>0</v>
      </c>
      <c r="AP26" s="419">
        <v>0</v>
      </c>
      <c r="AQ26" s="419">
        <v>0</v>
      </c>
      <c r="AR26" s="419">
        <v>0</v>
      </c>
      <c r="AS26" s="419">
        <v>0</v>
      </c>
      <c r="AT26" s="419">
        <v>0</v>
      </c>
      <c r="AU26" s="419">
        <v>0</v>
      </c>
      <c r="AV26" s="419">
        <v>0</v>
      </c>
      <c r="AW26" s="419">
        <v>0</v>
      </c>
      <c r="AX26" s="419">
        <v>0</v>
      </c>
      <c r="AY26" s="419">
        <v>0</v>
      </c>
      <c r="AZ26" s="419">
        <v>0</v>
      </c>
      <c r="BA26" s="419">
        <v>32750.781274360583</v>
      </c>
      <c r="BB26" s="419">
        <v>0</v>
      </c>
      <c r="BC26" s="419">
        <v>0</v>
      </c>
      <c r="BD26" s="419">
        <v>0</v>
      </c>
      <c r="BE26" s="419">
        <v>0</v>
      </c>
      <c r="BF26" s="419">
        <v>0</v>
      </c>
      <c r="BG26" s="419">
        <v>0</v>
      </c>
      <c r="BH26" s="419">
        <v>0</v>
      </c>
      <c r="BI26" s="419">
        <v>0</v>
      </c>
      <c r="BJ26" s="419">
        <v>0</v>
      </c>
      <c r="BK26" s="419">
        <v>0</v>
      </c>
      <c r="BL26" s="419">
        <v>0</v>
      </c>
      <c r="BM26" s="419">
        <v>0</v>
      </c>
      <c r="BN26" s="419">
        <v>0</v>
      </c>
      <c r="BO26" s="419">
        <v>0</v>
      </c>
      <c r="BP26" s="419">
        <v>0</v>
      </c>
      <c r="BQ26" s="419">
        <v>0</v>
      </c>
      <c r="BR26" s="419">
        <v>0</v>
      </c>
      <c r="BS26" s="419">
        <v>0</v>
      </c>
      <c r="BT26" s="419">
        <v>0</v>
      </c>
    </row>
    <row r="27" spans="1:72" outlineLevel="1">
      <c r="A27" s="402"/>
      <c r="B27" s="402" t="s">
        <v>1000</v>
      </c>
      <c r="C27" s="402" t="s">
        <v>999</v>
      </c>
      <c r="D27" s="402">
        <v>1</v>
      </c>
      <c r="E27" s="402" t="s">
        <v>982</v>
      </c>
      <c r="F27" s="402" t="s">
        <v>1001</v>
      </c>
      <c r="G27" s="402" t="s">
        <v>1002</v>
      </c>
      <c r="H27" s="402"/>
      <c r="I27" s="402"/>
      <c r="J27" s="396" t="s">
        <v>5</v>
      </c>
      <c r="K27" s="396" t="s">
        <v>5</v>
      </c>
      <c r="L27" s="396" t="s">
        <v>5</v>
      </c>
      <c r="M27" s="396" t="s">
        <v>5</v>
      </c>
      <c r="N27" s="396" t="s">
        <v>5</v>
      </c>
      <c r="O27" s="396" t="s">
        <v>5</v>
      </c>
      <c r="P27" s="396" t="s">
        <v>5</v>
      </c>
      <c r="Q27" s="396" t="s">
        <v>5</v>
      </c>
      <c r="R27" s="396" t="s">
        <v>5</v>
      </c>
      <c r="S27" s="396" t="s">
        <v>5</v>
      </c>
      <c r="T27" s="396" t="s">
        <v>5</v>
      </c>
      <c r="U27" s="396" t="s">
        <v>5</v>
      </c>
      <c r="V27" s="396" t="s">
        <v>5</v>
      </c>
      <c r="W27" s="396" t="s">
        <v>5</v>
      </c>
      <c r="X27" s="396" t="s">
        <v>5</v>
      </c>
      <c r="Y27" s="396" t="s">
        <v>5</v>
      </c>
      <c r="Z27" s="396">
        <v>9554.6405587238642</v>
      </c>
      <c r="AA27" s="396" t="s">
        <v>5</v>
      </c>
      <c r="AB27" s="396" t="s">
        <v>5</v>
      </c>
      <c r="AC27" s="396" t="s">
        <v>5</v>
      </c>
      <c r="AD27" s="396" t="s">
        <v>5</v>
      </c>
      <c r="AE27" s="396" t="s">
        <v>5</v>
      </c>
      <c r="AF27" s="396" t="s">
        <v>5</v>
      </c>
      <c r="AG27" s="396" t="s">
        <v>5</v>
      </c>
      <c r="AH27" s="396" t="s">
        <v>5</v>
      </c>
      <c r="AI27" s="396" t="s">
        <v>5</v>
      </c>
      <c r="AJ27" s="396" t="s">
        <v>5</v>
      </c>
      <c r="AK27" s="396" t="s">
        <v>5</v>
      </c>
      <c r="AL27" s="396" t="s">
        <v>5</v>
      </c>
      <c r="AM27" s="396" t="s">
        <v>5</v>
      </c>
      <c r="AN27" s="396" t="s">
        <v>5</v>
      </c>
      <c r="AO27" s="396" t="s">
        <v>5</v>
      </c>
      <c r="AP27" s="396" t="s">
        <v>5</v>
      </c>
      <c r="AQ27" s="396" t="s">
        <v>5</v>
      </c>
      <c r="AR27" s="396" t="s">
        <v>5</v>
      </c>
      <c r="AS27" s="396" t="s">
        <v>5</v>
      </c>
      <c r="AT27" s="396" t="s">
        <v>5</v>
      </c>
      <c r="AU27" s="396" t="s">
        <v>5</v>
      </c>
      <c r="AV27" s="396" t="s">
        <v>5</v>
      </c>
      <c r="AW27" s="396" t="s">
        <v>5</v>
      </c>
      <c r="AX27" s="396" t="s">
        <v>5</v>
      </c>
      <c r="AY27" s="396" t="s">
        <v>5</v>
      </c>
      <c r="AZ27" s="396" t="s">
        <v>5</v>
      </c>
      <c r="BA27" s="396">
        <v>9554.6405587238642</v>
      </c>
      <c r="BB27" s="396" t="s">
        <v>5</v>
      </c>
      <c r="BC27" s="396" t="s">
        <v>5</v>
      </c>
      <c r="BD27" s="396" t="s">
        <v>5</v>
      </c>
      <c r="BE27" s="396" t="s">
        <v>5</v>
      </c>
      <c r="BF27" s="396" t="s">
        <v>5</v>
      </c>
      <c r="BG27" s="396" t="s">
        <v>5</v>
      </c>
      <c r="BH27" s="396" t="s">
        <v>5</v>
      </c>
      <c r="BI27" s="396" t="s">
        <v>5</v>
      </c>
      <c r="BJ27" s="396" t="s">
        <v>5</v>
      </c>
      <c r="BK27" s="396" t="s">
        <v>5</v>
      </c>
      <c r="BL27" s="396" t="s">
        <v>5</v>
      </c>
      <c r="BM27" s="396" t="s">
        <v>5</v>
      </c>
      <c r="BN27" s="396" t="s">
        <v>5</v>
      </c>
      <c r="BO27" s="396" t="s">
        <v>5</v>
      </c>
      <c r="BP27" s="396" t="s">
        <v>5</v>
      </c>
      <c r="BQ27" s="396" t="s">
        <v>5</v>
      </c>
      <c r="BR27" s="396" t="s">
        <v>5</v>
      </c>
      <c r="BS27" s="396" t="s">
        <v>5</v>
      </c>
      <c r="BT27" s="396" t="s">
        <v>5</v>
      </c>
    </row>
    <row r="28" spans="1:72" outlineLevel="1">
      <c r="A28" s="398"/>
      <c r="B28" s="398" t="s">
        <v>1000</v>
      </c>
      <c r="C28" s="398" t="s">
        <v>999</v>
      </c>
      <c r="D28" s="398">
        <v>2</v>
      </c>
      <c r="E28" s="398" t="s">
        <v>985</v>
      </c>
      <c r="F28" s="398" t="s">
        <v>1003</v>
      </c>
      <c r="G28" s="398" t="s">
        <v>1004</v>
      </c>
      <c r="H28" s="398"/>
      <c r="I28" s="398"/>
      <c r="J28" s="399" t="s">
        <v>5</v>
      </c>
      <c r="K28" s="399" t="s">
        <v>5</v>
      </c>
      <c r="L28" s="399" t="s">
        <v>5</v>
      </c>
      <c r="M28" s="399" t="s">
        <v>5</v>
      </c>
      <c r="N28" s="399" t="s">
        <v>5</v>
      </c>
      <c r="O28" s="399" t="s">
        <v>5</v>
      </c>
      <c r="P28" s="399" t="s">
        <v>5</v>
      </c>
      <c r="Q28" s="399" t="s">
        <v>5</v>
      </c>
      <c r="R28" s="399" t="s">
        <v>5</v>
      </c>
      <c r="S28" s="399" t="s">
        <v>5</v>
      </c>
      <c r="T28" s="399" t="s">
        <v>5</v>
      </c>
      <c r="U28" s="399" t="s">
        <v>5</v>
      </c>
      <c r="V28" s="399" t="s">
        <v>5</v>
      </c>
      <c r="W28" s="399" t="s">
        <v>5</v>
      </c>
      <c r="X28" s="399" t="s">
        <v>5</v>
      </c>
      <c r="Y28" s="399" t="s">
        <v>5</v>
      </c>
      <c r="Z28" s="399">
        <v>19834.850297080407</v>
      </c>
      <c r="AA28" s="399" t="s">
        <v>5</v>
      </c>
      <c r="AB28" s="399" t="s">
        <v>5</v>
      </c>
      <c r="AC28" s="399" t="s">
        <v>5</v>
      </c>
      <c r="AD28" s="399" t="s">
        <v>5</v>
      </c>
      <c r="AE28" s="399" t="s">
        <v>5</v>
      </c>
      <c r="AF28" s="399" t="s">
        <v>5</v>
      </c>
      <c r="AG28" s="399" t="s">
        <v>5</v>
      </c>
      <c r="AH28" s="399" t="s">
        <v>5</v>
      </c>
      <c r="AI28" s="399" t="s">
        <v>5</v>
      </c>
      <c r="AJ28" s="399" t="s">
        <v>5</v>
      </c>
      <c r="AK28" s="399" t="s">
        <v>5</v>
      </c>
      <c r="AL28" s="399" t="s">
        <v>5</v>
      </c>
      <c r="AM28" s="399" t="s">
        <v>5</v>
      </c>
      <c r="AN28" s="399" t="s">
        <v>5</v>
      </c>
      <c r="AO28" s="399" t="s">
        <v>5</v>
      </c>
      <c r="AP28" s="399" t="s">
        <v>5</v>
      </c>
      <c r="AQ28" s="399" t="s">
        <v>5</v>
      </c>
      <c r="AR28" s="399" t="s">
        <v>5</v>
      </c>
      <c r="AS28" s="399" t="s">
        <v>5</v>
      </c>
      <c r="AT28" s="399" t="s">
        <v>5</v>
      </c>
      <c r="AU28" s="399" t="s">
        <v>5</v>
      </c>
      <c r="AV28" s="399" t="s">
        <v>5</v>
      </c>
      <c r="AW28" s="399" t="s">
        <v>5</v>
      </c>
      <c r="AX28" s="399" t="s">
        <v>5</v>
      </c>
      <c r="AY28" s="399" t="s">
        <v>5</v>
      </c>
      <c r="AZ28" s="399" t="s">
        <v>5</v>
      </c>
      <c r="BA28" s="399">
        <v>19834.850297080407</v>
      </c>
      <c r="BB28" s="399" t="s">
        <v>5</v>
      </c>
      <c r="BC28" s="399" t="s">
        <v>5</v>
      </c>
      <c r="BD28" s="399" t="s">
        <v>5</v>
      </c>
      <c r="BE28" s="399" t="s">
        <v>5</v>
      </c>
      <c r="BF28" s="399" t="s">
        <v>5</v>
      </c>
      <c r="BG28" s="399" t="s">
        <v>5</v>
      </c>
      <c r="BH28" s="399" t="s">
        <v>5</v>
      </c>
      <c r="BI28" s="399" t="s">
        <v>5</v>
      </c>
      <c r="BJ28" s="399" t="s">
        <v>5</v>
      </c>
      <c r="BK28" s="399" t="s">
        <v>5</v>
      </c>
      <c r="BL28" s="399" t="s">
        <v>5</v>
      </c>
      <c r="BM28" s="399" t="s">
        <v>5</v>
      </c>
      <c r="BN28" s="399" t="s">
        <v>5</v>
      </c>
      <c r="BO28" s="399" t="s">
        <v>5</v>
      </c>
      <c r="BP28" s="399" t="s">
        <v>5</v>
      </c>
      <c r="BQ28" s="399" t="s">
        <v>5</v>
      </c>
      <c r="BR28" s="399" t="s">
        <v>5</v>
      </c>
      <c r="BS28" s="399" t="s">
        <v>5</v>
      </c>
      <c r="BT28" s="399" t="s">
        <v>5</v>
      </c>
    </row>
    <row r="29" spans="1:72" outlineLevel="1">
      <c r="A29" s="403"/>
      <c r="B29" s="403" t="s">
        <v>1000</v>
      </c>
      <c r="C29" s="403" t="s">
        <v>999</v>
      </c>
      <c r="D29" s="403">
        <v>3</v>
      </c>
      <c r="E29" s="403" t="s">
        <v>988</v>
      </c>
      <c r="F29" s="403" t="s">
        <v>1005</v>
      </c>
      <c r="G29" s="403" t="s">
        <v>1006</v>
      </c>
      <c r="H29" s="403"/>
      <c r="I29" s="403"/>
      <c r="J29" s="397" t="s">
        <v>5</v>
      </c>
      <c r="K29" s="397" t="s">
        <v>5</v>
      </c>
      <c r="L29" s="397" t="s">
        <v>5</v>
      </c>
      <c r="M29" s="397" t="s">
        <v>5</v>
      </c>
      <c r="N29" s="397" t="s">
        <v>5</v>
      </c>
      <c r="O29" s="397" t="s">
        <v>5</v>
      </c>
      <c r="P29" s="397" t="s">
        <v>5</v>
      </c>
      <c r="Q29" s="397" t="s">
        <v>5</v>
      </c>
      <c r="R29" s="397" t="s">
        <v>5</v>
      </c>
      <c r="S29" s="397" t="s">
        <v>5</v>
      </c>
      <c r="T29" s="397" t="s">
        <v>5</v>
      </c>
      <c r="U29" s="397" t="s">
        <v>5</v>
      </c>
      <c r="V29" s="397" t="s">
        <v>5</v>
      </c>
      <c r="W29" s="397" t="s">
        <v>5</v>
      </c>
      <c r="X29" s="397" t="s">
        <v>5</v>
      </c>
      <c r="Y29" s="397" t="s">
        <v>5</v>
      </c>
      <c r="Z29" s="397">
        <v>1171.9230000000002</v>
      </c>
      <c r="AA29" s="397">
        <v>2189.3674185563104</v>
      </c>
      <c r="AB29" s="397" t="s">
        <v>5</v>
      </c>
      <c r="AC29" s="397" t="s">
        <v>5</v>
      </c>
      <c r="AD29" s="397" t="s">
        <v>5</v>
      </c>
      <c r="AE29" s="397" t="s">
        <v>5</v>
      </c>
      <c r="AF29" s="397" t="s">
        <v>5</v>
      </c>
      <c r="AG29" s="397" t="s">
        <v>5</v>
      </c>
      <c r="AH29" s="397" t="s">
        <v>5</v>
      </c>
      <c r="AI29" s="397" t="s">
        <v>5</v>
      </c>
      <c r="AJ29" s="397" t="s">
        <v>5</v>
      </c>
      <c r="AK29" s="397" t="s">
        <v>5</v>
      </c>
      <c r="AL29" s="397" t="s">
        <v>5</v>
      </c>
      <c r="AM29" s="397" t="s">
        <v>5</v>
      </c>
      <c r="AN29" s="397" t="s">
        <v>5</v>
      </c>
      <c r="AO29" s="397" t="s">
        <v>5</v>
      </c>
      <c r="AP29" s="397" t="s">
        <v>5</v>
      </c>
      <c r="AQ29" s="397" t="s">
        <v>5</v>
      </c>
      <c r="AR29" s="397" t="s">
        <v>5</v>
      </c>
      <c r="AS29" s="397" t="s">
        <v>5</v>
      </c>
      <c r="AT29" s="397" t="s">
        <v>5</v>
      </c>
      <c r="AU29" s="397" t="s">
        <v>5</v>
      </c>
      <c r="AV29" s="397" t="s">
        <v>5</v>
      </c>
      <c r="AW29" s="397" t="s">
        <v>5</v>
      </c>
      <c r="AX29" s="397" t="s">
        <v>5</v>
      </c>
      <c r="AY29" s="397" t="s">
        <v>5</v>
      </c>
      <c r="AZ29" s="397" t="s">
        <v>5</v>
      </c>
      <c r="BA29" s="397">
        <v>3361.2904185563107</v>
      </c>
      <c r="BB29" s="397" t="s">
        <v>5</v>
      </c>
      <c r="BC29" s="397" t="s">
        <v>5</v>
      </c>
      <c r="BD29" s="397" t="s">
        <v>5</v>
      </c>
      <c r="BE29" s="397" t="s">
        <v>5</v>
      </c>
      <c r="BF29" s="397" t="s">
        <v>5</v>
      </c>
      <c r="BG29" s="397" t="s">
        <v>5</v>
      </c>
      <c r="BH29" s="397" t="s">
        <v>5</v>
      </c>
      <c r="BI29" s="397" t="s">
        <v>5</v>
      </c>
      <c r="BJ29" s="397" t="s">
        <v>5</v>
      </c>
      <c r="BK29" s="397" t="s">
        <v>5</v>
      </c>
      <c r="BL29" s="397" t="s">
        <v>5</v>
      </c>
      <c r="BM29" s="397" t="s">
        <v>5</v>
      </c>
      <c r="BN29" s="397" t="s">
        <v>5</v>
      </c>
      <c r="BO29" s="397" t="s">
        <v>5</v>
      </c>
      <c r="BP29" s="397" t="s">
        <v>5</v>
      </c>
      <c r="BQ29" s="397" t="s">
        <v>5</v>
      </c>
      <c r="BR29" s="397" t="s">
        <v>5</v>
      </c>
      <c r="BS29" s="397" t="s">
        <v>5</v>
      </c>
      <c r="BT29" s="397" t="s">
        <v>5</v>
      </c>
    </row>
    <row r="30" spans="1:72">
      <c r="A30" s="418">
        <v>7</v>
      </c>
      <c r="B30" s="418" t="s">
        <v>979</v>
      </c>
      <c r="C30" s="418"/>
      <c r="D30" s="418"/>
      <c r="E30" s="418" t="s">
        <v>1007</v>
      </c>
      <c r="F30" s="418"/>
      <c r="G30" s="418" t="s">
        <v>1008</v>
      </c>
      <c r="H30" s="418"/>
      <c r="I30" s="418"/>
      <c r="J30" s="419">
        <v>0</v>
      </c>
      <c r="K30" s="419">
        <v>0</v>
      </c>
      <c r="L30" s="419">
        <v>0</v>
      </c>
      <c r="M30" s="419">
        <v>0</v>
      </c>
      <c r="N30" s="419">
        <v>0</v>
      </c>
      <c r="O30" s="419">
        <v>0</v>
      </c>
      <c r="P30" s="419">
        <v>0</v>
      </c>
      <c r="Q30" s="419">
        <v>0</v>
      </c>
      <c r="R30" s="419">
        <v>0</v>
      </c>
      <c r="S30" s="419">
        <v>0</v>
      </c>
      <c r="T30" s="419">
        <v>0</v>
      </c>
      <c r="U30" s="419">
        <v>0</v>
      </c>
      <c r="V30" s="419">
        <v>0</v>
      </c>
      <c r="W30" s="419">
        <v>0</v>
      </c>
      <c r="X30" s="419">
        <v>0</v>
      </c>
      <c r="Y30" s="419">
        <v>0</v>
      </c>
      <c r="Z30" s="419">
        <v>33436.891425398935</v>
      </c>
      <c r="AA30" s="419">
        <v>1435.188985078903</v>
      </c>
      <c r="AB30" s="419">
        <v>0</v>
      </c>
      <c r="AC30" s="419">
        <v>0</v>
      </c>
      <c r="AD30" s="419">
        <v>0</v>
      </c>
      <c r="AE30" s="419">
        <v>0</v>
      </c>
      <c r="AF30" s="419">
        <v>0</v>
      </c>
      <c r="AG30" s="419">
        <v>0</v>
      </c>
      <c r="AH30" s="419">
        <v>0</v>
      </c>
      <c r="AI30" s="419">
        <v>0</v>
      </c>
      <c r="AJ30" s="419">
        <v>0</v>
      </c>
      <c r="AK30" s="419">
        <v>0</v>
      </c>
      <c r="AL30" s="419">
        <v>0</v>
      </c>
      <c r="AM30" s="419">
        <v>0</v>
      </c>
      <c r="AN30" s="419">
        <v>0</v>
      </c>
      <c r="AO30" s="419">
        <v>0</v>
      </c>
      <c r="AP30" s="419">
        <v>0</v>
      </c>
      <c r="AQ30" s="419">
        <v>0</v>
      </c>
      <c r="AR30" s="419">
        <v>0</v>
      </c>
      <c r="AS30" s="419">
        <v>0</v>
      </c>
      <c r="AT30" s="419">
        <v>0</v>
      </c>
      <c r="AU30" s="419">
        <v>0</v>
      </c>
      <c r="AV30" s="419">
        <v>0</v>
      </c>
      <c r="AW30" s="419">
        <v>0</v>
      </c>
      <c r="AX30" s="419">
        <v>0</v>
      </c>
      <c r="AY30" s="419">
        <v>0</v>
      </c>
      <c r="AZ30" s="419">
        <v>0</v>
      </c>
      <c r="BA30" s="419">
        <v>34872.080410477836</v>
      </c>
      <c r="BB30" s="419">
        <v>0</v>
      </c>
      <c r="BC30" s="419">
        <v>0</v>
      </c>
      <c r="BD30" s="419">
        <v>0</v>
      </c>
      <c r="BE30" s="419">
        <v>0</v>
      </c>
      <c r="BF30" s="419">
        <v>0</v>
      </c>
      <c r="BG30" s="419">
        <v>0</v>
      </c>
      <c r="BH30" s="419">
        <v>0</v>
      </c>
      <c r="BI30" s="419">
        <v>0</v>
      </c>
      <c r="BJ30" s="419">
        <v>0</v>
      </c>
      <c r="BK30" s="419">
        <v>0</v>
      </c>
      <c r="BL30" s="419">
        <v>0</v>
      </c>
      <c r="BM30" s="419">
        <v>0</v>
      </c>
      <c r="BN30" s="419">
        <v>0</v>
      </c>
      <c r="BO30" s="419">
        <v>0</v>
      </c>
      <c r="BP30" s="419">
        <v>0</v>
      </c>
      <c r="BQ30" s="419">
        <v>0</v>
      </c>
      <c r="BR30" s="419">
        <v>0</v>
      </c>
      <c r="BS30" s="419">
        <v>0</v>
      </c>
      <c r="BT30" s="419">
        <v>0</v>
      </c>
    </row>
    <row r="31" spans="1:72" outlineLevel="1">
      <c r="A31" s="402"/>
      <c r="B31" s="402" t="s">
        <v>1008</v>
      </c>
      <c r="C31" s="402" t="s">
        <v>1007</v>
      </c>
      <c r="D31" s="402">
        <v>1</v>
      </c>
      <c r="E31" s="402" t="s">
        <v>982</v>
      </c>
      <c r="F31" s="402" t="s">
        <v>1009</v>
      </c>
      <c r="G31" s="402" t="s">
        <v>1010</v>
      </c>
      <c r="H31" s="402"/>
      <c r="I31" s="402"/>
      <c r="J31" s="396" t="s">
        <v>5</v>
      </c>
      <c r="K31" s="396" t="s">
        <v>5</v>
      </c>
      <c r="L31" s="396" t="s">
        <v>5</v>
      </c>
      <c r="M31" s="396" t="s">
        <v>5</v>
      </c>
      <c r="N31" s="396" t="s">
        <v>5</v>
      </c>
      <c r="O31" s="396" t="s">
        <v>5</v>
      </c>
      <c r="P31" s="396" t="s">
        <v>5</v>
      </c>
      <c r="Q31" s="396" t="s">
        <v>5</v>
      </c>
      <c r="R31" s="396" t="s">
        <v>5</v>
      </c>
      <c r="S31" s="396" t="s">
        <v>5</v>
      </c>
      <c r="T31" s="396" t="s">
        <v>5</v>
      </c>
      <c r="U31" s="396" t="s">
        <v>5</v>
      </c>
      <c r="V31" s="396" t="s">
        <v>5</v>
      </c>
      <c r="W31" s="396" t="s">
        <v>5</v>
      </c>
      <c r="X31" s="396" t="s">
        <v>5</v>
      </c>
      <c r="Y31" s="396" t="s">
        <v>5</v>
      </c>
      <c r="Z31" s="396">
        <v>10756.763115267477</v>
      </c>
      <c r="AA31" s="396" t="s">
        <v>5</v>
      </c>
      <c r="AB31" s="396" t="s">
        <v>5</v>
      </c>
      <c r="AC31" s="396" t="s">
        <v>5</v>
      </c>
      <c r="AD31" s="396" t="s">
        <v>5</v>
      </c>
      <c r="AE31" s="396" t="s">
        <v>5</v>
      </c>
      <c r="AF31" s="396" t="s">
        <v>5</v>
      </c>
      <c r="AG31" s="396" t="s">
        <v>5</v>
      </c>
      <c r="AH31" s="396" t="s">
        <v>5</v>
      </c>
      <c r="AI31" s="396" t="s">
        <v>5</v>
      </c>
      <c r="AJ31" s="396" t="s">
        <v>5</v>
      </c>
      <c r="AK31" s="396" t="s">
        <v>5</v>
      </c>
      <c r="AL31" s="396" t="s">
        <v>5</v>
      </c>
      <c r="AM31" s="396" t="s">
        <v>5</v>
      </c>
      <c r="AN31" s="396" t="s">
        <v>5</v>
      </c>
      <c r="AO31" s="396" t="s">
        <v>5</v>
      </c>
      <c r="AP31" s="396" t="s">
        <v>5</v>
      </c>
      <c r="AQ31" s="396" t="s">
        <v>5</v>
      </c>
      <c r="AR31" s="396" t="s">
        <v>5</v>
      </c>
      <c r="AS31" s="396" t="s">
        <v>5</v>
      </c>
      <c r="AT31" s="396" t="s">
        <v>5</v>
      </c>
      <c r="AU31" s="396" t="s">
        <v>5</v>
      </c>
      <c r="AV31" s="396" t="s">
        <v>5</v>
      </c>
      <c r="AW31" s="396" t="s">
        <v>5</v>
      </c>
      <c r="AX31" s="396" t="s">
        <v>5</v>
      </c>
      <c r="AY31" s="396" t="s">
        <v>5</v>
      </c>
      <c r="AZ31" s="396" t="s">
        <v>5</v>
      </c>
      <c r="BA31" s="396">
        <v>10756.763115267477</v>
      </c>
      <c r="BB31" s="396" t="s">
        <v>5</v>
      </c>
      <c r="BC31" s="396" t="s">
        <v>5</v>
      </c>
      <c r="BD31" s="396" t="s">
        <v>5</v>
      </c>
      <c r="BE31" s="396" t="s">
        <v>5</v>
      </c>
      <c r="BF31" s="396" t="s">
        <v>5</v>
      </c>
      <c r="BG31" s="396" t="s">
        <v>5</v>
      </c>
      <c r="BH31" s="396" t="s">
        <v>5</v>
      </c>
      <c r="BI31" s="396" t="s">
        <v>5</v>
      </c>
      <c r="BJ31" s="396" t="s">
        <v>5</v>
      </c>
      <c r="BK31" s="396" t="s">
        <v>5</v>
      </c>
      <c r="BL31" s="396" t="s">
        <v>5</v>
      </c>
      <c r="BM31" s="396" t="s">
        <v>5</v>
      </c>
      <c r="BN31" s="396" t="s">
        <v>5</v>
      </c>
      <c r="BO31" s="396" t="s">
        <v>5</v>
      </c>
      <c r="BP31" s="396" t="s">
        <v>5</v>
      </c>
      <c r="BQ31" s="396" t="s">
        <v>5</v>
      </c>
      <c r="BR31" s="396" t="s">
        <v>5</v>
      </c>
      <c r="BS31" s="396" t="s">
        <v>5</v>
      </c>
      <c r="BT31" s="396" t="s">
        <v>5</v>
      </c>
    </row>
    <row r="32" spans="1:72" outlineLevel="1">
      <c r="A32" s="398"/>
      <c r="B32" s="398" t="s">
        <v>1008</v>
      </c>
      <c r="C32" s="398" t="s">
        <v>1007</v>
      </c>
      <c r="D32" s="398">
        <v>2</v>
      </c>
      <c r="E32" s="398" t="s">
        <v>985</v>
      </c>
      <c r="F32" s="398" t="s">
        <v>1011</v>
      </c>
      <c r="G32" s="398" t="s">
        <v>1012</v>
      </c>
      <c r="H32" s="398"/>
      <c r="I32" s="398"/>
      <c r="J32" s="399" t="s">
        <v>5</v>
      </c>
      <c r="K32" s="399" t="s">
        <v>5</v>
      </c>
      <c r="L32" s="399" t="s">
        <v>5</v>
      </c>
      <c r="M32" s="399" t="s">
        <v>5</v>
      </c>
      <c r="N32" s="399" t="s">
        <v>5</v>
      </c>
      <c r="O32" s="399" t="s">
        <v>5</v>
      </c>
      <c r="P32" s="399" t="s">
        <v>5</v>
      </c>
      <c r="Q32" s="399" t="s">
        <v>5</v>
      </c>
      <c r="R32" s="399" t="s">
        <v>5</v>
      </c>
      <c r="S32" s="399" t="s">
        <v>5</v>
      </c>
      <c r="T32" s="399" t="s">
        <v>5</v>
      </c>
      <c r="U32" s="399" t="s">
        <v>5</v>
      </c>
      <c r="V32" s="399" t="s">
        <v>5</v>
      </c>
      <c r="W32" s="399" t="s">
        <v>5</v>
      </c>
      <c r="X32" s="399" t="s">
        <v>5</v>
      </c>
      <c r="Y32" s="399" t="s">
        <v>5</v>
      </c>
      <c r="Z32" s="399">
        <v>22330.670310131456</v>
      </c>
      <c r="AA32" s="399" t="s">
        <v>5</v>
      </c>
      <c r="AB32" s="399" t="s">
        <v>5</v>
      </c>
      <c r="AC32" s="399" t="s">
        <v>5</v>
      </c>
      <c r="AD32" s="399" t="s">
        <v>5</v>
      </c>
      <c r="AE32" s="399" t="s">
        <v>5</v>
      </c>
      <c r="AF32" s="399" t="s">
        <v>5</v>
      </c>
      <c r="AG32" s="399" t="s">
        <v>5</v>
      </c>
      <c r="AH32" s="399" t="s">
        <v>5</v>
      </c>
      <c r="AI32" s="399" t="s">
        <v>5</v>
      </c>
      <c r="AJ32" s="399" t="s">
        <v>5</v>
      </c>
      <c r="AK32" s="399" t="s">
        <v>5</v>
      </c>
      <c r="AL32" s="399" t="s">
        <v>5</v>
      </c>
      <c r="AM32" s="399" t="s">
        <v>5</v>
      </c>
      <c r="AN32" s="399" t="s">
        <v>5</v>
      </c>
      <c r="AO32" s="399" t="s">
        <v>5</v>
      </c>
      <c r="AP32" s="399" t="s">
        <v>5</v>
      </c>
      <c r="AQ32" s="399" t="s">
        <v>5</v>
      </c>
      <c r="AR32" s="399" t="s">
        <v>5</v>
      </c>
      <c r="AS32" s="399" t="s">
        <v>5</v>
      </c>
      <c r="AT32" s="399" t="s">
        <v>5</v>
      </c>
      <c r="AU32" s="399" t="s">
        <v>5</v>
      </c>
      <c r="AV32" s="399" t="s">
        <v>5</v>
      </c>
      <c r="AW32" s="399" t="s">
        <v>5</v>
      </c>
      <c r="AX32" s="399" t="s">
        <v>5</v>
      </c>
      <c r="AY32" s="399" t="s">
        <v>5</v>
      </c>
      <c r="AZ32" s="399" t="s">
        <v>5</v>
      </c>
      <c r="BA32" s="399">
        <v>22330.670310131456</v>
      </c>
      <c r="BB32" s="399" t="s">
        <v>5</v>
      </c>
      <c r="BC32" s="399" t="s">
        <v>5</v>
      </c>
      <c r="BD32" s="399" t="s">
        <v>5</v>
      </c>
      <c r="BE32" s="399" t="s">
        <v>5</v>
      </c>
      <c r="BF32" s="399" t="s">
        <v>5</v>
      </c>
      <c r="BG32" s="399" t="s">
        <v>5</v>
      </c>
      <c r="BH32" s="399" t="s">
        <v>5</v>
      </c>
      <c r="BI32" s="399" t="s">
        <v>5</v>
      </c>
      <c r="BJ32" s="399" t="s">
        <v>5</v>
      </c>
      <c r="BK32" s="399" t="s">
        <v>5</v>
      </c>
      <c r="BL32" s="399" t="s">
        <v>5</v>
      </c>
      <c r="BM32" s="399" t="s">
        <v>5</v>
      </c>
      <c r="BN32" s="399" t="s">
        <v>5</v>
      </c>
      <c r="BO32" s="399" t="s">
        <v>5</v>
      </c>
      <c r="BP32" s="399" t="s">
        <v>5</v>
      </c>
      <c r="BQ32" s="399" t="s">
        <v>5</v>
      </c>
      <c r="BR32" s="399" t="s">
        <v>5</v>
      </c>
      <c r="BS32" s="399" t="s">
        <v>5</v>
      </c>
      <c r="BT32" s="399" t="s">
        <v>5</v>
      </c>
    </row>
    <row r="33" spans="1:72" outlineLevel="1">
      <c r="A33" s="403"/>
      <c r="B33" s="403" t="s">
        <v>1008</v>
      </c>
      <c r="C33" s="403" t="s">
        <v>1007</v>
      </c>
      <c r="D33" s="403">
        <v>3</v>
      </c>
      <c r="E33" s="403" t="s">
        <v>988</v>
      </c>
      <c r="F33" s="403" t="s">
        <v>1013</v>
      </c>
      <c r="G33" s="403" t="s">
        <v>1014</v>
      </c>
      <c r="H33" s="403"/>
      <c r="I33" s="403"/>
      <c r="J33" s="397" t="s">
        <v>5</v>
      </c>
      <c r="K33" s="397" t="s">
        <v>5</v>
      </c>
      <c r="L33" s="397" t="s">
        <v>5</v>
      </c>
      <c r="M33" s="397" t="s">
        <v>5</v>
      </c>
      <c r="N33" s="397" t="s">
        <v>5</v>
      </c>
      <c r="O33" s="397" t="s">
        <v>5</v>
      </c>
      <c r="P33" s="397" t="s">
        <v>5</v>
      </c>
      <c r="Q33" s="397" t="s">
        <v>5</v>
      </c>
      <c r="R33" s="397" t="s">
        <v>5</v>
      </c>
      <c r="S33" s="397" t="s">
        <v>5</v>
      </c>
      <c r="T33" s="397" t="s">
        <v>5</v>
      </c>
      <c r="U33" s="397" t="s">
        <v>5</v>
      </c>
      <c r="V33" s="397" t="s">
        <v>5</v>
      </c>
      <c r="W33" s="397" t="s">
        <v>5</v>
      </c>
      <c r="X33" s="397" t="s">
        <v>5</v>
      </c>
      <c r="Y33" s="397" t="s">
        <v>5</v>
      </c>
      <c r="Z33" s="397">
        <v>349.45800000000008</v>
      </c>
      <c r="AA33" s="397">
        <v>1435.188985078903</v>
      </c>
      <c r="AB33" s="397" t="s">
        <v>5</v>
      </c>
      <c r="AC33" s="397" t="s">
        <v>5</v>
      </c>
      <c r="AD33" s="397" t="s">
        <v>5</v>
      </c>
      <c r="AE33" s="397" t="s">
        <v>5</v>
      </c>
      <c r="AF33" s="397" t="s">
        <v>5</v>
      </c>
      <c r="AG33" s="397" t="s">
        <v>5</v>
      </c>
      <c r="AH33" s="397" t="s">
        <v>5</v>
      </c>
      <c r="AI33" s="397" t="s">
        <v>5</v>
      </c>
      <c r="AJ33" s="397" t="s">
        <v>5</v>
      </c>
      <c r="AK33" s="397" t="s">
        <v>5</v>
      </c>
      <c r="AL33" s="397" t="s">
        <v>5</v>
      </c>
      <c r="AM33" s="397" t="s">
        <v>5</v>
      </c>
      <c r="AN33" s="397" t="s">
        <v>5</v>
      </c>
      <c r="AO33" s="397" t="s">
        <v>5</v>
      </c>
      <c r="AP33" s="397" t="s">
        <v>5</v>
      </c>
      <c r="AQ33" s="397" t="s">
        <v>5</v>
      </c>
      <c r="AR33" s="397" t="s">
        <v>5</v>
      </c>
      <c r="AS33" s="397" t="s">
        <v>5</v>
      </c>
      <c r="AT33" s="397" t="s">
        <v>5</v>
      </c>
      <c r="AU33" s="397" t="s">
        <v>5</v>
      </c>
      <c r="AV33" s="397" t="s">
        <v>5</v>
      </c>
      <c r="AW33" s="397" t="s">
        <v>5</v>
      </c>
      <c r="AX33" s="397" t="s">
        <v>5</v>
      </c>
      <c r="AY33" s="397" t="s">
        <v>5</v>
      </c>
      <c r="AZ33" s="397" t="s">
        <v>5</v>
      </c>
      <c r="BA33" s="397">
        <v>1784.6469850789031</v>
      </c>
      <c r="BB33" s="397" t="s">
        <v>5</v>
      </c>
      <c r="BC33" s="397" t="s">
        <v>5</v>
      </c>
      <c r="BD33" s="397" t="s">
        <v>5</v>
      </c>
      <c r="BE33" s="397" t="s">
        <v>5</v>
      </c>
      <c r="BF33" s="397" t="s">
        <v>5</v>
      </c>
      <c r="BG33" s="397" t="s">
        <v>5</v>
      </c>
      <c r="BH33" s="397" t="s">
        <v>5</v>
      </c>
      <c r="BI33" s="397" t="s">
        <v>5</v>
      </c>
      <c r="BJ33" s="397" t="s">
        <v>5</v>
      </c>
      <c r="BK33" s="397" t="s">
        <v>5</v>
      </c>
      <c r="BL33" s="397" t="s">
        <v>5</v>
      </c>
      <c r="BM33" s="397" t="s">
        <v>5</v>
      </c>
      <c r="BN33" s="397" t="s">
        <v>5</v>
      </c>
      <c r="BO33" s="397" t="s">
        <v>5</v>
      </c>
      <c r="BP33" s="397" t="s">
        <v>5</v>
      </c>
      <c r="BQ33" s="397" t="s">
        <v>5</v>
      </c>
      <c r="BR33" s="397" t="s">
        <v>5</v>
      </c>
      <c r="BS33" s="397" t="s">
        <v>5</v>
      </c>
      <c r="BT33" s="397" t="s">
        <v>5</v>
      </c>
    </row>
    <row r="34" spans="1:72">
      <c r="A34" s="418">
        <v>8</v>
      </c>
      <c r="B34" s="418" t="s">
        <v>1015</v>
      </c>
      <c r="C34" s="418"/>
      <c r="D34" s="418"/>
      <c r="E34" s="418" t="s">
        <v>1016</v>
      </c>
      <c r="F34" s="418"/>
      <c r="G34" s="418" t="s">
        <v>1017</v>
      </c>
      <c r="H34" s="418"/>
      <c r="I34" s="418"/>
      <c r="J34" s="419">
        <v>0</v>
      </c>
      <c r="K34" s="419">
        <v>0</v>
      </c>
      <c r="L34" s="419">
        <v>0</v>
      </c>
      <c r="M34" s="419">
        <v>0</v>
      </c>
      <c r="N34" s="419">
        <v>0</v>
      </c>
      <c r="O34" s="419">
        <v>0</v>
      </c>
      <c r="P34" s="419">
        <v>0</v>
      </c>
      <c r="Q34" s="419">
        <v>0</v>
      </c>
      <c r="R34" s="419">
        <v>0</v>
      </c>
      <c r="S34" s="419">
        <v>0</v>
      </c>
      <c r="T34" s="419">
        <v>0</v>
      </c>
      <c r="U34" s="419">
        <v>0</v>
      </c>
      <c r="V34" s="419">
        <v>0</v>
      </c>
      <c r="W34" s="419">
        <v>55.873947856070089</v>
      </c>
      <c r="X34" s="419">
        <v>1376.3610000000001</v>
      </c>
      <c r="Y34" s="419">
        <v>36509.907396050003</v>
      </c>
      <c r="Z34" s="419">
        <v>0</v>
      </c>
      <c r="AA34" s="419">
        <v>0</v>
      </c>
      <c r="AB34" s="419">
        <v>0</v>
      </c>
      <c r="AC34" s="419">
        <v>0</v>
      </c>
      <c r="AD34" s="419">
        <v>0</v>
      </c>
      <c r="AE34" s="419">
        <v>0</v>
      </c>
      <c r="AF34" s="419">
        <v>0</v>
      </c>
      <c r="AG34" s="419">
        <v>0</v>
      </c>
      <c r="AH34" s="419">
        <v>964.62094785607007</v>
      </c>
      <c r="AI34" s="419">
        <v>0</v>
      </c>
      <c r="AJ34" s="419">
        <v>0</v>
      </c>
      <c r="AK34" s="419">
        <v>0</v>
      </c>
      <c r="AL34" s="419">
        <v>0</v>
      </c>
      <c r="AM34" s="419">
        <v>0</v>
      </c>
      <c r="AN34" s="419">
        <v>0</v>
      </c>
      <c r="AO34" s="419">
        <v>0</v>
      </c>
      <c r="AP34" s="419">
        <v>0</v>
      </c>
      <c r="AQ34" s="419">
        <v>0</v>
      </c>
      <c r="AR34" s="419">
        <v>0</v>
      </c>
      <c r="AS34" s="419">
        <v>0</v>
      </c>
      <c r="AT34" s="419">
        <v>0</v>
      </c>
      <c r="AU34" s="419">
        <v>0</v>
      </c>
      <c r="AV34" s="419">
        <v>120.66800000000001</v>
      </c>
      <c r="AW34" s="419">
        <v>0</v>
      </c>
      <c r="AX34" s="419">
        <v>0</v>
      </c>
      <c r="AY34" s="419">
        <v>0</v>
      </c>
      <c r="AZ34" s="419">
        <v>0</v>
      </c>
      <c r="BA34" s="419">
        <v>0</v>
      </c>
      <c r="BB34" s="419">
        <v>0</v>
      </c>
      <c r="BC34" s="419">
        <v>0</v>
      </c>
      <c r="BD34" s="419">
        <v>0</v>
      </c>
      <c r="BE34" s="419">
        <v>35446.512035</v>
      </c>
      <c r="BF34" s="419">
        <v>0</v>
      </c>
      <c r="BG34" s="419">
        <v>0</v>
      </c>
      <c r="BH34" s="419">
        <v>0</v>
      </c>
      <c r="BI34" s="419">
        <v>0</v>
      </c>
      <c r="BJ34" s="419">
        <v>0</v>
      </c>
      <c r="BK34" s="419">
        <v>0</v>
      </c>
      <c r="BL34" s="419">
        <v>0</v>
      </c>
      <c r="BM34" s="419">
        <v>132.93099999999998</v>
      </c>
      <c r="BN34" s="419">
        <v>1243.4299999999998</v>
      </c>
      <c r="BO34" s="419">
        <v>0</v>
      </c>
      <c r="BP34" s="419">
        <v>0</v>
      </c>
      <c r="BQ34" s="419">
        <v>0</v>
      </c>
      <c r="BR34" s="419">
        <v>0</v>
      </c>
      <c r="BS34" s="419">
        <v>0</v>
      </c>
      <c r="BT34" s="419">
        <v>0</v>
      </c>
    </row>
    <row r="35" spans="1:72" outlineLevel="1">
      <c r="A35" s="402"/>
      <c r="B35" s="402" t="s">
        <v>1017</v>
      </c>
      <c r="C35" s="402" t="s">
        <v>1016</v>
      </c>
      <c r="D35" s="402">
        <v>1</v>
      </c>
      <c r="E35" s="402" t="s">
        <v>1018</v>
      </c>
      <c r="F35" s="402" t="s">
        <v>104</v>
      </c>
      <c r="G35" s="402" t="s">
        <v>1019</v>
      </c>
      <c r="H35" s="402"/>
      <c r="I35" s="402"/>
      <c r="J35" s="396" t="s">
        <v>5</v>
      </c>
      <c r="K35" s="396" t="s">
        <v>5</v>
      </c>
      <c r="L35" s="396" t="s">
        <v>5</v>
      </c>
      <c r="M35" s="396" t="s">
        <v>5</v>
      </c>
      <c r="N35" s="396" t="s">
        <v>5</v>
      </c>
      <c r="O35" s="396" t="s">
        <v>5</v>
      </c>
      <c r="P35" s="396" t="s">
        <v>5</v>
      </c>
      <c r="Q35" s="396" t="s">
        <v>5</v>
      </c>
      <c r="R35" s="396" t="s">
        <v>5</v>
      </c>
      <c r="S35" s="396" t="s">
        <v>5</v>
      </c>
      <c r="T35" s="396" t="s">
        <v>5</v>
      </c>
      <c r="U35" s="396" t="s">
        <v>5</v>
      </c>
      <c r="V35" s="396" t="s">
        <v>5</v>
      </c>
      <c r="W35" s="396">
        <v>8.5034425712435748</v>
      </c>
      <c r="X35" s="396">
        <v>305.63799999999998</v>
      </c>
      <c r="Y35" s="396">
        <v>9447.3615967499991</v>
      </c>
      <c r="Z35" s="396" t="s">
        <v>5</v>
      </c>
      <c r="AA35" s="396" t="s">
        <v>5</v>
      </c>
      <c r="AB35" s="396" t="s">
        <v>5</v>
      </c>
      <c r="AC35" s="396" t="s">
        <v>5</v>
      </c>
      <c r="AD35" s="396" t="s">
        <v>5</v>
      </c>
      <c r="AE35" s="396" t="s">
        <v>5</v>
      </c>
      <c r="AF35" s="396" t="s">
        <v>5</v>
      </c>
      <c r="AG35" s="396" t="s">
        <v>5</v>
      </c>
      <c r="AH35" s="396">
        <v>211.75144257124353</v>
      </c>
      <c r="AI35" s="396" t="s">
        <v>5</v>
      </c>
      <c r="AJ35" s="396" t="s">
        <v>5</v>
      </c>
      <c r="AK35" s="396" t="s">
        <v>5</v>
      </c>
      <c r="AL35" s="396" t="s">
        <v>5</v>
      </c>
      <c r="AM35" s="396" t="s">
        <v>5</v>
      </c>
      <c r="AN35" s="396" t="s">
        <v>5</v>
      </c>
      <c r="AO35" s="396" t="s">
        <v>5</v>
      </c>
      <c r="AP35" s="396" t="s">
        <v>5</v>
      </c>
      <c r="AQ35" s="396" t="s">
        <v>5</v>
      </c>
      <c r="AR35" s="396" t="s">
        <v>5</v>
      </c>
      <c r="AS35" s="396" t="s">
        <v>5</v>
      </c>
      <c r="AT35" s="396" t="s">
        <v>5</v>
      </c>
      <c r="AU35" s="396" t="s">
        <v>5</v>
      </c>
      <c r="AV35" s="396">
        <v>120.66800000000001</v>
      </c>
      <c r="AW35" s="396" t="s">
        <v>5</v>
      </c>
      <c r="AX35" s="396" t="s">
        <v>5</v>
      </c>
      <c r="AY35" s="396" t="s">
        <v>5</v>
      </c>
      <c r="AZ35" s="396" t="s">
        <v>5</v>
      </c>
      <c r="BA35" s="396" t="s">
        <v>5</v>
      </c>
      <c r="BB35" s="396" t="s">
        <v>5</v>
      </c>
      <c r="BC35" s="396" t="s">
        <v>5</v>
      </c>
      <c r="BD35" s="396" t="s">
        <v>5</v>
      </c>
      <c r="BE35" s="396">
        <v>9172.1957249999996</v>
      </c>
      <c r="BF35" s="396" t="s">
        <v>5</v>
      </c>
      <c r="BG35" s="396" t="s">
        <v>5</v>
      </c>
      <c r="BH35" s="396" t="s">
        <v>5</v>
      </c>
      <c r="BI35" s="396" t="s">
        <v>5</v>
      </c>
      <c r="BJ35" s="396" t="s">
        <v>5</v>
      </c>
      <c r="BK35" s="396" t="s">
        <v>5</v>
      </c>
      <c r="BL35" s="396" t="s">
        <v>5</v>
      </c>
      <c r="BM35" s="396">
        <v>59.2</v>
      </c>
      <c r="BN35" s="396">
        <v>246.43799999999999</v>
      </c>
      <c r="BO35" s="396" t="s">
        <v>5</v>
      </c>
      <c r="BP35" s="396" t="s">
        <v>5</v>
      </c>
      <c r="BQ35" s="396" t="s">
        <v>5</v>
      </c>
      <c r="BR35" s="396" t="s">
        <v>5</v>
      </c>
      <c r="BS35" s="396" t="s">
        <v>5</v>
      </c>
      <c r="BT35" s="396" t="s">
        <v>5</v>
      </c>
    </row>
    <row r="36" spans="1:72" outlineLevel="1">
      <c r="A36" s="403"/>
      <c r="B36" s="403" t="s">
        <v>1017</v>
      </c>
      <c r="C36" s="403" t="s">
        <v>1016</v>
      </c>
      <c r="D36" s="403">
        <v>2</v>
      </c>
      <c r="E36" s="403" t="s">
        <v>1020</v>
      </c>
      <c r="F36" s="403" t="s">
        <v>120</v>
      </c>
      <c r="G36" s="403" t="s">
        <v>1021</v>
      </c>
      <c r="H36" s="403"/>
      <c r="I36" s="403"/>
      <c r="J36" s="397" t="s">
        <v>5</v>
      </c>
      <c r="K36" s="397" t="s">
        <v>5</v>
      </c>
      <c r="L36" s="397" t="s">
        <v>5</v>
      </c>
      <c r="M36" s="397" t="s">
        <v>5</v>
      </c>
      <c r="N36" s="397" t="s">
        <v>5</v>
      </c>
      <c r="O36" s="397" t="s">
        <v>5</v>
      </c>
      <c r="P36" s="397" t="s">
        <v>5</v>
      </c>
      <c r="Q36" s="397" t="s">
        <v>5</v>
      </c>
      <c r="R36" s="397" t="s">
        <v>5</v>
      </c>
      <c r="S36" s="397" t="s">
        <v>5</v>
      </c>
      <c r="T36" s="397" t="s">
        <v>5</v>
      </c>
      <c r="U36" s="397" t="s">
        <v>5</v>
      </c>
      <c r="V36" s="397" t="s">
        <v>5</v>
      </c>
      <c r="W36" s="397">
        <v>47.370505284826514</v>
      </c>
      <c r="X36" s="397">
        <v>1070.7230000000002</v>
      </c>
      <c r="Y36" s="397">
        <v>27062.545799300002</v>
      </c>
      <c r="Z36" s="397" t="s">
        <v>5</v>
      </c>
      <c r="AA36" s="397" t="s">
        <v>5</v>
      </c>
      <c r="AB36" s="397" t="s">
        <v>5</v>
      </c>
      <c r="AC36" s="397" t="s">
        <v>5</v>
      </c>
      <c r="AD36" s="397" t="s">
        <v>5</v>
      </c>
      <c r="AE36" s="397" t="s">
        <v>5</v>
      </c>
      <c r="AF36" s="397" t="s">
        <v>5</v>
      </c>
      <c r="AG36" s="397" t="s">
        <v>5</v>
      </c>
      <c r="AH36" s="397">
        <v>752.86950528482657</v>
      </c>
      <c r="AI36" s="397" t="s">
        <v>5</v>
      </c>
      <c r="AJ36" s="397" t="s">
        <v>5</v>
      </c>
      <c r="AK36" s="397" t="s">
        <v>5</v>
      </c>
      <c r="AL36" s="397" t="s">
        <v>5</v>
      </c>
      <c r="AM36" s="397" t="s">
        <v>5</v>
      </c>
      <c r="AN36" s="397" t="s">
        <v>5</v>
      </c>
      <c r="AO36" s="397" t="s">
        <v>5</v>
      </c>
      <c r="AP36" s="397" t="s">
        <v>5</v>
      </c>
      <c r="AQ36" s="397" t="s">
        <v>5</v>
      </c>
      <c r="AR36" s="397" t="s">
        <v>5</v>
      </c>
      <c r="AS36" s="397" t="s">
        <v>5</v>
      </c>
      <c r="AT36" s="397" t="s">
        <v>5</v>
      </c>
      <c r="AU36" s="397" t="s">
        <v>5</v>
      </c>
      <c r="AV36" s="397" t="s">
        <v>5</v>
      </c>
      <c r="AW36" s="397" t="s">
        <v>5</v>
      </c>
      <c r="AX36" s="397" t="s">
        <v>5</v>
      </c>
      <c r="AY36" s="397" t="s">
        <v>5</v>
      </c>
      <c r="AZ36" s="397" t="s">
        <v>5</v>
      </c>
      <c r="BA36" s="397" t="s">
        <v>5</v>
      </c>
      <c r="BB36" s="397" t="s">
        <v>5</v>
      </c>
      <c r="BC36" s="397" t="s">
        <v>5</v>
      </c>
      <c r="BD36" s="397" t="s">
        <v>5</v>
      </c>
      <c r="BE36" s="397">
        <v>26274.316310000002</v>
      </c>
      <c r="BF36" s="397" t="s">
        <v>5</v>
      </c>
      <c r="BG36" s="397" t="s">
        <v>5</v>
      </c>
      <c r="BH36" s="397" t="s">
        <v>5</v>
      </c>
      <c r="BI36" s="397" t="s">
        <v>5</v>
      </c>
      <c r="BJ36" s="397" t="s">
        <v>5</v>
      </c>
      <c r="BK36" s="397" t="s">
        <v>5</v>
      </c>
      <c r="BL36" s="397" t="s">
        <v>5</v>
      </c>
      <c r="BM36" s="397">
        <v>73.730999999999995</v>
      </c>
      <c r="BN36" s="397">
        <v>996.99199999999996</v>
      </c>
      <c r="BO36" s="397" t="s">
        <v>5</v>
      </c>
      <c r="BP36" s="397" t="s">
        <v>5</v>
      </c>
      <c r="BQ36" s="397" t="s">
        <v>5</v>
      </c>
      <c r="BR36" s="397" t="s">
        <v>5</v>
      </c>
      <c r="BS36" s="397" t="s">
        <v>5</v>
      </c>
      <c r="BT36" s="397" t="s">
        <v>5</v>
      </c>
    </row>
    <row r="37" spans="1:72">
      <c r="A37" s="418">
        <v>9</v>
      </c>
      <c r="B37" s="418" t="s">
        <v>1015</v>
      </c>
      <c r="C37" s="418"/>
      <c r="D37" s="418"/>
      <c r="E37" s="418" t="s">
        <v>1022</v>
      </c>
      <c r="F37" s="418"/>
      <c r="G37" s="418" t="s">
        <v>1023</v>
      </c>
      <c r="H37" s="418"/>
      <c r="I37" s="418"/>
      <c r="J37" s="419">
        <v>0</v>
      </c>
      <c r="K37" s="419">
        <v>0</v>
      </c>
      <c r="L37" s="419">
        <v>0</v>
      </c>
      <c r="M37" s="419">
        <v>0</v>
      </c>
      <c r="N37" s="419">
        <v>0</v>
      </c>
      <c r="O37" s="419">
        <v>0</v>
      </c>
      <c r="P37" s="419">
        <v>0</v>
      </c>
      <c r="Q37" s="419">
        <v>0</v>
      </c>
      <c r="R37" s="419">
        <v>0</v>
      </c>
      <c r="S37" s="419">
        <v>0</v>
      </c>
      <c r="T37" s="419">
        <v>0</v>
      </c>
      <c r="U37" s="419">
        <v>0</v>
      </c>
      <c r="V37" s="419">
        <v>0</v>
      </c>
      <c r="W37" s="419">
        <v>264.65300000000002</v>
      </c>
      <c r="X37" s="419">
        <v>326.053</v>
      </c>
      <c r="Y37" s="419">
        <v>165454.3380190325</v>
      </c>
      <c r="Z37" s="419">
        <v>0</v>
      </c>
      <c r="AA37" s="419">
        <v>0</v>
      </c>
      <c r="AB37" s="419">
        <v>0</v>
      </c>
      <c r="AC37" s="419">
        <v>0</v>
      </c>
      <c r="AD37" s="419">
        <v>0</v>
      </c>
      <c r="AE37" s="419">
        <v>0</v>
      </c>
      <c r="AF37" s="419">
        <v>0</v>
      </c>
      <c r="AG37" s="419">
        <v>0</v>
      </c>
      <c r="AH37" s="419">
        <v>0</v>
      </c>
      <c r="AI37" s="419">
        <v>1667.479</v>
      </c>
      <c r="AJ37" s="419">
        <v>0</v>
      </c>
      <c r="AK37" s="419">
        <v>0</v>
      </c>
      <c r="AL37" s="419">
        <v>0</v>
      </c>
      <c r="AM37" s="419">
        <v>0</v>
      </c>
      <c r="AN37" s="419">
        <v>0</v>
      </c>
      <c r="AO37" s="419">
        <v>0</v>
      </c>
      <c r="AP37" s="419">
        <v>0</v>
      </c>
      <c r="AQ37" s="419">
        <v>0</v>
      </c>
      <c r="AR37" s="419">
        <v>0</v>
      </c>
      <c r="AS37" s="419">
        <v>0</v>
      </c>
      <c r="AT37" s="419">
        <v>0</v>
      </c>
      <c r="AU37" s="419">
        <v>0</v>
      </c>
      <c r="AV37" s="419">
        <v>0</v>
      </c>
      <c r="AW37" s="419">
        <v>2524.6099999999997</v>
      </c>
      <c r="AX37" s="419">
        <v>0</v>
      </c>
      <c r="AY37" s="419">
        <v>0</v>
      </c>
      <c r="AZ37" s="419">
        <v>0</v>
      </c>
      <c r="BA37" s="419">
        <v>0</v>
      </c>
      <c r="BB37" s="419">
        <v>0</v>
      </c>
      <c r="BC37" s="419">
        <v>0</v>
      </c>
      <c r="BD37" s="419">
        <v>0</v>
      </c>
      <c r="BE37" s="419">
        <v>0</v>
      </c>
      <c r="BF37" s="419">
        <v>160635.27963012864</v>
      </c>
      <c r="BG37" s="419">
        <v>0</v>
      </c>
      <c r="BH37" s="419">
        <v>0</v>
      </c>
      <c r="BI37" s="419">
        <v>0</v>
      </c>
      <c r="BJ37" s="419">
        <v>0</v>
      </c>
      <c r="BK37" s="419">
        <v>0</v>
      </c>
      <c r="BL37" s="419">
        <v>0</v>
      </c>
      <c r="BM37" s="419">
        <v>30.469000000000001</v>
      </c>
      <c r="BN37" s="419">
        <v>295.584</v>
      </c>
      <c r="BO37" s="419">
        <v>0</v>
      </c>
      <c r="BP37" s="419">
        <v>0</v>
      </c>
      <c r="BQ37" s="419">
        <v>0</v>
      </c>
      <c r="BR37" s="419">
        <v>0</v>
      </c>
      <c r="BS37" s="419">
        <v>0</v>
      </c>
      <c r="BT37" s="419">
        <v>0</v>
      </c>
    </row>
    <row r="38" spans="1:72" outlineLevel="1">
      <c r="A38" s="404"/>
      <c r="B38" s="404" t="s">
        <v>1023</v>
      </c>
      <c r="C38" s="404" t="s">
        <v>1022</v>
      </c>
      <c r="D38" s="404">
        <v>1</v>
      </c>
      <c r="E38" s="404" t="s">
        <v>1024</v>
      </c>
      <c r="F38" s="404" t="s">
        <v>105</v>
      </c>
      <c r="G38" s="404" t="s">
        <v>1025</v>
      </c>
      <c r="H38" s="404"/>
      <c r="I38" s="404"/>
      <c r="J38" s="400" t="s">
        <v>5</v>
      </c>
      <c r="K38" s="400" t="s">
        <v>5</v>
      </c>
      <c r="L38" s="400" t="s">
        <v>5</v>
      </c>
      <c r="M38" s="400" t="s">
        <v>5</v>
      </c>
      <c r="N38" s="400" t="s">
        <v>5</v>
      </c>
      <c r="O38" s="400" t="s">
        <v>5</v>
      </c>
      <c r="P38" s="400" t="s">
        <v>5</v>
      </c>
      <c r="Q38" s="400" t="s">
        <v>5</v>
      </c>
      <c r="R38" s="400" t="s">
        <v>5</v>
      </c>
      <c r="S38" s="400" t="s">
        <v>5</v>
      </c>
      <c r="T38" s="400" t="s">
        <v>5</v>
      </c>
      <c r="U38" s="400" t="s">
        <v>5</v>
      </c>
      <c r="V38" s="400" t="s">
        <v>5</v>
      </c>
      <c r="W38" s="400">
        <v>264.65300000000002</v>
      </c>
      <c r="X38" s="400">
        <v>326.053</v>
      </c>
      <c r="Y38" s="400">
        <v>165454.3380190325</v>
      </c>
      <c r="Z38" s="400" t="s">
        <v>5</v>
      </c>
      <c r="AA38" s="400" t="s">
        <v>5</v>
      </c>
      <c r="AB38" s="400" t="s">
        <v>5</v>
      </c>
      <c r="AC38" s="400" t="s">
        <v>5</v>
      </c>
      <c r="AD38" s="400" t="s">
        <v>5</v>
      </c>
      <c r="AE38" s="400" t="s">
        <v>5</v>
      </c>
      <c r="AF38" s="400" t="s">
        <v>5</v>
      </c>
      <c r="AG38" s="400" t="s">
        <v>5</v>
      </c>
      <c r="AH38" s="400" t="s">
        <v>5</v>
      </c>
      <c r="AI38" s="400">
        <v>1667.479</v>
      </c>
      <c r="AJ38" s="400" t="s">
        <v>5</v>
      </c>
      <c r="AK38" s="400" t="s">
        <v>5</v>
      </c>
      <c r="AL38" s="400" t="s">
        <v>5</v>
      </c>
      <c r="AM38" s="400" t="s">
        <v>5</v>
      </c>
      <c r="AN38" s="400" t="s">
        <v>5</v>
      </c>
      <c r="AO38" s="400" t="s">
        <v>5</v>
      </c>
      <c r="AP38" s="400" t="s">
        <v>5</v>
      </c>
      <c r="AQ38" s="400" t="s">
        <v>5</v>
      </c>
      <c r="AR38" s="400" t="s">
        <v>5</v>
      </c>
      <c r="AS38" s="400" t="s">
        <v>5</v>
      </c>
      <c r="AT38" s="400" t="s">
        <v>5</v>
      </c>
      <c r="AU38" s="400" t="s">
        <v>5</v>
      </c>
      <c r="AV38" s="400" t="s">
        <v>5</v>
      </c>
      <c r="AW38" s="400">
        <v>2524.6099999999997</v>
      </c>
      <c r="AX38" s="400" t="s">
        <v>5</v>
      </c>
      <c r="AY38" s="400" t="s">
        <v>5</v>
      </c>
      <c r="AZ38" s="400" t="s">
        <v>5</v>
      </c>
      <c r="BA38" s="400" t="s">
        <v>5</v>
      </c>
      <c r="BB38" s="400" t="s">
        <v>5</v>
      </c>
      <c r="BC38" s="400" t="s">
        <v>5</v>
      </c>
      <c r="BD38" s="400" t="s">
        <v>5</v>
      </c>
      <c r="BE38" s="400" t="s">
        <v>5</v>
      </c>
      <c r="BF38" s="400">
        <v>160635.27963012864</v>
      </c>
      <c r="BG38" s="400" t="s">
        <v>5</v>
      </c>
      <c r="BH38" s="400" t="s">
        <v>5</v>
      </c>
      <c r="BI38" s="400" t="s">
        <v>5</v>
      </c>
      <c r="BJ38" s="400" t="s">
        <v>5</v>
      </c>
      <c r="BK38" s="400" t="s">
        <v>5</v>
      </c>
      <c r="BL38" s="400" t="s">
        <v>5</v>
      </c>
      <c r="BM38" s="400">
        <v>30.469000000000001</v>
      </c>
      <c r="BN38" s="400">
        <v>295.584</v>
      </c>
      <c r="BO38" s="400" t="s">
        <v>5</v>
      </c>
      <c r="BP38" s="400" t="s">
        <v>5</v>
      </c>
      <c r="BQ38" s="400" t="s">
        <v>5</v>
      </c>
      <c r="BR38" s="400" t="s">
        <v>5</v>
      </c>
      <c r="BS38" s="400" t="s">
        <v>5</v>
      </c>
      <c r="BT38" s="400" t="s">
        <v>5</v>
      </c>
    </row>
    <row r="39" spans="1:72">
      <c r="A39" s="418">
        <v>10</v>
      </c>
      <c r="B39" s="418" t="s">
        <v>1015</v>
      </c>
      <c r="C39" s="418"/>
      <c r="D39" s="418"/>
      <c r="E39" s="418" t="s">
        <v>1026</v>
      </c>
      <c r="F39" s="418"/>
      <c r="G39" s="418" t="s">
        <v>1027</v>
      </c>
      <c r="H39" s="418"/>
      <c r="I39" s="418"/>
      <c r="J39" s="419">
        <v>0</v>
      </c>
      <c r="K39" s="419">
        <v>0</v>
      </c>
      <c r="L39" s="419">
        <v>0</v>
      </c>
      <c r="M39" s="419">
        <v>0</v>
      </c>
      <c r="N39" s="419">
        <v>0</v>
      </c>
      <c r="O39" s="419">
        <v>0</v>
      </c>
      <c r="P39" s="419">
        <v>0</v>
      </c>
      <c r="Q39" s="419">
        <v>0</v>
      </c>
      <c r="R39" s="419">
        <v>0</v>
      </c>
      <c r="S39" s="419">
        <v>0</v>
      </c>
      <c r="T39" s="419">
        <v>0</v>
      </c>
      <c r="U39" s="419">
        <v>0</v>
      </c>
      <c r="V39" s="419">
        <v>0</v>
      </c>
      <c r="W39" s="419">
        <v>60.638443535862876</v>
      </c>
      <c r="X39" s="419">
        <v>1426.0289999999998</v>
      </c>
      <c r="Y39" s="419">
        <v>52491.390934099996</v>
      </c>
      <c r="Z39" s="419">
        <v>0</v>
      </c>
      <c r="AA39" s="419">
        <v>0</v>
      </c>
      <c r="AB39" s="419">
        <v>0</v>
      </c>
      <c r="AC39" s="419">
        <v>0</v>
      </c>
      <c r="AD39" s="419">
        <v>0</v>
      </c>
      <c r="AE39" s="419">
        <v>0</v>
      </c>
      <c r="AF39" s="419">
        <v>0</v>
      </c>
      <c r="AG39" s="419">
        <v>0</v>
      </c>
      <c r="AH39" s="419">
        <v>1044.1994435358627</v>
      </c>
      <c r="AI39" s="419">
        <v>0</v>
      </c>
      <c r="AJ39" s="419">
        <v>0</v>
      </c>
      <c r="AK39" s="419">
        <v>0</v>
      </c>
      <c r="AL39" s="419">
        <v>0</v>
      </c>
      <c r="AM39" s="419">
        <v>0</v>
      </c>
      <c r="AN39" s="419">
        <v>0</v>
      </c>
      <c r="AO39" s="419">
        <v>0</v>
      </c>
      <c r="AP39" s="419">
        <v>0</v>
      </c>
      <c r="AQ39" s="419">
        <v>0</v>
      </c>
      <c r="AR39" s="419">
        <v>0</v>
      </c>
      <c r="AS39" s="419">
        <v>0</v>
      </c>
      <c r="AT39" s="419">
        <v>0</v>
      </c>
      <c r="AU39" s="419">
        <v>0</v>
      </c>
      <c r="AV39" s="419">
        <v>144.32999999999998</v>
      </c>
      <c r="AW39" s="419">
        <v>0</v>
      </c>
      <c r="AX39" s="419">
        <v>0</v>
      </c>
      <c r="AY39" s="419">
        <v>0</v>
      </c>
      <c r="AZ39" s="419">
        <v>0</v>
      </c>
      <c r="BA39" s="419">
        <v>0</v>
      </c>
      <c r="BB39" s="419">
        <v>0</v>
      </c>
      <c r="BC39" s="419">
        <v>0</v>
      </c>
      <c r="BD39" s="419">
        <v>0</v>
      </c>
      <c r="BE39" s="419">
        <v>50962.515469999998</v>
      </c>
      <c r="BF39" s="419">
        <v>0</v>
      </c>
      <c r="BG39" s="419">
        <v>0</v>
      </c>
      <c r="BH39" s="419">
        <v>0</v>
      </c>
      <c r="BI39" s="419">
        <v>0</v>
      </c>
      <c r="BJ39" s="419">
        <v>0</v>
      </c>
      <c r="BK39" s="419">
        <v>0</v>
      </c>
      <c r="BL39" s="419">
        <v>0</v>
      </c>
      <c r="BM39" s="419">
        <v>141.44200000000001</v>
      </c>
      <c r="BN39" s="419">
        <v>1284.587</v>
      </c>
      <c r="BO39" s="419">
        <v>0</v>
      </c>
      <c r="BP39" s="419">
        <v>0</v>
      </c>
      <c r="BQ39" s="419">
        <v>0</v>
      </c>
      <c r="BR39" s="419">
        <v>0</v>
      </c>
      <c r="BS39" s="419">
        <v>0</v>
      </c>
      <c r="BT39" s="419">
        <v>0</v>
      </c>
    </row>
    <row r="40" spans="1:72" outlineLevel="1">
      <c r="A40" s="402"/>
      <c r="B40" s="402" t="s">
        <v>1027</v>
      </c>
      <c r="C40" s="402" t="s">
        <v>1026</v>
      </c>
      <c r="D40" s="402">
        <v>1</v>
      </c>
      <c r="E40" s="402" t="s">
        <v>1028</v>
      </c>
      <c r="F40" s="402" t="s">
        <v>488</v>
      </c>
      <c r="G40" s="402" t="s">
        <v>1029</v>
      </c>
      <c r="H40" s="402"/>
      <c r="I40" s="402"/>
      <c r="J40" s="396" t="s">
        <v>5</v>
      </c>
      <c r="K40" s="396" t="s">
        <v>5</v>
      </c>
      <c r="L40" s="396" t="s">
        <v>5</v>
      </c>
      <c r="M40" s="396" t="s">
        <v>5</v>
      </c>
      <c r="N40" s="396" t="s">
        <v>5</v>
      </c>
      <c r="O40" s="396" t="s">
        <v>5</v>
      </c>
      <c r="P40" s="396" t="s">
        <v>5</v>
      </c>
      <c r="Q40" s="396" t="s">
        <v>5</v>
      </c>
      <c r="R40" s="396" t="s">
        <v>5</v>
      </c>
      <c r="S40" s="396" t="s">
        <v>5</v>
      </c>
      <c r="T40" s="396" t="s">
        <v>5</v>
      </c>
      <c r="U40" s="396" t="s">
        <v>5</v>
      </c>
      <c r="V40" s="396" t="s">
        <v>5</v>
      </c>
      <c r="W40" s="396">
        <v>12.433044407846126</v>
      </c>
      <c r="X40" s="396">
        <v>336.06</v>
      </c>
      <c r="Y40" s="396">
        <v>19095.244056999996</v>
      </c>
      <c r="Z40" s="396" t="s">
        <v>5</v>
      </c>
      <c r="AA40" s="396" t="s">
        <v>5</v>
      </c>
      <c r="AB40" s="396" t="s">
        <v>5</v>
      </c>
      <c r="AC40" s="396" t="s">
        <v>5</v>
      </c>
      <c r="AD40" s="396" t="s">
        <v>5</v>
      </c>
      <c r="AE40" s="396" t="s">
        <v>5</v>
      </c>
      <c r="AF40" s="396" t="s">
        <v>5</v>
      </c>
      <c r="AG40" s="396" t="s">
        <v>5</v>
      </c>
      <c r="AH40" s="396">
        <v>325.97804440784608</v>
      </c>
      <c r="AI40" s="396" t="s">
        <v>5</v>
      </c>
      <c r="AJ40" s="396" t="s">
        <v>5</v>
      </c>
      <c r="AK40" s="396" t="s">
        <v>5</v>
      </c>
      <c r="AL40" s="396" t="s">
        <v>5</v>
      </c>
      <c r="AM40" s="396" t="s">
        <v>5</v>
      </c>
      <c r="AN40" s="396" t="s">
        <v>5</v>
      </c>
      <c r="AO40" s="396" t="s">
        <v>5</v>
      </c>
      <c r="AP40" s="396" t="s">
        <v>5</v>
      </c>
      <c r="AQ40" s="396" t="s">
        <v>5</v>
      </c>
      <c r="AR40" s="396" t="s">
        <v>5</v>
      </c>
      <c r="AS40" s="396" t="s">
        <v>5</v>
      </c>
      <c r="AT40" s="396" t="s">
        <v>5</v>
      </c>
      <c r="AU40" s="396" t="s">
        <v>5</v>
      </c>
      <c r="AV40" s="396">
        <v>144.32999999999998</v>
      </c>
      <c r="AW40" s="396" t="s">
        <v>5</v>
      </c>
      <c r="AX40" s="396" t="s">
        <v>5</v>
      </c>
      <c r="AY40" s="396" t="s">
        <v>5</v>
      </c>
      <c r="AZ40" s="396" t="s">
        <v>5</v>
      </c>
      <c r="BA40" s="396" t="s">
        <v>5</v>
      </c>
      <c r="BB40" s="396" t="s">
        <v>5</v>
      </c>
      <c r="BC40" s="396" t="s">
        <v>5</v>
      </c>
      <c r="BD40" s="396" t="s">
        <v>5</v>
      </c>
      <c r="BE40" s="396">
        <v>18539.071899999995</v>
      </c>
      <c r="BF40" s="396" t="s">
        <v>5</v>
      </c>
      <c r="BG40" s="396" t="s">
        <v>5</v>
      </c>
      <c r="BH40" s="396" t="s">
        <v>5</v>
      </c>
      <c r="BI40" s="396" t="s">
        <v>5</v>
      </c>
      <c r="BJ40" s="396" t="s">
        <v>5</v>
      </c>
      <c r="BK40" s="396" t="s">
        <v>5</v>
      </c>
      <c r="BL40" s="396" t="s">
        <v>5</v>
      </c>
      <c r="BM40" s="396">
        <v>62.9</v>
      </c>
      <c r="BN40" s="396">
        <v>273.15999999999997</v>
      </c>
      <c r="BO40" s="396" t="s">
        <v>5</v>
      </c>
      <c r="BP40" s="396" t="s">
        <v>5</v>
      </c>
      <c r="BQ40" s="396" t="s">
        <v>5</v>
      </c>
      <c r="BR40" s="396" t="s">
        <v>5</v>
      </c>
      <c r="BS40" s="396" t="s">
        <v>5</v>
      </c>
      <c r="BT40" s="396" t="s">
        <v>5</v>
      </c>
    </row>
    <row r="41" spans="1:72" outlineLevel="1">
      <c r="A41" s="403"/>
      <c r="B41" s="403" t="s">
        <v>1027</v>
      </c>
      <c r="C41" s="403" t="s">
        <v>1026</v>
      </c>
      <c r="D41" s="403">
        <v>2</v>
      </c>
      <c r="E41" s="403" t="s">
        <v>1030</v>
      </c>
      <c r="F41" s="403" t="s">
        <v>1031</v>
      </c>
      <c r="G41" s="403" t="s">
        <v>1032</v>
      </c>
      <c r="H41" s="403"/>
      <c r="I41" s="403"/>
      <c r="J41" s="397" t="s">
        <v>5</v>
      </c>
      <c r="K41" s="397" t="s">
        <v>5</v>
      </c>
      <c r="L41" s="397" t="s">
        <v>5</v>
      </c>
      <c r="M41" s="397" t="s">
        <v>5</v>
      </c>
      <c r="N41" s="397" t="s">
        <v>5</v>
      </c>
      <c r="O41" s="397" t="s">
        <v>5</v>
      </c>
      <c r="P41" s="397" t="s">
        <v>5</v>
      </c>
      <c r="Q41" s="397" t="s">
        <v>5</v>
      </c>
      <c r="R41" s="397" t="s">
        <v>5</v>
      </c>
      <c r="S41" s="397" t="s">
        <v>5</v>
      </c>
      <c r="T41" s="397" t="s">
        <v>5</v>
      </c>
      <c r="U41" s="397" t="s">
        <v>5</v>
      </c>
      <c r="V41" s="397" t="s">
        <v>5</v>
      </c>
      <c r="W41" s="397">
        <v>48.205399128016751</v>
      </c>
      <c r="X41" s="397">
        <v>1089.9689999999998</v>
      </c>
      <c r="Y41" s="397">
        <v>33396.1468771</v>
      </c>
      <c r="Z41" s="397" t="s">
        <v>5</v>
      </c>
      <c r="AA41" s="397" t="s">
        <v>5</v>
      </c>
      <c r="AB41" s="397" t="s">
        <v>5</v>
      </c>
      <c r="AC41" s="397" t="s">
        <v>5</v>
      </c>
      <c r="AD41" s="397" t="s">
        <v>5</v>
      </c>
      <c r="AE41" s="397" t="s">
        <v>5</v>
      </c>
      <c r="AF41" s="397" t="s">
        <v>5</v>
      </c>
      <c r="AG41" s="397" t="s">
        <v>5</v>
      </c>
      <c r="AH41" s="397">
        <v>718.22139912801663</v>
      </c>
      <c r="AI41" s="397" t="s">
        <v>5</v>
      </c>
      <c r="AJ41" s="397" t="s">
        <v>5</v>
      </c>
      <c r="AK41" s="397" t="s">
        <v>5</v>
      </c>
      <c r="AL41" s="397" t="s">
        <v>5</v>
      </c>
      <c r="AM41" s="397" t="s">
        <v>5</v>
      </c>
      <c r="AN41" s="397" t="s">
        <v>5</v>
      </c>
      <c r="AO41" s="397" t="s">
        <v>5</v>
      </c>
      <c r="AP41" s="397" t="s">
        <v>5</v>
      </c>
      <c r="AQ41" s="397" t="s">
        <v>5</v>
      </c>
      <c r="AR41" s="397" t="s">
        <v>5</v>
      </c>
      <c r="AS41" s="397" t="s">
        <v>5</v>
      </c>
      <c r="AT41" s="397" t="s">
        <v>5</v>
      </c>
      <c r="AU41" s="397" t="s">
        <v>5</v>
      </c>
      <c r="AV41" s="397" t="s">
        <v>5</v>
      </c>
      <c r="AW41" s="397" t="s">
        <v>5</v>
      </c>
      <c r="AX41" s="397" t="s">
        <v>5</v>
      </c>
      <c r="AY41" s="397" t="s">
        <v>5</v>
      </c>
      <c r="AZ41" s="397" t="s">
        <v>5</v>
      </c>
      <c r="BA41" s="397" t="s">
        <v>5</v>
      </c>
      <c r="BB41" s="397" t="s">
        <v>5</v>
      </c>
      <c r="BC41" s="397" t="s">
        <v>5</v>
      </c>
      <c r="BD41" s="397" t="s">
        <v>5</v>
      </c>
      <c r="BE41" s="397">
        <v>32423.443569999999</v>
      </c>
      <c r="BF41" s="397" t="s">
        <v>5</v>
      </c>
      <c r="BG41" s="397" t="s">
        <v>5</v>
      </c>
      <c r="BH41" s="397" t="s">
        <v>5</v>
      </c>
      <c r="BI41" s="397" t="s">
        <v>5</v>
      </c>
      <c r="BJ41" s="397" t="s">
        <v>5</v>
      </c>
      <c r="BK41" s="397" t="s">
        <v>5</v>
      </c>
      <c r="BL41" s="397" t="s">
        <v>5</v>
      </c>
      <c r="BM41" s="397">
        <v>78.542000000000002</v>
      </c>
      <c r="BN41" s="397">
        <v>1011.4270000000001</v>
      </c>
      <c r="BO41" s="397" t="s">
        <v>5</v>
      </c>
      <c r="BP41" s="397" t="s">
        <v>5</v>
      </c>
      <c r="BQ41" s="397" t="s">
        <v>5</v>
      </c>
      <c r="BR41" s="397" t="s">
        <v>5</v>
      </c>
      <c r="BS41" s="397" t="s">
        <v>5</v>
      </c>
      <c r="BT41" s="397" t="s">
        <v>5</v>
      </c>
    </row>
    <row r="42" spans="1:72">
      <c r="A42" s="418">
        <v>11</v>
      </c>
      <c r="B42" s="418" t="s">
        <v>1015</v>
      </c>
      <c r="C42" s="418"/>
      <c r="D42" s="418"/>
      <c r="E42" s="418" t="s">
        <v>1033</v>
      </c>
      <c r="F42" s="418"/>
      <c r="G42" s="418" t="s">
        <v>1034</v>
      </c>
      <c r="H42" s="418"/>
      <c r="I42" s="418"/>
      <c r="J42" s="419">
        <v>0</v>
      </c>
      <c r="K42" s="419">
        <v>0</v>
      </c>
      <c r="L42" s="419">
        <v>0</v>
      </c>
      <c r="M42" s="419">
        <v>0</v>
      </c>
      <c r="N42" s="419">
        <v>0</v>
      </c>
      <c r="O42" s="419">
        <v>0</v>
      </c>
      <c r="P42" s="419">
        <v>0</v>
      </c>
      <c r="Q42" s="419">
        <v>0</v>
      </c>
      <c r="R42" s="419">
        <v>0</v>
      </c>
      <c r="S42" s="419">
        <v>0</v>
      </c>
      <c r="T42" s="419">
        <v>0</v>
      </c>
      <c r="U42" s="419">
        <v>0</v>
      </c>
      <c r="V42" s="419">
        <v>0</v>
      </c>
      <c r="W42" s="419">
        <v>328.9790000000001</v>
      </c>
      <c r="X42" s="419">
        <v>296.44299999999998</v>
      </c>
      <c r="Y42" s="419">
        <v>193805.0296939243</v>
      </c>
      <c r="Z42" s="419">
        <v>0</v>
      </c>
      <c r="AA42" s="419">
        <v>0</v>
      </c>
      <c r="AB42" s="419">
        <v>0</v>
      </c>
      <c r="AC42" s="419">
        <v>0</v>
      </c>
      <c r="AD42" s="419">
        <v>0</v>
      </c>
      <c r="AE42" s="419">
        <v>0</v>
      </c>
      <c r="AF42" s="419">
        <v>0</v>
      </c>
      <c r="AG42" s="419">
        <v>0</v>
      </c>
      <c r="AH42" s="419">
        <v>0</v>
      </c>
      <c r="AI42" s="419">
        <v>1369.1309999999999</v>
      </c>
      <c r="AJ42" s="419">
        <v>0</v>
      </c>
      <c r="AK42" s="419">
        <v>0</v>
      </c>
      <c r="AL42" s="419">
        <v>0</v>
      </c>
      <c r="AM42" s="419">
        <v>0</v>
      </c>
      <c r="AN42" s="419">
        <v>0</v>
      </c>
      <c r="AO42" s="419">
        <v>0</v>
      </c>
      <c r="AP42" s="419">
        <v>0</v>
      </c>
      <c r="AQ42" s="419">
        <v>0</v>
      </c>
      <c r="AR42" s="419">
        <v>0</v>
      </c>
      <c r="AS42" s="419">
        <v>0</v>
      </c>
      <c r="AT42" s="419">
        <v>0</v>
      </c>
      <c r="AU42" s="419">
        <v>0</v>
      </c>
      <c r="AV42" s="419">
        <v>0</v>
      </c>
      <c r="AW42" s="419">
        <v>3176.7700000000004</v>
      </c>
      <c r="AX42" s="419">
        <v>0</v>
      </c>
      <c r="AY42" s="419">
        <v>0</v>
      </c>
      <c r="AZ42" s="419">
        <v>0</v>
      </c>
      <c r="BA42" s="419">
        <v>0</v>
      </c>
      <c r="BB42" s="419">
        <v>0</v>
      </c>
      <c r="BC42" s="419">
        <v>0</v>
      </c>
      <c r="BD42" s="419">
        <v>0</v>
      </c>
      <c r="BE42" s="419">
        <v>0</v>
      </c>
      <c r="BF42" s="419">
        <v>188160.22300380998</v>
      </c>
      <c r="BG42" s="419">
        <v>0</v>
      </c>
      <c r="BH42" s="419">
        <v>0</v>
      </c>
      <c r="BI42" s="419">
        <v>0</v>
      </c>
      <c r="BJ42" s="419">
        <v>0</v>
      </c>
      <c r="BK42" s="419">
        <v>0</v>
      </c>
      <c r="BL42" s="419">
        <v>0</v>
      </c>
      <c r="BM42" s="419">
        <v>33.639000000000003</v>
      </c>
      <c r="BN42" s="419">
        <v>262.80399999999997</v>
      </c>
      <c r="BO42" s="419">
        <v>0</v>
      </c>
      <c r="BP42" s="419">
        <v>0</v>
      </c>
      <c r="BQ42" s="419">
        <v>0</v>
      </c>
      <c r="BR42" s="419">
        <v>0</v>
      </c>
      <c r="BS42" s="419">
        <v>0</v>
      </c>
      <c r="BT42" s="419">
        <v>0</v>
      </c>
    </row>
    <row r="43" spans="1:72" outlineLevel="1">
      <c r="A43" s="404"/>
      <c r="B43" s="404" t="s">
        <v>1034</v>
      </c>
      <c r="C43" s="404" t="s">
        <v>1033</v>
      </c>
      <c r="D43" s="404">
        <v>1</v>
      </c>
      <c r="E43" s="404" t="s">
        <v>1035</v>
      </c>
      <c r="F43" s="404" t="s">
        <v>489</v>
      </c>
      <c r="G43" s="404" t="s">
        <v>1036</v>
      </c>
      <c r="H43" s="404"/>
      <c r="I43" s="404"/>
      <c r="J43" s="400" t="s">
        <v>5</v>
      </c>
      <c r="K43" s="400" t="s">
        <v>5</v>
      </c>
      <c r="L43" s="400" t="s">
        <v>5</v>
      </c>
      <c r="M43" s="400" t="s">
        <v>5</v>
      </c>
      <c r="N43" s="400" t="s">
        <v>5</v>
      </c>
      <c r="O43" s="400" t="s">
        <v>5</v>
      </c>
      <c r="P43" s="400" t="s">
        <v>5</v>
      </c>
      <c r="Q43" s="400" t="s">
        <v>5</v>
      </c>
      <c r="R43" s="400" t="s">
        <v>5</v>
      </c>
      <c r="S43" s="400" t="s">
        <v>5</v>
      </c>
      <c r="T43" s="400" t="s">
        <v>5</v>
      </c>
      <c r="U43" s="400" t="s">
        <v>5</v>
      </c>
      <c r="V43" s="400" t="s">
        <v>5</v>
      </c>
      <c r="W43" s="400">
        <v>328.9790000000001</v>
      </c>
      <c r="X43" s="400">
        <v>296.44299999999998</v>
      </c>
      <c r="Y43" s="400">
        <v>193805.0296939243</v>
      </c>
      <c r="Z43" s="400" t="s">
        <v>5</v>
      </c>
      <c r="AA43" s="400" t="s">
        <v>5</v>
      </c>
      <c r="AB43" s="400" t="s">
        <v>5</v>
      </c>
      <c r="AC43" s="400" t="s">
        <v>5</v>
      </c>
      <c r="AD43" s="400" t="s">
        <v>5</v>
      </c>
      <c r="AE43" s="400" t="s">
        <v>5</v>
      </c>
      <c r="AF43" s="400" t="s">
        <v>5</v>
      </c>
      <c r="AG43" s="400" t="s">
        <v>5</v>
      </c>
      <c r="AH43" s="400" t="s">
        <v>5</v>
      </c>
      <c r="AI43" s="400">
        <v>1369.1309999999999</v>
      </c>
      <c r="AJ43" s="400" t="s">
        <v>5</v>
      </c>
      <c r="AK43" s="400" t="s">
        <v>5</v>
      </c>
      <c r="AL43" s="400" t="s">
        <v>5</v>
      </c>
      <c r="AM43" s="400" t="s">
        <v>5</v>
      </c>
      <c r="AN43" s="400" t="s">
        <v>5</v>
      </c>
      <c r="AO43" s="400" t="s">
        <v>5</v>
      </c>
      <c r="AP43" s="400" t="s">
        <v>5</v>
      </c>
      <c r="AQ43" s="400" t="s">
        <v>5</v>
      </c>
      <c r="AR43" s="400" t="s">
        <v>5</v>
      </c>
      <c r="AS43" s="400" t="s">
        <v>5</v>
      </c>
      <c r="AT43" s="400" t="s">
        <v>5</v>
      </c>
      <c r="AU43" s="400" t="s">
        <v>5</v>
      </c>
      <c r="AV43" s="400" t="s">
        <v>5</v>
      </c>
      <c r="AW43" s="400">
        <v>3176.7700000000004</v>
      </c>
      <c r="AX43" s="400" t="s">
        <v>5</v>
      </c>
      <c r="AY43" s="400" t="s">
        <v>5</v>
      </c>
      <c r="AZ43" s="400" t="s">
        <v>5</v>
      </c>
      <c r="BA43" s="400" t="s">
        <v>5</v>
      </c>
      <c r="BB43" s="400" t="s">
        <v>5</v>
      </c>
      <c r="BC43" s="400" t="s">
        <v>5</v>
      </c>
      <c r="BD43" s="400" t="s">
        <v>5</v>
      </c>
      <c r="BE43" s="400" t="s">
        <v>5</v>
      </c>
      <c r="BF43" s="400">
        <v>188160.22300380998</v>
      </c>
      <c r="BG43" s="400" t="s">
        <v>5</v>
      </c>
      <c r="BH43" s="400" t="s">
        <v>5</v>
      </c>
      <c r="BI43" s="400" t="s">
        <v>5</v>
      </c>
      <c r="BJ43" s="400" t="s">
        <v>5</v>
      </c>
      <c r="BK43" s="400" t="s">
        <v>5</v>
      </c>
      <c r="BL43" s="400" t="s">
        <v>5</v>
      </c>
      <c r="BM43" s="400">
        <v>33.639000000000003</v>
      </c>
      <c r="BN43" s="400">
        <v>262.80399999999997</v>
      </c>
      <c r="BO43" s="400" t="s">
        <v>5</v>
      </c>
      <c r="BP43" s="400" t="s">
        <v>5</v>
      </c>
      <c r="BQ43" s="400" t="s">
        <v>5</v>
      </c>
      <c r="BR43" s="400" t="s">
        <v>5</v>
      </c>
      <c r="BS43" s="400" t="s">
        <v>5</v>
      </c>
      <c r="BT43" s="400" t="s">
        <v>5</v>
      </c>
    </row>
    <row r="44" spans="1:72">
      <c r="A44" s="418">
        <v>12</v>
      </c>
      <c r="B44" s="418" t="s">
        <v>1015</v>
      </c>
      <c r="C44" s="418"/>
      <c r="D44" s="418"/>
      <c r="E44" s="418" t="s">
        <v>1037</v>
      </c>
      <c r="F44" s="418"/>
      <c r="G44" s="418" t="s">
        <v>1038</v>
      </c>
      <c r="H44" s="418"/>
      <c r="I44" s="418"/>
      <c r="J44" s="419">
        <v>0</v>
      </c>
      <c r="K44" s="419">
        <v>0</v>
      </c>
      <c r="L44" s="419">
        <v>0</v>
      </c>
      <c r="M44" s="419">
        <v>0</v>
      </c>
      <c r="N44" s="419">
        <v>0</v>
      </c>
      <c r="O44" s="419">
        <v>0</v>
      </c>
      <c r="P44" s="419">
        <v>0</v>
      </c>
      <c r="Q44" s="419">
        <v>0</v>
      </c>
      <c r="R44" s="419">
        <v>0</v>
      </c>
      <c r="S44" s="419">
        <v>0</v>
      </c>
      <c r="T44" s="419">
        <v>0</v>
      </c>
      <c r="U44" s="419">
        <v>0</v>
      </c>
      <c r="V44" s="419">
        <v>0</v>
      </c>
      <c r="W44" s="419">
        <v>59.883071836306996</v>
      </c>
      <c r="X44" s="419">
        <v>1353.0120000000002</v>
      </c>
      <c r="Y44" s="419">
        <v>51604.592812599993</v>
      </c>
      <c r="Z44" s="419">
        <v>0</v>
      </c>
      <c r="AA44" s="419">
        <v>0</v>
      </c>
      <c r="AB44" s="419">
        <v>0</v>
      </c>
      <c r="AC44" s="419">
        <v>0</v>
      </c>
      <c r="AD44" s="419">
        <v>0</v>
      </c>
      <c r="AE44" s="419">
        <v>0</v>
      </c>
      <c r="AF44" s="419">
        <v>0</v>
      </c>
      <c r="AG44" s="419">
        <v>0</v>
      </c>
      <c r="AH44" s="419">
        <v>1022.3000718363069</v>
      </c>
      <c r="AI44" s="419">
        <v>0</v>
      </c>
      <c r="AJ44" s="419">
        <v>0</v>
      </c>
      <c r="AK44" s="419">
        <v>0</v>
      </c>
      <c r="AL44" s="419">
        <v>0</v>
      </c>
      <c r="AM44" s="419">
        <v>0</v>
      </c>
      <c r="AN44" s="419">
        <v>0</v>
      </c>
      <c r="AO44" s="419">
        <v>0</v>
      </c>
      <c r="AP44" s="419">
        <v>0</v>
      </c>
      <c r="AQ44" s="419">
        <v>0</v>
      </c>
      <c r="AR44" s="419">
        <v>0</v>
      </c>
      <c r="AS44" s="419">
        <v>0</v>
      </c>
      <c r="AT44" s="419">
        <v>0</v>
      </c>
      <c r="AU44" s="419">
        <v>0</v>
      </c>
      <c r="AV44" s="419">
        <v>126.12</v>
      </c>
      <c r="AW44" s="419">
        <v>0</v>
      </c>
      <c r="AX44" s="419">
        <v>0</v>
      </c>
      <c r="AY44" s="419">
        <v>0</v>
      </c>
      <c r="AZ44" s="419">
        <v>0</v>
      </c>
      <c r="BA44" s="419">
        <v>0</v>
      </c>
      <c r="BB44" s="419">
        <v>0</v>
      </c>
      <c r="BC44" s="419">
        <v>0</v>
      </c>
      <c r="BD44" s="419">
        <v>0</v>
      </c>
      <c r="BE44" s="419">
        <v>50101.546419999991</v>
      </c>
      <c r="BF44" s="419">
        <v>0</v>
      </c>
      <c r="BG44" s="419">
        <v>0</v>
      </c>
      <c r="BH44" s="419">
        <v>0</v>
      </c>
      <c r="BI44" s="419">
        <v>0</v>
      </c>
      <c r="BJ44" s="419">
        <v>0</v>
      </c>
      <c r="BK44" s="419">
        <v>0</v>
      </c>
      <c r="BL44" s="419">
        <v>0</v>
      </c>
      <c r="BM44" s="419">
        <v>139.982</v>
      </c>
      <c r="BN44" s="419">
        <v>1213.03</v>
      </c>
      <c r="BO44" s="419">
        <v>0</v>
      </c>
      <c r="BP44" s="419">
        <v>0</v>
      </c>
      <c r="BQ44" s="419">
        <v>0</v>
      </c>
      <c r="BR44" s="419">
        <v>0</v>
      </c>
      <c r="BS44" s="419">
        <v>0</v>
      </c>
      <c r="BT44" s="419">
        <v>0</v>
      </c>
    </row>
    <row r="45" spans="1:72" outlineLevel="1">
      <c r="A45" s="402"/>
      <c r="B45" s="402" t="s">
        <v>1038</v>
      </c>
      <c r="C45" s="402" t="s">
        <v>1037</v>
      </c>
      <c r="D45" s="402">
        <v>1</v>
      </c>
      <c r="E45" s="402" t="s">
        <v>1039</v>
      </c>
      <c r="F45" s="402" t="s">
        <v>1040</v>
      </c>
      <c r="G45" s="402" t="s">
        <v>1041</v>
      </c>
      <c r="H45" s="402"/>
      <c r="I45" s="402"/>
      <c r="J45" s="396" t="s">
        <v>5</v>
      </c>
      <c r="K45" s="396" t="s">
        <v>5</v>
      </c>
      <c r="L45" s="396" t="s">
        <v>5</v>
      </c>
      <c r="M45" s="396" t="s">
        <v>5</v>
      </c>
      <c r="N45" s="396" t="s">
        <v>5</v>
      </c>
      <c r="O45" s="396" t="s">
        <v>5</v>
      </c>
      <c r="P45" s="396" t="s">
        <v>5</v>
      </c>
      <c r="Q45" s="396" t="s">
        <v>5</v>
      </c>
      <c r="R45" s="396" t="s">
        <v>5</v>
      </c>
      <c r="S45" s="396" t="s">
        <v>5</v>
      </c>
      <c r="T45" s="396" t="s">
        <v>5</v>
      </c>
      <c r="U45" s="396" t="s">
        <v>5</v>
      </c>
      <c r="V45" s="396" t="s">
        <v>5</v>
      </c>
      <c r="W45" s="396">
        <v>12.433044407846126</v>
      </c>
      <c r="X45" s="396">
        <v>317.88</v>
      </c>
      <c r="Y45" s="396">
        <v>19095.244056999996</v>
      </c>
      <c r="Z45" s="396" t="s">
        <v>5</v>
      </c>
      <c r="AA45" s="396" t="s">
        <v>5</v>
      </c>
      <c r="AB45" s="396" t="s">
        <v>5</v>
      </c>
      <c r="AC45" s="396" t="s">
        <v>5</v>
      </c>
      <c r="AD45" s="396" t="s">
        <v>5</v>
      </c>
      <c r="AE45" s="396" t="s">
        <v>5</v>
      </c>
      <c r="AF45" s="396" t="s">
        <v>5</v>
      </c>
      <c r="AG45" s="396" t="s">
        <v>5</v>
      </c>
      <c r="AH45" s="396">
        <v>326.01704440784607</v>
      </c>
      <c r="AI45" s="396" t="s">
        <v>5</v>
      </c>
      <c r="AJ45" s="396" t="s">
        <v>5</v>
      </c>
      <c r="AK45" s="396" t="s">
        <v>5</v>
      </c>
      <c r="AL45" s="396" t="s">
        <v>5</v>
      </c>
      <c r="AM45" s="396" t="s">
        <v>5</v>
      </c>
      <c r="AN45" s="396" t="s">
        <v>5</v>
      </c>
      <c r="AO45" s="396" t="s">
        <v>5</v>
      </c>
      <c r="AP45" s="396" t="s">
        <v>5</v>
      </c>
      <c r="AQ45" s="396" t="s">
        <v>5</v>
      </c>
      <c r="AR45" s="396" t="s">
        <v>5</v>
      </c>
      <c r="AS45" s="396" t="s">
        <v>5</v>
      </c>
      <c r="AT45" s="396" t="s">
        <v>5</v>
      </c>
      <c r="AU45" s="396" t="s">
        <v>5</v>
      </c>
      <c r="AV45" s="396">
        <v>126.12</v>
      </c>
      <c r="AW45" s="396" t="s">
        <v>5</v>
      </c>
      <c r="AX45" s="396" t="s">
        <v>5</v>
      </c>
      <c r="AY45" s="396" t="s">
        <v>5</v>
      </c>
      <c r="AZ45" s="396" t="s">
        <v>5</v>
      </c>
      <c r="BA45" s="396" t="s">
        <v>5</v>
      </c>
      <c r="BB45" s="396" t="s">
        <v>5</v>
      </c>
      <c r="BC45" s="396" t="s">
        <v>5</v>
      </c>
      <c r="BD45" s="396" t="s">
        <v>5</v>
      </c>
      <c r="BE45" s="396">
        <v>18539.071899999995</v>
      </c>
      <c r="BF45" s="396" t="s">
        <v>5</v>
      </c>
      <c r="BG45" s="396" t="s">
        <v>5</v>
      </c>
      <c r="BH45" s="396" t="s">
        <v>5</v>
      </c>
      <c r="BI45" s="396" t="s">
        <v>5</v>
      </c>
      <c r="BJ45" s="396" t="s">
        <v>5</v>
      </c>
      <c r="BK45" s="396" t="s">
        <v>5</v>
      </c>
      <c r="BL45" s="396" t="s">
        <v>5</v>
      </c>
      <c r="BM45" s="396">
        <v>62.9</v>
      </c>
      <c r="BN45" s="396">
        <v>254.98</v>
      </c>
      <c r="BO45" s="396" t="s">
        <v>5</v>
      </c>
      <c r="BP45" s="396" t="s">
        <v>5</v>
      </c>
      <c r="BQ45" s="396" t="s">
        <v>5</v>
      </c>
      <c r="BR45" s="396" t="s">
        <v>5</v>
      </c>
      <c r="BS45" s="396" t="s">
        <v>5</v>
      </c>
      <c r="BT45" s="396" t="s">
        <v>5</v>
      </c>
    </row>
    <row r="46" spans="1:72" outlineLevel="1">
      <c r="A46" s="403"/>
      <c r="B46" s="403" t="s">
        <v>1038</v>
      </c>
      <c r="C46" s="403" t="s">
        <v>1037</v>
      </c>
      <c r="D46" s="403">
        <v>2</v>
      </c>
      <c r="E46" s="403" t="s">
        <v>1042</v>
      </c>
      <c r="F46" s="403" t="s">
        <v>1043</v>
      </c>
      <c r="G46" s="403" t="s">
        <v>1044</v>
      </c>
      <c r="H46" s="403"/>
      <c r="I46" s="403"/>
      <c r="J46" s="397" t="s">
        <v>5</v>
      </c>
      <c r="K46" s="397" t="s">
        <v>5</v>
      </c>
      <c r="L46" s="397" t="s">
        <v>5</v>
      </c>
      <c r="M46" s="397" t="s">
        <v>5</v>
      </c>
      <c r="N46" s="397" t="s">
        <v>5</v>
      </c>
      <c r="O46" s="397" t="s">
        <v>5</v>
      </c>
      <c r="P46" s="397" t="s">
        <v>5</v>
      </c>
      <c r="Q46" s="397" t="s">
        <v>5</v>
      </c>
      <c r="R46" s="397" t="s">
        <v>5</v>
      </c>
      <c r="S46" s="397" t="s">
        <v>5</v>
      </c>
      <c r="T46" s="397" t="s">
        <v>5</v>
      </c>
      <c r="U46" s="397" t="s">
        <v>5</v>
      </c>
      <c r="V46" s="397" t="s">
        <v>5</v>
      </c>
      <c r="W46" s="397">
        <v>47.450027428460871</v>
      </c>
      <c r="X46" s="397">
        <v>1035.1320000000001</v>
      </c>
      <c r="Y46" s="397">
        <v>32509.348755599996</v>
      </c>
      <c r="Z46" s="397" t="s">
        <v>5</v>
      </c>
      <c r="AA46" s="397" t="s">
        <v>5</v>
      </c>
      <c r="AB46" s="397" t="s">
        <v>5</v>
      </c>
      <c r="AC46" s="397" t="s">
        <v>5</v>
      </c>
      <c r="AD46" s="397" t="s">
        <v>5</v>
      </c>
      <c r="AE46" s="397" t="s">
        <v>5</v>
      </c>
      <c r="AF46" s="397" t="s">
        <v>5</v>
      </c>
      <c r="AG46" s="397" t="s">
        <v>5</v>
      </c>
      <c r="AH46" s="397">
        <v>696.28302742846085</v>
      </c>
      <c r="AI46" s="397" t="s">
        <v>5</v>
      </c>
      <c r="AJ46" s="397" t="s">
        <v>5</v>
      </c>
      <c r="AK46" s="397" t="s">
        <v>5</v>
      </c>
      <c r="AL46" s="397" t="s">
        <v>5</v>
      </c>
      <c r="AM46" s="397" t="s">
        <v>5</v>
      </c>
      <c r="AN46" s="397" t="s">
        <v>5</v>
      </c>
      <c r="AO46" s="397" t="s">
        <v>5</v>
      </c>
      <c r="AP46" s="397" t="s">
        <v>5</v>
      </c>
      <c r="AQ46" s="397" t="s">
        <v>5</v>
      </c>
      <c r="AR46" s="397" t="s">
        <v>5</v>
      </c>
      <c r="AS46" s="397" t="s">
        <v>5</v>
      </c>
      <c r="AT46" s="397" t="s">
        <v>5</v>
      </c>
      <c r="AU46" s="397" t="s">
        <v>5</v>
      </c>
      <c r="AV46" s="397" t="s">
        <v>5</v>
      </c>
      <c r="AW46" s="397" t="s">
        <v>5</v>
      </c>
      <c r="AX46" s="397" t="s">
        <v>5</v>
      </c>
      <c r="AY46" s="397" t="s">
        <v>5</v>
      </c>
      <c r="AZ46" s="397" t="s">
        <v>5</v>
      </c>
      <c r="BA46" s="397" t="s">
        <v>5</v>
      </c>
      <c r="BB46" s="397" t="s">
        <v>5</v>
      </c>
      <c r="BC46" s="397" t="s">
        <v>5</v>
      </c>
      <c r="BD46" s="397" t="s">
        <v>5</v>
      </c>
      <c r="BE46" s="397">
        <v>31562.474519999996</v>
      </c>
      <c r="BF46" s="397" t="s">
        <v>5</v>
      </c>
      <c r="BG46" s="397" t="s">
        <v>5</v>
      </c>
      <c r="BH46" s="397" t="s">
        <v>5</v>
      </c>
      <c r="BI46" s="397" t="s">
        <v>5</v>
      </c>
      <c r="BJ46" s="397" t="s">
        <v>5</v>
      </c>
      <c r="BK46" s="397" t="s">
        <v>5</v>
      </c>
      <c r="BL46" s="397" t="s">
        <v>5</v>
      </c>
      <c r="BM46" s="397">
        <v>77.082000000000008</v>
      </c>
      <c r="BN46" s="397">
        <v>958.05</v>
      </c>
      <c r="BO46" s="397" t="s">
        <v>5</v>
      </c>
      <c r="BP46" s="397" t="s">
        <v>5</v>
      </c>
      <c r="BQ46" s="397" t="s">
        <v>5</v>
      </c>
      <c r="BR46" s="397" t="s">
        <v>5</v>
      </c>
      <c r="BS46" s="397" t="s">
        <v>5</v>
      </c>
      <c r="BT46" s="397" t="s">
        <v>5</v>
      </c>
    </row>
    <row r="47" spans="1:72">
      <c r="A47" s="418">
        <v>13</v>
      </c>
      <c r="B47" s="418" t="s">
        <v>1015</v>
      </c>
      <c r="C47" s="418"/>
      <c r="D47" s="418"/>
      <c r="E47" s="418" t="s">
        <v>1045</v>
      </c>
      <c r="F47" s="418"/>
      <c r="G47" s="418" t="s">
        <v>1046</v>
      </c>
      <c r="H47" s="418"/>
      <c r="I47" s="418"/>
      <c r="J47" s="419">
        <v>0</v>
      </c>
      <c r="K47" s="419">
        <v>0</v>
      </c>
      <c r="L47" s="419">
        <v>0</v>
      </c>
      <c r="M47" s="419">
        <v>0</v>
      </c>
      <c r="N47" s="419">
        <v>0</v>
      </c>
      <c r="O47" s="419">
        <v>0</v>
      </c>
      <c r="P47" s="419">
        <v>0</v>
      </c>
      <c r="Q47" s="419">
        <v>0</v>
      </c>
      <c r="R47" s="419">
        <v>0</v>
      </c>
      <c r="S47" s="419">
        <v>0</v>
      </c>
      <c r="T47" s="419">
        <v>0</v>
      </c>
      <c r="U47" s="419">
        <v>0</v>
      </c>
      <c r="V47" s="419">
        <v>0</v>
      </c>
      <c r="W47" s="419">
        <v>347.65999999999997</v>
      </c>
      <c r="X47" s="419">
        <v>335.40899999999999</v>
      </c>
      <c r="Y47" s="419">
        <v>215505.89391051643</v>
      </c>
      <c r="Z47" s="419">
        <v>0</v>
      </c>
      <c r="AA47" s="419">
        <v>0</v>
      </c>
      <c r="AB47" s="419">
        <v>0</v>
      </c>
      <c r="AC47" s="419">
        <v>0</v>
      </c>
      <c r="AD47" s="419">
        <v>0</v>
      </c>
      <c r="AE47" s="419">
        <v>0</v>
      </c>
      <c r="AF47" s="419">
        <v>0</v>
      </c>
      <c r="AG47" s="419">
        <v>0</v>
      </c>
      <c r="AH47" s="419">
        <v>0</v>
      </c>
      <c r="AI47" s="419">
        <v>2090.7829999999999</v>
      </c>
      <c r="AJ47" s="419">
        <v>0</v>
      </c>
      <c r="AK47" s="419">
        <v>0</v>
      </c>
      <c r="AL47" s="419">
        <v>0</v>
      </c>
      <c r="AM47" s="419">
        <v>0</v>
      </c>
      <c r="AN47" s="419">
        <v>0</v>
      </c>
      <c r="AO47" s="419">
        <v>0</v>
      </c>
      <c r="AP47" s="419">
        <v>0</v>
      </c>
      <c r="AQ47" s="419">
        <v>0</v>
      </c>
      <c r="AR47" s="419">
        <v>0</v>
      </c>
      <c r="AS47" s="419">
        <v>0</v>
      </c>
      <c r="AT47" s="419">
        <v>0</v>
      </c>
      <c r="AU47" s="419">
        <v>0</v>
      </c>
      <c r="AV47" s="419">
        <v>0</v>
      </c>
      <c r="AW47" s="419">
        <v>3342.4300000000003</v>
      </c>
      <c r="AX47" s="419">
        <v>0</v>
      </c>
      <c r="AY47" s="419">
        <v>0</v>
      </c>
      <c r="AZ47" s="419">
        <v>0</v>
      </c>
      <c r="BA47" s="419">
        <v>0</v>
      </c>
      <c r="BB47" s="419">
        <v>0</v>
      </c>
      <c r="BC47" s="419">
        <v>0</v>
      </c>
      <c r="BD47" s="419">
        <v>0</v>
      </c>
      <c r="BE47" s="419">
        <v>0</v>
      </c>
      <c r="BF47" s="419">
        <v>209229.02321409361</v>
      </c>
      <c r="BG47" s="419">
        <v>0</v>
      </c>
      <c r="BH47" s="419">
        <v>0</v>
      </c>
      <c r="BI47" s="419">
        <v>0</v>
      </c>
      <c r="BJ47" s="419">
        <v>0</v>
      </c>
      <c r="BK47" s="419">
        <v>0</v>
      </c>
      <c r="BL47" s="419">
        <v>0</v>
      </c>
      <c r="BM47" s="419">
        <v>33.442</v>
      </c>
      <c r="BN47" s="419">
        <v>301.96699999999998</v>
      </c>
      <c r="BO47" s="419">
        <v>0</v>
      </c>
      <c r="BP47" s="419">
        <v>0</v>
      </c>
      <c r="BQ47" s="419">
        <v>0</v>
      </c>
      <c r="BR47" s="419">
        <v>0</v>
      </c>
      <c r="BS47" s="419">
        <v>0</v>
      </c>
      <c r="BT47" s="419">
        <v>0</v>
      </c>
    </row>
    <row r="48" spans="1:72" outlineLevel="1">
      <c r="A48" s="404"/>
      <c r="B48" s="404" t="s">
        <v>1046</v>
      </c>
      <c r="C48" s="404" t="s">
        <v>1045</v>
      </c>
      <c r="D48" s="404">
        <v>1</v>
      </c>
      <c r="E48" s="404" t="s">
        <v>1047</v>
      </c>
      <c r="F48" s="404" t="s">
        <v>1048</v>
      </c>
      <c r="G48" s="404" t="s">
        <v>1049</v>
      </c>
      <c r="H48" s="404"/>
      <c r="I48" s="404"/>
      <c r="J48" s="400" t="s">
        <v>5</v>
      </c>
      <c r="K48" s="400" t="s">
        <v>5</v>
      </c>
      <c r="L48" s="400" t="s">
        <v>5</v>
      </c>
      <c r="M48" s="400" t="s">
        <v>5</v>
      </c>
      <c r="N48" s="400" t="s">
        <v>5</v>
      </c>
      <c r="O48" s="400" t="s">
        <v>5</v>
      </c>
      <c r="P48" s="400" t="s">
        <v>5</v>
      </c>
      <c r="Q48" s="400" t="s">
        <v>5</v>
      </c>
      <c r="R48" s="400" t="s">
        <v>5</v>
      </c>
      <c r="S48" s="400" t="s">
        <v>5</v>
      </c>
      <c r="T48" s="400" t="s">
        <v>5</v>
      </c>
      <c r="U48" s="400" t="s">
        <v>5</v>
      </c>
      <c r="V48" s="400" t="s">
        <v>5</v>
      </c>
      <c r="W48" s="400">
        <v>347.65999999999997</v>
      </c>
      <c r="X48" s="400">
        <v>335.40899999999999</v>
      </c>
      <c r="Y48" s="400">
        <v>215505.89391051643</v>
      </c>
      <c r="Z48" s="400" t="s">
        <v>5</v>
      </c>
      <c r="AA48" s="400" t="s">
        <v>5</v>
      </c>
      <c r="AB48" s="400" t="s">
        <v>5</v>
      </c>
      <c r="AC48" s="400" t="s">
        <v>5</v>
      </c>
      <c r="AD48" s="400" t="s">
        <v>5</v>
      </c>
      <c r="AE48" s="400" t="s">
        <v>5</v>
      </c>
      <c r="AF48" s="400" t="s">
        <v>5</v>
      </c>
      <c r="AG48" s="400" t="s">
        <v>5</v>
      </c>
      <c r="AH48" s="400" t="s">
        <v>5</v>
      </c>
      <c r="AI48" s="400">
        <v>2090.7829999999999</v>
      </c>
      <c r="AJ48" s="400" t="s">
        <v>5</v>
      </c>
      <c r="AK48" s="400" t="s">
        <v>5</v>
      </c>
      <c r="AL48" s="400" t="s">
        <v>5</v>
      </c>
      <c r="AM48" s="400" t="s">
        <v>5</v>
      </c>
      <c r="AN48" s="400" t="s">
        <v>5</v>
      </c>
      <c r="AO48" s="400" t="s">
        <v>5</v>
      </c>
      <c r="AP48" s="400" t="s">
        <v>5</v>
      </c>
      <c r="AQ48" s="400" t="s">
        <v>5</v>
      </c>
      <c r="AR48" s="400" t="s">
        <v>5</v>
      </c>
      <c r="AS48" s="400" t="s">
        <v>5</v>
      </c>
      <c r="AT48" s="400" t="s">
        <v>5</v>
      </c>
      <c r="AU48" s="400" t="s">
        <v>5</v>
      </c>
      <c r="AV48" s="400" t="s">
        <v>5</v>
      </c>
      <c r="AW48" s="400">
        <v>3342.4300000000003</v>
      </c>
      <c r="AX48" s="400" t="s">
        <v>5</v>
      </c>
      <c r="AY48" s="400" t="s">
        <v>5</v>
      </c>
      <c r="AZ48" s="400" t="s">
        <v>5</v>
      </c>
      <c r="BA48" s="400" t="s">
        <v>5</v>
      </c>
      <c r="BB48" s="400" t="s">
        <v>5</v>
      </c>
      <c r="BC48" s="400" t="s">
        <v>5</v>
      </c>
      <c r="BD48" s="400" t="s">
        <v>5</v>
      </c>
      <c r="BE48" s="400" t="s">
        <v>5</v>
      </c>
      <c r="BF48" s="400">
        <v>209229.02321409361</v>
      </c>
      <c r="BG48" s="400" t="s">
        <v>5</v>
      </c>
      <c r="BH48" s="400" t="s">
        <v>5</v>
      </c>
      <c r="BI48" s="400" t="s">
        <v>5</v>
      </c>
      <c r="BJ48" s="400" t="s">
        <v>5</v>
      </c>
      <c r="BK48" s="400" t="s">
        <v>5</v>
      </c>
      <c r="BL48" s="400" t="s">
        <v>5</v>
      </c>
      <c r="BM48" s="400">
        <v>33.442</v>
      </c>
      <c r="BN48" s="400">
        <v>301.96699999999998</v>
      </c>
      <c r="BO48" s="400" t="s">
        <v>5</v>
      </c>
      <c r="BP48" s="400" t="s">
        <v>5</v>
      </c>
      <c r="BQ48" s="400" t="s">
        <v>5</v>
      </c>
      <c r="BR48" s="400" t="s">
        <v>5</v>
      </c>
      <c r="BS48" s="400" t="s">
        <v>5</v>
      </c>
      <c r="BT48" s="400" t="s">
        <v>5</v>
      </c>
    </row>
    <row r="49" spans="1:72">
      <c r="A49" s="418">
        <v>14</v>
      </c>
      <c r="B49" s="418" t="s">
        <v>1050</v>
      </c>
      <c r="C49" s="418"/>
      <c r="D49" s="418"/>
      <c r="E49" s="418" t="s">
        <v>1051</v>
      </c>
      <c r="F49" s="418"/>
      <c r="G49" s="418" t="s">
        <v>1052</v>
      </c>
      <c r="H49" s="418"/>
      <c r="I49" s="418"/>
      <c r="J49" s="419">
        <v>0</v>
      </c>
      <c r="K49" s="419">
        <v>0</v>
      </c>
      <c r="L49" s="419">
        <v>0</v>
      </c>
      <c r="M49" s="419">
        <v>0</v>
      </c>
      <c r="N49" s="419">
        <v>0</v>
      </c>
      <c r="O49" s="419">
        <v>0</v>
      </c>
      <c r="P49" s="419">
        <v>0</v>
      </c>
      <c r="Q49" s="419">
        <v>0</v>
      </c>
      <c r="R49" s="419">
        <v>0</v>
      </c>
      <c r="S49" s="419">
        <v>0</v>
      </c>
      <c r="T49" s="419">
        <v>0</v>
      </c>
      <c r="U49" s="419">
        <v>0</v>
      </c>
      <c r="V49" s="419">
        <v>0</v>
      </c>
      <c r="W49" s="419">
        <v>0</v>
      </c>
      <c r="X49" s="419">
        <v>0</v>
      </c>
      <c r="Y49" s="419">
        <v>196628.65108552238</v>
      </c>
      <c r="Z49" s="419">
        <v>0</v>
      </c>
      <c r="AA49" s="419">
        <v>0</v>
      </c>
      <c r="AB49" s="419">
        <v>345.64</v>
      </c>
      <c r="AC49" s="419">
        <v>789.20100000000014</v>
      </c>
      <c r="AD49" s="419">
        <v>182.92200000000003</v>
      </c>
      <c r="AE49" s="419">
        <v>0</v>
      </c>
      <c r="AF49" s="419">
        <v>0</v>
      </c>
      <c r="AG49" s="419">
        <v>0</v>
      </c>
      <c r="AH49" s="419">
        <v>0</v>
      </c>
      <c r="AI49" s="419">
        <v>0</v>
      </c>
      <c r="AJ49" s="419">
        <v>7.4412000000000003</v>
      </c>
      <c r="AK49" s="419">
        <v>0</v>
      </c>
      <c r="AL49" s="419">
        <v>190.16899999999998</v>
      </c>
      <c r="AM49" s="419">
        <v>350.37349999999992</v>
      </c>
      <c r="AN49" s="419">
        <v>138.20400000000001</v>
      </c>
      <c r="AO49" s="419">
        <v>579.05400000000009</v>
      </c>
      <c r="AP49" s="419">
        <v>0</v>
      </c>
      <c r="AQ49" s="419">
        <v>0</v>
      </c>
      <c r="AR49" s="419">
        <v>0</v>
      </c>
      <c r="AS49" s="419">
        <v>0</v>
      </c>
      <c r="AT49" s="419">
        <v>0</v>
      </c>
      <c r="AU49" s="419">
        <v>0</v>
      </c>
      <c r="AV49" s="419">
        <v>0</v>
      </c>
      <c r="AW49" s="419">
        <v>0</v>
      </c>
      <c r="AX49" s="419">
        <v>564.61299999999994</v>
      </c>
      <c r="AY49" s="419">
        <v>789.20100000000014</v>
      </c>
      <c r="AZ49" s="419">
        <v>0</v>
      </c>
      <c r="BA49" s="419">
        <v>0</v>
      </c>
      <c r="BB49" s="419">
        <v>0</v>
      </c>
      <c r="BC49" s="419">
        <v>0</v>
      </c>
      <c r="BD49" s="419">
        <v>0</v>
      </c>
      <c r="BE49" s="419">
        <v>0</v>
      </c>
      <c r="BF49" s="419">
        <v>0</v>
      </c>
      <c r="BG49" s="419">
        <v>1255.7024999999996</v>
      </c>
      <c r="BH49" s="419">
        <v>0</v>
      </c>
      <c r="BI49" s="419">
        <v>19958.280083714853</v>
      </c>
      <c r="BJ49" s="419">
        <v>73481.794804905818</v>
      </c>
      <c r="BK49" s="419">
        <v>96205.825607032108</v>
      </c>
      <c r="BL49" s="419">
        <v>0</v>
      </c>
      <c r="BM49" s="419">
        <v>0</v>
      </c>
      <c r="BN49" s="419">
        <v>0</v>
      </c>
      <c r="BO49" s="419">
        <v>39.257999999999996</v>
      </c>
      <c r="BP49" s="419">
        <v>0</v>
      </c>
      <c r="BQ49" s="419">
        <v>942.10899999999992</v>
      </c>
      <c r="BR49" s="419">
        <v>1477.1</v>
      </c>
      <c r="BS49" s="419">
        <v>3709.5660000000003</v>
      </c>
      <c r="BT49" s="419">
        <v>0</v>
      </c>
    </row>
    <row r="50" spans="1:72" outlineLevel="1">
      <c r="A50" s="402"/>
      <c r="B50" s="402" t="s">
        <v>1052</v>
      </c>
      <c r="C50" s="402" t="s">
        <v>1051</v>
      </c>
      <c r="D50" s="402">
        <v>1</v>
      </c>
      <c r="E50" s="402" t="s">
        <v>1053</v>
      </c>
      <c r="F50" s="402" t="s">
        <v>1054</v>
      </c>
      <c r="G50" s="402" t="s">
        <v>1055</v>
      </c>
      <c r="H50" s="402"/>
      <c r="I50" s="402"/>
      <c r="J50" s="396" t="s">
        <v>5</v>
      </c>
      <c r="K50" s="396" t="s">
        <v>5</v>
      </c>
      <c r="L50" s="396" t="s">
        <v>5</v>
      </c>
      <c r="M50" s="396" t="s">
        <v>5</v>
      </c>
      <c r="N50" s="396" t="s">
        <v>5</v>
      </c>
      <c r="O50" s="396" t="s">
        <v>5</v>
      </c>
      <c r="P50" s="396" t="s">
        <v>5</v>
      </c>
      <c r="Q50" s="396" t="s">
        <v>5</v>
      </c>
      <c r="R50" s="396" t="s">
        <v>5</v>
      </c>
      <c r="S50" s="396" t="s">
        <v>5</v>
      </c>
      <c r="T50" s="396" t="s">
        <v>5</v>
      </c>
      <c r="U50" s="396" t="s">
        <v>5</v>
      </c>
      <c r="V50" s="396" t="s">
        <v>5</v>
      </c>
      <c r="W50" s="396" t="s">
        <v>5</v>
      </c>
      <c r="X50" s="396" t="s">
        <v>5</v>
      </c>
      <c r="Y50" s="396">
        <v>20557.0284862263</v>
      </c>
      <c r="Z50" s="396" t="s">
        <v>5</v>
      </c>
      <c r="AA50" s="396" t="s">
        <v>5</v>
      </c>
      <c r="AB50" s="396">
        <v>345.64</v>
      </c>
      <c r="AC50" s="396">
        <v>789.20100000000014</v>
      </c>
      <c r="AD50" s="396" t="s">
        <v>5</v>
      </c>
      <c r="AE50" s="396" t="s">
        <v>5</v>
      </c>
      <c r="AF50" s="396" t="s">
        <v>5</v>
      </c>
      <c r="AG50" s="396" t="s">
        <v>5</v>
      </c>
      <c r="AH50" s="396" t="s">
        <v>5</v>
      </c>
      <c r="AI50" s="396" t="s">
        <v>5</v>
      </c>
      <c r="AJ50" s="396" t="s">
        <v>5</v>
      </c>
      <c r="AK50" s="396" t="s">
        <v>5</v>
      </c>
      <c r="AL50" s="396">
        <v>190.16899999999998</v>
      </c>
      <c r="AM50" s="396" t="s">
        <v>5</v>
      </c>
      <c r="AN50" s="396" t="s">
        <v>5</v>
      </c>
      <c r="AO50" s="396" t="s">
        <v>5</v>
      </c>
      <c r="AP50" s="396" t="s">
        <v>5</v>
      </c>
      <c r="AQ50" s="396" t="s">
        <v>5</v>
      </c>
      <c r="AR50" s="396" t="s">
        <v>5</v>
      </c>
      <c r="AS50" s="396" t="s">
        <v>5</v>
      </c>
      <c r="AT50" s="396" t="s">
        <v>5</v>
      </c>
      <c r="AU50" s="396" t="s">
        <v>5</v>
      </c>
      <c r="AV50" s="396" t="s">
        <v>5</v>
      </c>
      <c r="AW50" s="396" t="s">
        <v>5</v>
      </c>
      <c r="AX50" s="396">
        <v>564.61299999999994</v>
      </c>
      <c r="AY50" s="396">
        <v>789.20100000000014</v>
      </c>
      <c r="AZ50" s="396" t="s">
        <v>5</v>
      </c>
      <c r="BA50" s="396" t="s">
        <v>5</v>
      </c>
      <c r="BB50" s="396" t="s">
        <v>5</v>
      </c>
      <c r="BC50" s="396" t="s">
        <v>5</v>
      </c>
      <c r="BD50" s="396" t="s">
        <v>5</v>
      </c>
      <c r="BE50" s="396" t="s">
        <v>5</v>
      </c>
      <c r="BF50" s="396" t="s">
        <v>5</v>
      </c>
      <c r="BG50" s="396" t="s">
        <v>5</v>
      </c>
      <c r="BH50" s="396" t="s">
        <v>5</v>
      </c>
      <c r="BI50" s="396">
        <v>19958.280083714853</v>
      </c>
      <c r="BJ50" s="396" t="s">
        <v>5</v>
      </c>
      <c r="BK50" s="396" t="s">
        <v>5</v>
      </c>
      <c r="BL50" s="396" t="s">
        <v>5</v>
      </c>
      <c r="BM50" s="396" t="s">
        <v>5</v>
      </c>
      <c r="BN50" s="396" t="s">
        <v>5</v>
      </c>
      <c r="BO50" s="396" t="s">
        <v>5</v>
      </c>
      <c r="BP50" s="396" t="s">
        <v>5</v>
      </c>
      <c r="BQ50" s="396">
        <v>942.10899999999992</v>
      </c>
      <c r="BR50" s="396" t="s">
        <v>5</v>
      </c>
      <c r="BS50" s="396" t="s">
        <v>5</v>
      </c>
      <c r="BT50" s="396" t="s">
        <v>5</v>
      </c>
    </row>
    <row r="51" spans="1:72" outlineLevel="1">
      <c r="A51" s="398"/>
      <c r="B51" s="398" t="s">
        <v>1052</v>
      </c>
      <c r="C51" s="398" t="s">
        <v>1051</v>
      </c>
      <c r="D51" s="398">
        <v>2</v>
      </c>
      <c r="E51" s="398" t="s">
        <v>1056</v>
      </c>
      <c r="F51" s="398" t="s">
        <v>1057</v>
      </c>
      <c r="G51" s="398" t="s">
        <v>1058</v>
      </c>
      <c r="H51" s="398"/>
      <c r="I51" s="398"/>
      <c r="J51" s="399" t="s">
        <v>5</v>
      </c>
      <c r="K51" s="399" t="s">
        <v>5</v>
      </c>
      <c r="L51" s="399" t="s">
        <v>5</v>
      </c>
      <c r="M51" s="399" t="s">
        <v>5</v>
      </c>
      <c r="N51" s="399" t="s">
        <v>5</v>
      </c>
      <c r="O51" s="399" t="s">
        <v>5</v>
      </c>
      <c r="P51" s="399" t="s">
        <v>5</v>
      </c>
      <c r="Q51" s="399" t="s">
        <v>5</v>
      </c>
      <c r="R51" s="399" t="s">
        <v>5</v>
      </c>
      <c r="S51" s="399" t="s">
        <v>5</v>
      </c>
      <c r="T51" s="399" t="s">
        <v>5</v>
      </c>
      <c r="U51" s="399" t="s">
        <v>5</v>
      </c>
      <c r="V51" s="399" t="s">
        <v>5</v>
      </c>
      <c r="W51" s="399" t="s">
        <v>5</v>
      </c>
      <c r="X51" s="399" t="s">
        <v>5</v>
      </c>
      <c r="Y51" s="399">
        <v>75686.248649052999</v>
      </c>
      <c r="Z51" s="399" t="s">
        <v>5</v>
      </c>
      <c r="AA51" s="399" t="s">
        <v>5</v>
      </c>
      <c r="AB51" s="399" t="s">
        <v>5</v>
      </c>
      <c r="AC51" s="399" t="s">
        <v>5</v>
      </c>
      <c r="AD51" s="399" t="s">
        <v>5</v>
      </c>
      <c r="AE51" s="399" t="s">
        <v>5</v>
      </c>
      <c r="AF51" s="399" t="s">
        <v>5</v>
      </c>
      <c r="AG51" s="399" t="s">
        <v>5</v>
      </c>
      <c r="AH51" s="399" t="s">
        <v>5</v>
      </c>
      <c r="AI51" s="399" t="s">
        <v>5</v>
      </c>
      <c r="AJ51" s="399" t="s">
        <v>5</v>
      </c>
      <c r="AK51" s="399" t="s">
        <v>5</v>
      </c>
      <c r="AL51" s="399" t="s">
        <v>5</v>
      </c>
      <c r="AM51" s="399">
        <v>273.47349999999994</v>
      </c>
      <c r="AN51" s="399" t="s">
        <v>5</v>
      </c>
      <c r="AO51" s="399" t="s">
        <v>5</v>
      </c>
      <c r="AP51" s="399" t="s">
        <v>5</v>
      </c>
      <c r="AQ51" s="399" t="s">
        <v>5</v>
      </c>
      <c r="AR51" s="399" t="s">
        <v>5</v>
      </c>
      <c r="AS51" s="399" t="s">
        <v>5</v>
      </c>
      <c r="AT51" s="399" t="s">
        <v>5</v>
      </c>
      <c r="AU51" s="399" t="s">
        <v>5</v>
      </c>
      <c r="AV51" s="399" t="s">
        <v>5</v>
      </c>
      <c r="AW51" s="399" t="s">
        <v>5</v>
      </c>
      <c r="AX51" s="399" t="s">
        <v>5</v>
      </c>
      <c r="AY51" s="399" t="s">
        <v>5</v>
      </c>
      <c r="AZ51" s="399" t="s">
        <v>5</v>
      </c>
      <c r="BA51" s="399" t="s">
        <v>5</v>
      </c>
      <c r="BB51" s="399" t="s">
        <v>5</v>
      </c>
      <c r="BC51" s="399" t="s">
        <v>5</v>
      </c>
      <c r="BD51" s="399" t="s">
        <v>5</v>
      </c>
      <c r="BE51" s="399" t="s">
        <v>5</v>
      </c>
      <c r="BF51" s="399" t="s">
        <v>5</v>
      </c>
      <c r="BG51" s="399" t="s">
        <v>5</v>
      </c>
      <c r="BH51" s="399" t="s">
        <v>5</v>
      </c>
      <c r="BI51" s="399" t="s">
        <v>5</v>
      </c>
      <c r="BJ51" s="399">
        <v>73481.794804905818</v>
      </c>
      <c r="BK51" s="399" t="s">
        <v>5</v>
      </c>
      <c r="BL51" s="399" t="s">
        <v>5</v>
      </c>
      <c r="BM51" s="399" t="s">
        <v>5</v>
      </c>
      <c r="BN51" s="399" t="s">
        <v>5</v>
      </c>
      <c r="BO51" s="399" t="s">
        <v>5</v>
      </c>
      <c r="BP51" s="399" t="s">
        <v>5</v>
      </c>
      <c r="BQ51" s="399" t="s">
        <v>5</v>
      </c>
      <c r="BR51" s="399">
        <v>1477.1</v>
      </c>
      <c r="BS51" s="399" t="s">
        <v>5</v>
      </c>
      <c r="BT51" s="399" t="s">
        <v>5</v>
      </c>
    </row>
    <row r="52" spans="1:72" outlineLevel="1">
      <c r="A52" s="398"/>
      <c r="B52" s="398" t="s">
        <v>1052</v>
      </c>
      <c r="C52" s="398" t="s">
        <v>1051</v>
      </c>
      <c r="D52" s="398">
        <v>3</v>
      </c>
      <c r="E52" s="398" t="s">
        <v>1059</v>
      </c>
      <c r="F52" s="398" t="s">
        <v>109</v>
      </c>
      <c r="G52" s="398" t="s">
        <v>1060</v>
      </c>
      <c r="H52" s="398"/>
      <c r="I52" s="398"/>
      <c r="J52" s="399" t="s">
        <v>5</v>
      </c>
      <c r="K52" s="399" t="s">
        <v>5</v>
      </c>
      <c r="L52" s="399" t="s">
        <v>5</v>
      </c>
      <c r="M52" s="399" t="s">
        <v>5</v>
      </c>
      <c r="N52" s="399" t="s">
        <v>5</v>
      </c>
      <c r="O52" s="399" t="s">
        <v>5</v>
      </c>
      <c r="P52" s="399" t="s">
        <v>5</v>
      </c>
      <c r="Q52" s="399" t="s">
        <v>5</v>
      </c>
      <c r="R52" s="399" t="s">
        <v>5</v>
      </c>
      <c r="S52" s="399" t="s">
        <v>5</v>
      </c>
      <c r="T52" s="399" t="s">
        <v>5</v>
      </c>
      <c r="U52" s="399" t="s">
        <v>5</v>
      </c>
      <c r="V52" s="399" t="s">
        <v>5</v>
      </c>
      <c r="W52" s="399" t="s">
        <v>5</v>
      </c>
      <c r="X52" s="399" t="s">
        <v>5</v>
      </c>
      <c r="Y52" s="399">
        <v>99092.000375243078</v>
      </c>
      <c r="Z52" s="399" t="s">
        <v>5</v>
      </c>
      <c r="AA52" s="399" t="s">
        <v>5</v>
      </c>
      <c r="AB52" s="399" t="s">
        <v>5</v>
      </c>
      <c r="AC52" s="399" t="s">
        <v>5</v>
      </c>
      <c r="AD52" s="399">
        <v>182.92200000000003</v>
      </c>
      <c r="AE52" s="399" t="s">
        <v>5</v>
      </c>
      <c r="AF52" s="399" t="s">
        <v>5</v>
      </c>
      <c r="AG52" s="399" t="s">
        <v>5</v>
      </c>
      <c r="AH52" s="399" t="s">
        <v>5</v>
      </c>
      <c r="AI52" s="399" t="s">
        <v>5</v>
      </c>
      <c r="AJ52" s="399" t="s">
        <v>5</v>
      </c>
      <c r="AK52" s="399" t="s">
        <v>5</v>
      </c>
      <c r="AL52" s="399" t="s">
        <v>5</v>
      </c>
      <c r="AM52" s="399">
        <v>76.900000000000006</v>
      </c>
      <c r="AN52" s="399">
        <v>138.20400000000001</v>
      </c>
      <c r="AO52" s="399">
        <v>579.05400000000009</v>
      </c>
      <c r="AP52" s="399" t="s">
        <v>5</v>
      </c>
      <c r="AQ52" s="399" t="s">
        <v>5</v>
      </c>
      <c r="AR52" s="399" t="s">
        <v>5</v>
      </c>
      <c r="AS52" s="399" t="s">
        <v>5</v>
      </c>
      <c r="AT52" s="399" t="s">
        <v>5</v>
      </c>
      <c r="AU52" s="399" t="s">
        <v>5</v>
      </c>
      <c r="AV52" s="399" t="s">
        <v>5</v>
      </c>
      <c r="AW52" s="399" t="s">
        <v>5</v>
      </c>
      <c r="AX52" s="399" t="s">
        <v>5</v>
      </c>
      <c r="AY52" s="399" t="s">
        <v>5</v>
      </c>
      <c r="AZ52" s="399" t="s">
        <v>5</v>
      </c>
      <c r="BA52" s="399" t="s">
        <v>5</v>
      </c>
      <c r="BB52" s="399" t="s">
        <v>5</v>
      </c>
      <c r="BC52" s="399" t="s">
        <v>5</v>
      </c>
      <c r="BD52" s="399" t="s">
        <v>5</v>
      </c>
      <c r="BE52" s="399" t="s">
        <v>5</v>
      </c>
      <c r="BF52" s="399" t="s">
        <v>5</v>
      </c>
      <c r="BG52" s="399" t="s">
        <v>5</v>
      </c>
      <c r="BH52" s="399" t="s">
        <v>5</v>
      </c>
      <c r="BI52" s="399" t="s">
        <v>5</v>
      </c>
      <c r="BJ52" s="399" t="s">
        <v>5</v>
      </c>
      <c r="BK52" s="399">
        <v>96205.825607032108</v>
      </c>
      <c r="BL52" s="399" t="s">
        <v>5</v>
      </c>
      <c r="BM52" s="399" t="s">
        <v>5</v>
      </c>
      <c r="BN52" s="399" t="s">
        <v>5</v>
      </c>
      <c r="BO52" s="399" t="s">
        <v>5</v>
      </c>
      <c r="BP52" s="399" t="s">
        <v>5</v>
      </c>
      <c r="BQ52" s="399" t="s">
        <v>5</v>
      </c>
      <c r="BR52" s="399" t="s">
        <v>5</v>
      </c>
      <c r="BS52" s="399">
        <v>3709.5660000000003</v>
      </c>
      <c r="BT52" s="399" t="s">
        <v>5</v>
      </c>
    </row>
    <row r="53" spans="1:72" outlineLevel="1">
      <c r="A53" s="403"/>
      <c r="B53" s="403" t="s">
        <v>1052</v>
      </c>
      <c r="C53" s="403" t="s">
        <v>1051</v>
      </c>
      <c r="D53" s="403">
        <v>4</v>
      </c>
      <c r="E53" s="403" t="s">
        <v>1061</v>
      </c>
      <c r="F53" s="403" t="s">
        <v>1062</v>
      </c>
      <c r="G53" s="403" t="s">
        <v>1063</v>
      </c>
      <c r="H53" s="403"/>
      <c r="I53" s="403"/>
      <c r="J53" s="397" t="s">
        <v>5</v>
      </c>
      <c r="K53" s="397" t="s">
        <v>5</v>
      </c>
      <c r="L53" s="397" t="s">
        <v>5</v>
      </c>
      <c r="M53" s="397" t="s">
        <v>5</v>
      </c>
      <c r="N53" s="397" t="s">
        <v>5</v>
      </c>
      <c r="O53" s="397" t="s">
        <v>5</v>
      </c>
      <c r="P53" s="397" t="s">
        <v>5</v>
      </c>
      <c r="Q53" s="397" t="s">
        <v>5</v>
      </c>
      <c r="R53" s="397" t="s">
        <v>5</v>
      </c>
      <c r="S53" s="397" t="s">
        <v>5</v>
      </c>
      <c r="T53" s="397" t="s">
        <v>5</v>
      </c>
      <c r="U53" s="397" t="s">
        <v>5</v>
      </c>
      <c r="V53" s="397" t="s">
        <v>5</v>
      </c>
      <c r="W53" s="397" t="s">
        <v>5</v>
      </c>
      <c r="X53" s="397" t="s">
        <v>5</v>
      </c>
      <c r="Y53" s="397">
        <v>1293.3735749999996</v>
      </c>
      <c r="Z53" s="397" t="s">
        <v>5</v>
      </c>
      <c r="AA53" s="397" t="s">
        <v>5</v>
      </c>
      <c r="AB53" s="397" t="s">
        <v>5</v>
      </c>
      <c r="AC53" s="397" t="s">
        <v>5</v>
      </c>
      <c r="AD53" s="397" t="s">
        <v>5</v>
      </c>
      <c r="AE53" s="397" t="s">
        <v>5</v>
      </c>
      <c r="AF53" s="397" t="s">
        <v>5</v>
      </c>
      <c r="AG53" s="397" t="s">
        <v>5</v>
      </c>
      <c r="AH53" s="397" t="s">
        <v>5</v>
      </c>
      <c r="AI53" s="397" t="s">
        <v>5</v>
      </c>
      <c r="AJ53" s="397">
        <v>7.4412000000000003</v>
      </c>
      <c r="AK53" s="397" t="s">
        <v>5</v>
      </c>
      <c r="AL53" s="397" t="s">
        <v>5</v>
      </c>
      <c r="AM53" s="397" t="s">
        <v>5</v>
      </c>
      <c r="AN53" s="397" t="s">
        <v>5</v>
      </c>
      <c r="AO53" s="397" t="s">
        <v>5</v>
      </c>
      <c r="AP53" s="397" t="s">
        <v>5</v>
      </c>
      <c r="AQ53" s="397" t="s">
        <v>5</v>
      </c>
      <c r="AR53" s="397" t="s">
        <v>5</v>
      </c>
      <c r="AS53" s="397" t="s">
        <v>5</v>
      </c>
      <c r="AT53" s="397" t="s">
        <v>5</v>
      </c>
      <c r="AU53" s="397" t="s">
        <v>5</v>
      </c>
      <c r="AV53" s="397" t="s">
        <v>5</v>
      </c>
      <c r="AW53" s="397" t="s">
        <v>5</v>
      </c>
      <c r="AX53" s="397" t="s">
        <v>5</v>
      </c>
      <c r="AY53" s="397" t="s">
        <v>5</v>
      </c>
      <c r="AZ53" s="397" t="s">
        <v>5</v>
      </c>
      <c r="BA53" s="397" t="s">
        <v>5</v>
      </c>
      <c r="BB53" s="397" t="s">
        <v>5</v>
      </c>
      <c r="BC53" s="397" t="s">
        <v>5</v>
      </c>
      <c r="BD53" s="397" t="s">
        <v>5</v>
      </c>
      <c r="BE53" s="397" t="s">
        <v>5</v>
      </c>
      <c r="BF53" s="397" t="s">
        <v>5</v>
      </c>
      <c r="BG53" s="397">
        <v>1255.7024999999996</v>
      </c>
      <c r="BH53" s="397" t="s">
        <v>5</v>
      </c>
      <c r="BI53" s="397" t="s">
        <v>5</v>
      </c>
      <c r="BJ53" s="397" t="s">
        <v>5</v>
      </c>
      <c r="BK53" s="397" t="s">
        <v>5</v>
      </c>
      <c r="BL53" s="397" t="s">
        <v>5</v>
      </c>
      <c r="BM53" s="397" t="s">
        <v>5</v>
      </c>
      <c r="BN53" s="397" t="s">
        <v>5</v>
      </c>
      <c r="BO53" s="397">
        <v>39.257999999999996</v>
      </c>
      <c r="BP53" s="397" t="s">
        <v>5</v>
      </c>
      <c r="BQ53" s="397" t="s">
        <v>5</v>
      </c>
      <c r="BR53" s="397" t="s">
        <v>5</v>
      </c>
      <c r="BS53" s="397" t="s">
        <v>5</v>
      </c>
      <c r="BT53" s="397" t="s">
        <v>5</v>
      </c>
    </row>
    <row r="54" spans="1:72">
      <c r="A54" s="418">
        <v>15</v>
      </c>
      <c r="B54" s="418" t="s">
        <v>1050</v>
      </c>
      <c r="C54" s="418"/>
      <c r="D54" s="418"/>
      <c r="E54" s="418" t="s">
        <v>1064</v>
      </c>
      <c r="F54" s="418"/>
      <c r="G54" s="418" t="s">
        <v>1065</v>
      </c>
      <c r="H54" s="418"/>
      <c r="I54" s="418"/>
      <c r="J54" s="419">
        <v>0</v>
      </c>
      <c r="K54" s="419">
        <v>0</v>
      </c>
      <c r="L54" s="419">
        <v>0</v>
      </c>
      <c r="M54" s="419">
        <v>0</v>
      </c>
      <c r="N54" s="419">
        <v>0</v>
      </c>
      <c r="O54" s="419">
        <v>0</v>
      </c>
      <c r="P54" s="419">
        <v>0</v>
      </c>
      <c r="Q54" s="419">
        <v>0</v>
      </c>
      <c r="R54" s="419">
        <v>0</v>
      </c>
      <c r="S54" s="419">
        <v>0</v>
      </c>
      <c r="T54" s="419">
        <v>0</v>
      </c>
      <c r="U54" s="419">
        <v>0</v>
      </c>
      <c r="V54" s="419">
        <v>0</v>
      </c>
      <c r="W54" s="419">
        <v>0</v>
      </c>
      <c r="X54" s="419">
        <v>0</v>
      </c>
      <c r="Y54" s="419">
        <v>229269.72678784435</v>
      </c>
      <c r="Z54" s="419">
        <v>0</v>
      </c>
      <c r="AA54" s="419">
        <v>0</v>
      </c>
      <c r="AB54" s="419">
        <v>292.82</v>
      </c>
      <c r="AC54" s="419">
        <v>733.25200000000007</v>
      </c>
      <c r="AD54" s="419">
        <v>178.61500000000001</v>
      </c>
      <c r="AE54" s="419">
        <v>0</v>
      </c>
      <c r="AF54" s="419">
        <v>0</v>
      </c>
      <c r="AG54" s="419">
        <v>0</v>
      </c>
      <c r="AH54" s="419">
        <v>0</v>
      </c>
      <c r="AI54" s="419">
        <v>0</v>
      </c>
      <c r="AJ54" s="419">
        <v>7.4412000000000003</v>
      </c>
      <c r="AK54" s="419">
        <v>0</v>
      </c>
      <c r="AL54" s="419">
        <v>184.31199999999998</v>
      </c>
      <c r="AM54" s="419">
        <v>385.75700000000006</v>
      </c>
      <c r="AN54" s="419">
        <v>181.76300000000001</v>
      </c>
      <c r="AO54" s="419">
        <v>711.61000000000013</v>
      </c>
      <c r="AP54" s="419">
        <v>0</v>
      </c>
      <c r="AQ54" s="419">
        <v>0</v>
      </c>
      <c r="AR54" s="419">
        <v>0</v>
      </c>
      <c r="AS54" s="419">
        <v>0</v>
      </c>
      <c r="AT54" s="419">
        <v>0</v>
      </c>
      <c r="AU54" s="419">
        <v>0</v>
      </c>
      <c r="AV54" s="419">
        <v>0</v>
      </c>
      <c r="AW54" s="419">
        <v>0</v>
      </c>
      <c r="AX54" s="419">
        <v>643.14300000000014</v>
      </c>
      <c r="AY54" s="419">
        <v>733.25200000000007</v>
      </c>
      <c r="AZ54" s="419">
        <v>0</v>
      </c>
      <c r="BA54" s="419">
        <v>0</v>
      </c>
      <c r="BB54" s="419">
        <v>0</v>
      </c>
      <c r="BC54" s="419">
        <v>0</v>
      </c>
      <c r="BD54" s="419">
        <v>0</v>
      </c>
      <c r="BE54" s="419">
        <v>0</v>
      </c>
      <c r="BF54" s="419">
        <v>0</v>
      </c>
      <c r="BG54" s="419">
        <v>1255.7024999999996</v>
      </c>
      <c r="BH54" s="419">
        <v>0</v>
      </c>
      <c r="BI54" s="419">
        <v>19343.58659292341</v>
      </c>
      <c r="BJ54" s="419">
        <v>80902.570310129231</v>
      </c>
      <c r="BK54" s="419">
        <v>121090.10835213604</v>
      </c>
      <c r="BL54" s="419">
        <v>0</v>
      </c>
      <c r="BM54" s="419">
        <v>0</v>
      </c>
      <c r="BN54" s="419">
        <v>0</v>
      </c>
      <c r="BO54" s="419">
        <v>39.257999999999996</v>
      </c>
      <c r="BP54" s="419">
        <v>0</v>
      </c>
      <c r="BQ54" s="419">
        <v>921.9559999999999</v>
      </c>
      <c r="BR54" s="419">
        <v>1548.4140000000002</v>
      </c>
      <c r="BS54" s="419">
        <v>4483.808</v>
      </c>
      <c r="BT54" s="419">
        <v>0</v>
      </c>
    </row>
    <row r="55" spans="1:72" outlineLevel="1">
      <c r="A55" s="402"/>
      <c r="B55" s="402" t="s">
        <v>1065</v>
      </c>
      <c r="C55" s="402" t="s">
        <v>1064</v>
      </c>
      <c r="D55" s="402">
        <v>1</v>
      </c>
      <c r="E55" s="402" t="s">
        <v>1066</v>
      </c>
      <c r="F55" s="402" t="s">
        <v>1067</v>
      </c>
      <c r="G55" s="402" t="s">
        <v>1068</v>
      </c>
      <c r="H55" s="402"/>
      <c r="I55" s="402"/>
      <c r="J55" s="396" t="s">
        <v>5</v>
      </c>
      <c r="K55" s="396" t="s">
        <v>5</v>
      </c>
      <c r="L55" s="396" t="s">
        <v>5</v>
      </c>
      <c r="M55" s="396" t="s">
        <v>5</v>
      </c>
      <c r="N55" s="396" t="s">
        <v>5</v>
      </c>
      <c r="O55" s="396" t="s">
        <v>5</v>
      </c>
      <c r="P55" s="396" t="s">
        <v>5</v>
      </c>
      <c r="Q55" s="396" t="s">
        <v>5</v>
      </c>
      <c r="R55" s="396" t="s">
        <v>5</v>
      </c>
      <c r="S55" s="396" t="s">
        <v>5</v>
      </c>
      <c r="T55" s="396" t="s">
        <v>5</v>
      </c>
      <c r="U55" s="396" t="s">
        <v>5</v>
      </c>
      <c r="V55" s="396" t="s">
        <v>5</v>
      </c>
      <c r="W55" s="396" t="s">
        <v>5</v>
      </c>
      <c r="X55" s="396" t="s">
        <v>5</v>
      </c>
      <c r="Y55" s="396">
        <v>19923.894190711111</v>
      </c>
      <c r="Z55" s="396" t="s">
        <v>5</v>
      </c>
      <c r="AA55" s="396" t="s">
        <v>5</v>
      </c>
      <c r="AB55" s="396">
        <v>292.82</v>
      </c>
      <c r="AC55" s="396">
        <v>733.25200000000007</v>
      </c>
      <c r="AD55" s="396" t="s">
        <v>5</v>
      </c>
      <c r="AE55" s="396" t="s">
        <v>5</v>
      </c>
      <c r="AF55" s="396" t="s">
        <v>5</v>
      </c>
      <c r="AG55" s="396" t="s">
        <v>5</v>
      </c>
      <c r="AH55" s="396" t="s">
        <v>5</v>
      </c>
      <c r="AI55" s="396" t="s">
        <v>5</v>
      </c>
      <c r="AJ55" s="396" t="s">
        <v>5</v>
      </c>
      <c r="AK55" s="396" t="s">
        <v>5</v>
      </c>
      <c r="AL55" s="396">
        <v>184.31199999999998</v>
      </c>
      <c r="AM55" s="396" t="s">
        <v>5</v>
      </c>
      <c r="AN55" s="396" t="s">
        <v>5</v>
      </c>
      <c r="AO55" s="396" t="s">
        <v>5</v>
      </c>
      <c r="AP55" s="396" t="s">
        <v>5</v>
      </c>
      <c r="AQ55" s="396" t="s">
        <v>5</v>
      </c>
      <c r="AR55" s="396" t="s">
        <v>5</v>
      </c>
      <c r="AS55" s="396" t="s">
        <v>5</v>
      </c>
      <c r="AT55" s="396" t="s">
        <v>5</v>
      </c>
      <c r="AU55" s="396" t="s">
        <v>5</v>
      </c>
      <c r="AV55" s="396" t="s">
        <v>5</v>
      </c>
      <c r="AW55" s="396" t="s">
        <v>5</v>
      </c>
      <c r="AX55" s="396">
        <v>643.14300000000014</v>
      </c>
      <c r="AY55" s="396">
        <v>733.25200000000007</v>
      </c>
      <c r="AZ55" s="396" t="s">
        <v>5</v>
      </c>
      <c r="BA55" s="396" t="s">
        <v>5</v>
      </c>
      <c r="BB55" s="396" t="s">
        <v>5</v>
      </c>
      <c r="BC55" s="396" t="s">
        <v>5</v>
      </c>
      <c r="BD55" s="396" t="s">
        <v>5</v>
      </c>
      <c r="BE55" s="396" t="s">
        <v>5</v>
      </c>
      <c r="BF55" s="396" t="s">
        <v>5</v>
      </c>
      <c r="BG55" s="396" t="s">
        <v>5</v>
      </c>
      <c r="BH55" s="396" t="s">
        <v>5</v>
      </c>
      <c r="BI55" s="396">
        <v>19343.58659292341</v>
      </c>
      <c r="BJ55" s="396" t="s">
        <v>5</v>
      </c>
      <c r="BK55" s="396" t="s">
        <v>5</v>
      </c>
      <c r="BL55" s="396" t="s">
        <v>5</v>
      </c>
      <c r="BM55" s="396" t="s">
        <v>5</v>
      </c>
      <c r="BN55" s="396" t="s">
        <v>5</v>
      </c>
      <c r="BO55" s="396" t="s">
        <v>5</v>
      </c>
      <c r="BP55" s="396" t="s">
        <v>5</v>
      </c>
      <c r="BQ55" s="396">
        <v>921.9559999999999</v>
      </c>
      <c r="BR55" s="396" t="s">
        <v>5</v>
      </c>
      <c r="BS55" s="396" t="s">
        <v>5</v>
      </c>
      <c r="BT55" s="396" t="s">
        <v>5</v>
      </c>
    </row>
    <row r="56" spans="1:72" outlineLevel="1">
      <c r="A56" s="398"/>
      <c r="B56" s="398" t="s">
        <v>1065</v>
      </c>
      <c r="C56" s="398" t="s">
        <v>1064</v>
      </c>
      <c r="D56" s="398">
        <v>2</v>
      </c>
      <c r="E56" s="398" t="s">
        <v>1069</v>
      </c>
      <c r="F56" s="398" t="s">
        <v>1070</v>
      </c>
      <c r="G56" s="398" t="s">
        <v>1071</v>
      </c>
      <c r="H56" s="398"/>
      <c r="I56" s="398"/>
      <c r="J56" s="399" t="s">
        <v>5</v>
      </c>
      <c r="K56" s="399" t="s">
        <v>5</v>
      </c>
      <c r="L56" s="399" t="s">
        <v>5</v>
      </c>
      <c r="M56" s="399" t="s">
        <v>5</v>
      </c>
      <c r="N56" s="399" t="s">
        <v>5</v>
      </c>
      <c r="O56" s="399" t="s">
        <v>5</v>
      </c>
      <c r="P56" s="399" t="s">
        <v>5</v>
      </c>
      <c r="Q56" s="399" t="s">
        <v>5</v>
      </c>
      <c r="R56" s="399" t="s">
        <v>5</v>
      </c>
      <c r="S56" s="399" t="s">
        <v>5</v>
      </c>
      <c r="T56" s="399" t="s">
        <v>5</v>
      </c>
      <c r="U56" s="399" t="s">
        <v>5</v>
      </c>
      <c r="V56" s="399" t="s">
        <v>5</v>
      </c>
      <c r="W56" s="399" t="s">
        <v>5</v>
      </c>
      <c r="X56" s="399" t="s">
        <v>5</v>
      </c>
      <c r="Y56" s="399">
        <v>83329.647419433109</v>
      </c>
      <c r="Z56" s="399" t="s">
        <v>5</v>
      </c>
      <c r="AA56" s="399" t="s">
        <v>5</v>
      </c>
      <c r="AB56" s="399" t="s">
        <v>5</v>
      </c>
      <c r="AC56" s="399" t="s">
        <v>5</v>
      </c>
      <c r="AD56" s="399" t="s">
        <v>5</v>
      </c>
      <c r="AE56" s="399" t="s">
        <v>5</v>
      </c>
      <c r="AF56" s="399" t="s">
        <v>5</v>
      </c>
      <c r="AG56" s="399" t="s">
        <v>5</v>
      </c>
      <c r="AH56" s="399" t="s">
        <v>5</v>
      </c>
      <c r="AI56" s="399" t="s">
        <v>5</v>
      </c>
      <c r="AJ56" s="399" t="s">
        <v>5</v>
      </c>
      <c r="AK56" s="399" t="s">
        <v>5</v>
      </c>
      <c r="AL56" s="399" t="s">
        <v>5</v>
      </c>
      <c r="AM56" s="399">
        <v>310.78600000000006</v>
      </c>
      <c r="AN56" s="399" t="s">
        <v>5</v>
      </c>
      <c r="AO56" s="399" t="s">
        <v>5</v>
      </c>
      <c r="AP56" s="399" t="s">
        <v>5</v>
      </c>
      <c r="AQ56" s="399" t="s">
        <v>5</v>
      </c>
      <c r="AR56" s="399" t="s">
        <v>5</v>
      </c>
      <c r="AS56" s="399" t="s">
        <v>5</v>
      </c>
      <c r="AT56" s="399" t="s">
        <v>5</v>
      </c>
      <c r="AU56" s="399" t="s">
        <v>5</v>
      </c>
      <c r="AV56" s="399" t="s">
        <v>5</v>
      </c>
      <c r="AW56" s="399" t="s">
        <v>5</v>
      </c>
      <c r="AX56" s="399" t="s">
        <v>5</v>
      </c>
      <c r="AY56" s="399" t="s">
        <v>5</v>
      </c>
      <c r="AZ56" s="399" t="s">
        <v>5</v>
      </c>
      <c r="BA56" s="399" t="s">
        <v>5</v>
      </c>
      <c r="BB56" s="399" t="s">
        <v>5</v>
      </c>
      <c r="BC56" s="399" t="s">
        <v>5</v>
      </c>
      <c r="BD56" s="399" t="s">
        <v>5</v>
      </c>
      <c r="BE56" s="399" t="s">
        <v>5</v>
      </c>
      <c r="BF56" s="399" t="s">
        <v>5</v>
      </c>
      <c r="BG56" s="399" t="s">
        <v>5</v>
      </c>
      <c r="BH56" s="399" t="s">
        <v>5</v>
      </c>
      <c r="BI56" s="399" t="s">
        <v>5</v>
      </c>
      <c r="BJ56" s="399">
        <v>80902.570310129231</v>
      </c>
      <c r="BK56" s="399" t="s">
        <v>5</v>
      </c>
      <c r="BL56" s="399" t="s">
        <v>5</v>
      </c>
      <c r="BM56" s="399" t="s">
        <v>5</v>
      </c>
      <c r="BN56" s="399" t="s">
        <v>5</v>
      </c>
      <c r="BO56" s="399" t="s">
        <v>5</v>
      </c>
      <c r="BP56" s="399" t="s">
        <v>5</v>
      </c>
      <c r="BQ56" s="399" t="s">
        <v>5</v>
      </c>
      <c r="BR56" s="399">
        <v>1548.4140000000002</v>
      </c>
      <c r="BS56" s="399" t="s">
        <v>5</v>
      </c>
      <c r="BT56" s="399" t="s">
        <v>5</v>
      </c>
    </row>
    <row r="57" spans="1:72" outlineLevel="1">
      <c r="A57" s="398"/>
      <c r="B57" s="398" t="s">
        <v>1065</v>
      </c>
      <c r="C57" s="398" t="s">
        <v>1064</v>
      </c>
      <c r="D57" s="398">
        <v>3</v>
      </c>
      <c r="E57" s="398" t="s">
        <v>1072</v>
      </c>
      <c r="F57" s="398" t="s">
        <v>492</v>
      </c>
      <c r="G57" s="398" t="s">
        <v>1073</v>
      </c>
      <c r="H57" s="398"/>
      <c r="I57" s="398"/>
      <c r="J57" s="399" t="s">
        <v>5</v>
      </c>
      <c r="K57" s="399" t="s">
        <v>5</v>
      </c>
      <c r="L57" s="399" t="s">
        <v>5</v>
      </c>
      <c r="M57" s="399" t="s">
        <v>5</v>
      </c>
      <c r="N57" s="399" t="s">
        <v>5</v>
      </c>
      <c r="O57" s="399" t="s">
        <v>5</v>
      </c>
      <c r="P57" s="399" t="s">
        <v>5</v>
      </c>
      <c r="Q57" s="399" t="s">
        <v>5</v>
      </c>
      <c r="R57" s="399" t="s">
        <v>5</v>
      </c>
      <c r="S57" s="399" t="s">
        <v>5</v>
      </c>
      <c r="T57" s="399" t="s">
        <v>5</v>
      </c>
      <c r="U57" s="399" t="s">
        <v>5</v>
      </c>
      <c r="V57" s="399" t="s">
        <v>5</v>
      </c>
      <c r="W57" s="399" t="s">
        <v>5</v>
      </c>
      <c r="X57" s="399" t="s">
        <v>5</v>
      </c>
      <c r="Y57" s="399">
        <v>124722.81160270012</v>
      </c>
      <c r="Z57" s="399" t="s">
        <v>5</v>
      </c>
      <c r="AA57" s="399" t="s">
        <v>5</v>
      </c>
      <c r="AB57" s="399" t="s">
        <v>5</v>
      </c>
      <c r="AC57" s="399" t="s">
        <v>5</v>
      </c>
      <c r="AD57" s="399">
        <v>178.61500000000001</v>
      </c>
      <c r="AE57" s="399" t="s">
        <v>5</v>
      </c>
      <c r="AF57" s="399" t="s">
        <v>5</v>
      </c>
      <c r="AG57" s="399" t="s">
        <v>5</v>
      </c>
      <c r="AH57" s="399" t="s">
        <v>5</v>
      </c>
      <c r="AI57" s="399" t="s">
        <v>5</v>
      </c>
      <c r="AJ57" s="399" t="s">
        <v>5</v>
      </c>
      <c r="AK57" s="399" t="s">
        <v>5</v>
      </c>
      <c r="AL57" s="399" t="s">
        <v>5</v>
      </c>
      <c r="AM57" s="399">
        <v>74.971000000000004</v>
      </c>
      <c r="AN57" s="399">
        <v>181.76300000000001</v>
      </c>
      <c r="AO57" s="399">
        <v>711.61000000000013</v>
      </c>
      <c r="AP57" s="399" t="s">
        <v>5</v>
      </c>
      <c r="AQ57" s="399" t="s">
        <v>5</v>
      </c>
      <c r="AR57" s="399" t="s">
        <v>5</v>
      </c>
      <c r="AS57" s="399" t="s">
        <v>5</v>
      </c>
      <c r="AT57" s="399" t="s">
        <v>5</v>
      </c>
      <c r="AU57" s="399" t="s">
        <v>5</v>
      </c>
      <c r="AV57" s="399" t="s">
        <v>5</v>
      </c>
      <c r="AW57" s="399" t="s">
        <v>5</v>
      </c>
      <c r="AX57" s="399" t="s">
        <v>5</v>
      </c>
      <c r="AY57" s="399" t="s">
        <v>5</v>
      </c>
      <c r="AZ57" s="399" t="s">
        <v>5</v>
      </c>
      <c r="BA57" s="399" t="s">
        <v>5</v>
      </c>
      <c r="BB57" s="399" t="s">
        <v>5</v>
      </c>
      <c r="BC57" s="399" t="s">
        <v>5</v>
      </c>
      <c r="BD57" s="399" t="s">
        <v>5</v>
      </c>
      <c r="BE57" s="399" t="s">
        <v>5</v>
      </c>
      <c r="BF57" s="399" t="s">
        <v>5</v>
      </c>
      <c r="BG57" s="399" t="s">
        <v>5</v>
      </c>
      <c r="BH57" s="399" t="s">
        <v>5</v>
      </c>
      <c r="BI57" s="399" t="s">
        <v>5</v>
      </c>
      <c r="BJ57" s="399" t="s">
        <v>5</v>
      </c>
      <c r="BK57" s="399">
        <v>121090.10835213604</v>
      </c>
      <c r="BL57" s="399" t="s">
        <v>5</v>
      </c>
      <c r="BM57" s="399" t="s">
        <v>5</v>
      </c>
      <c r="BN57" s="399" t="s">
        <v>5</v>
      </c>
      <c r="BO57" s="399" t="s">
        <v>5</v>
      </c>
      <c r="BP57" s="399" t="s">
        <v>5</v>
      </c>
      <c r="BQ57" s="399" t="s">
        <v>5</v>
      </c>
      <c r="BR57" s="399" t="s">
        <v>5</v>
      </c>
      <c r="BS57" s="399">
        <v>4483.808</v>
      </c>
      <c r="BT57" s="399" t="s">
        <v>5</v>
      </c>
    </row>
    <row r="58" spans="1:72" outlineLevel="1">
      <c r="A58" s="403"/>
      <c r="B58" s="403" t="s">
        <v>1065</v>
      </c>
      <c r="C58" s="403" t="s">
        <v>1064</v>
      </c>
      <c r="D58" s="403">
        <v>4</v>
      </c>
      <c r="E58" s="403" t="s">
        <v>1074</v>
      </c>
      <c r="F58" s="403" t="s">
        <v>1075</v>
      </c>
      <c r="G58" s="403" t="s">
        <v>1076</v>
      </c>
      <c r="H58" s="403"/>
      <c r="I58" s="403"/>
      <c r="J58" s="397" t="s">
        <v>5</v>
      </c>
      <c r="K58" s="397" t="s">
        <v>5</v>
      </c>
      <c r="L58" s="397" t="s">
        <v>5</v>
      </c>
      <c r="M58" s="397" t="s">
        <v>5</v>
      </c>
      <c r="N58" s="397" t="s">
        <v>5</v>
      </c>
      <c r="O58" s="397" t="s">
        <v>5</v>
      </c>
      <c r="P58" s="397" t="s">
        <v>5</v>
      </c>
      <c r="Q58" s="397" t="s">
        <v>5</v>
      </c>
      <c r="R58" s="397" t="s">
        <v>5</v>
      </c>
      <c r="S58" s="397" t="s">
        <v>5</v>
      </c>
      <c r="T58" s="397" t="s">
        <v>5</v>
      </c>
      <c r="U58" s="397" t="s">
        <v>5</v>
      </c>
      <c r="V58" s="397" t="s">
        <v>5</v>
      </c>
      <c r="W58" s="397" t="s">
        <v>5</v>
      </c>
      <c r="X58" s="397" t="s">
        <v>5</v>
      </c>
      <c r="Y58" s="397">
        <v>1293.3735749999996</v>
      </c>
      <c r="Z58" s="397" t="s">
        <v>5</v>
      </c>
      <c r="AA58" s="397" t="s">
        <v>5</v>
      </c>
      <c r="AB58" s="397" t="s">
        <v>5</v>
      </c>
      <c r="AC58" s="397" t="s">
        <v>5</v>
      </c>
      <c r="AD58" s="397" t="s">
        <v>5</v>
      </c>
      <c r="AE58" s="397" t="s">
        <v>5</v>
      </c>
      <c r="AF58" s="397" t="s">
        <v>5</v>
      </c>
      <c r="AG58" s="397" t="s">
        <v>5</v>
      </c>
      <c r="AH58" s="397" t="s">
        <v>5</v>
      </c>
      <c r="AI58" s="397" t="s">
        <v>5</v>
      </c>
      <c r="AJ58" s="397">
        <v>7.4412000000000003</v>
      </c>
      <c r="AK58" s="397" t="s">
        <v>5</v>
      </c>
      <c r="AL58" s="397" t="s">
        <v>5</v>
      </c>
      <c r="AM58" s="397" t="s">
        <v>5</v>
      </c>
      <c r="AN58" s="397" t="s">
        <v>5</v>
      </c>
      <c r="AO58" s="397" t="s">
        <v>5</v>
      </c>
      <c r="AP58" s="397" t="s">
        <v>5</v>
      </c>
      <c r="AQ58" s="397" t="s">
        <v>5</v>
      </c>
      <c r="AR58" s="397" t="s">
        <v>5</v>
      </c>
      <c r="AS58" s="397" t="s">
        <v>5</v>
      </c>
      <c r="AT58" s="397" t="s">
        <v>5</v>
      </c>
      <c r="AU58" s="397" t="s">
        <v>5</v>
      </c>
      <c r="AV58" s="397" t="s">
        <v>5</v>
      </c>
      <c r="AW58" s="397" t="s">
        <v>5</v>
      </c>
      <c r="AX58" s="397" t="s">
        <v>5</v>
      </c>
      <c r="AY58" s="397" t="s">
        <v>5</v>
      </c>
      <c r="AZ58" s="397" t="s">
        <v>5</v>
      </c>
      <c r="BA58" s="397" t="s">
        <v>5</v>
      </c>
      <c r="BB58" s="397" t="s">
        <v>5</v>
      </c>
      <c r="BC58" s="397" t="s">
        <v>5</v>
      </c>
      <c r="BD58" s="397" t="s">
        <v>5</v>
      </c>
      <c r="BE58" s="397" t="s">
        <v>5</v>
      </c>
      <c r="BF58" s="397" t="s">
        <v>5</v>
      </c>
      <c r="BG58" s="397">
        <v>1255.7024999999996</v>
      </c>
      <c r="BH58" s="397" t="s">
        <v>5</v>
      </c>
      <c r="BI58" s="397" t="s">
        <v>5</v>
      </c>
      <c r="BJ58" s="397" t="s">
        <v>5</v>
      </c>
      <c r="BK58" s="397" t="s">
        <v>5</v>
      </c>
      <c r="BL58" s="397" t="s">
        <v>5</v>
      </c>
      <c r="BM58" s="397" t="s">
        <v>5</v>
      </c>
      <c r="BN58" s="397" t="s">
        <v>5</v>
      </c>
      <c r="BO58" s="397">
        <v>39.257999999999996</v>
      </c>
      <c r="BP58" s="397" t="s">
        <v>5</v>
      </c>
      <c r="BQ58" s="397" t="s">
        <v>5</v>
      </c>
      <c r="BR58" s="397" t="s">
        <v>5</v>
      </c>
      <c r="BS58" s="397" t="s">
        <v>5</v>
      </c>
      <c r="BT58" s="397" t="s">
        <v>5</v>
      </c>
    </row>
    <row r="59" spans="1:72">
      <c r="A59" s="418">
        <v>16</v>
      </c>
      <c r="B59" s="418" t="s">
        <v>1050</v>
      </c>
      <c r="C59" s="418"/>
      <c r="D59" s="418"/>
      <c r="E59" s="418" t="s">
        <v>1077</v>
      </c>
      <c r="F59" s="418"/>
      <c r="G59" s="418" t="s">
        <v>1078</v>
      </c>
      <c r="H59" s="418"/>
      <c r="I59" s="418"/>
      <c r="J59" s="419">
        <v>0</v>
      </c>
      <c r="K59" s="419">
        <v>0</v>
      </c>
      <c r="L59" s="419">
        <v>0</v>
      </c>
      <c r="M59" s="419">
        <v>0</v>
      </c>
      <c r="N59" s="419">
        <v>0</v>
      </c>
      <c r="O59" s="419">
        <v>0</v>
      </c>
      <c r="P59" s="419">
        <v>0</v>
      </c>
      <c r="Q59" s="419">
        <v>0</v>
      </c>
      <c r="R59" s="419">
        <v>0</v>
      </c>
      <c r="S59" s="419">
        <v>0</v>
      </c>
      <c r="T59" s="419">
        <v>0</v>
      </c>
      <c r="U59" s="419">
        <v>0</v>
      </c>
      <c r="V59" s="419">
        <v>0</v>
      </c>
      <c r="W59" s="419">
        <v>0</v>
      </c>
      <c r="X59" s="419">
        <v>0</v>
      </c>
      <c r="Y59" s="419">
        <v>232750.45092523671</v>
      </c>
      <c r="Z59" s="419">
        <v>0</v>
      </c>
      <c r="AA59" s="419">
        <v>0</v>
      </c>
      <c r="AB59" s="419">
        <v>292.3</v>
      </c>
      <c r="AC59" s="419">
        <v>693.35400000000004</v>
      </c>
      <c r="AD59" s="419">
        <v>177.601</v>
      </c>
      <c r="AE59" s="419">
        <v>0</v>
      </c>
      <c r="AF59" s="419">
        <v>0</v>
      </c>
      <c r="AG59" s="419">
        <v>0</v>
      </c>
      <c r="AH59" s="419">
        <v>0</v>
      </c>
      <c r="AI59" s="419">
        <v>0</v>
      </c>
      <c r="AJ59" s="419">
        <v>7.4412000000000003</v>
      </c>
      <c r="AK59" s="419">
        <v>0</v>
      </c>
      <c r="AL59" s="419">
        <v>167.61499999999998</v>
      </c>
      <c r="AM59" s="419">
        <v>382.34699999999998</v>
      </c>
      <c r="AN59" s="419">
        <v>190.76999999999995</v>
      </c>
      <c r="AO59" s="419">
        <v>745.46199999999999</v>
      </c>
      <c r="AP59" s="419">
        <v>0</v>
      </c>
      <c r="AQ59" s="419">
        <v>0</v>
      </c>
      <c r="AR59" s="419">
        <v>0</v>
      </c>
      <c r="AS59" s="419">
        <v>0</v>
      </c>
      <c r="AT59" s="419">
        <v>0</v>
      </c>
      <c r="AU59" s="419">
        <v>0</v>
      </c>
      <c r="AV59" s="419">
        <v>0</v>
      </c>
      <c r="AW59" s="419">
        <v>0</v>
      </c>
      <c r="AX59" s="419">
        <v>514.56299999999999</v>
      </c>
      <c r="AY59" s="419">
        <v>693.35400000000004</v>
      </c>
      <c r="AZ59" s="419">
        <v>0</v>
      </c>
      <c r="BA59" s="419">
        <v>0</v>
      </c>
      <c r="BB59" s="419">
        <v>0</v>
      </c>
      <c r="BC59" s="419">
        <v>0</v>
      </c>
      <c r="BD59" s="419">
        <v>0</v>
      </c>
      <c r="BE59" s="419">
        <v>0</v>
      </c>
      <c r="BF59" s="419">
        <v>0</v>
      </c>
      <c r="BG59" s="419">
        <v>1255.7024999999996</v>
      </c>
      <c r="BH59" s="419">
        <v>0</v>
      </c>
      <c r="BI59" s="419">
        <v>17591.232620626208</v>
      </c>
      <c r="BJ59" s="419">
        <v>80187.410858045303</v>
      </c>
      <c r="BK59" s="419">
        <v>126936.96559922819</v>
      </c>
      <c r="BL59" s="419">
        <v>0</v>
      </c>
      <c r="BM59" s="419">
        <v>0</v>
      </c>
      <c r="BN59" s="419">
        <v>0</v>
      </c>
      <c r="BO59" s="419">
        <v>39.257999999999996</v>
      </c>
      <c r="BP59" s="419">
        <v>0</v>
      </c>
      <c r="BQ59" s="419">
        <v>839.43999999999994</v>
      </c>
      <c r="BR59" s="419">
        <v>1568.492</v>
      </c>
      <c r="BS59" s="419">
        <v>4734.5109999999995</v>
      </c>
      <c r="BT59" s="419">
        <v>0</v>
      </c>
    </row>
    <row r="60" spans="1:72" outlineLevel="1">
      <c r="A60" s="402"/>
      <c r="B60" s="402" t="s">
        <v>1078</v>
      </c>
      <c r="C60" s="402" t="s">
        <v>1077</v>
      </c>
      <c r="D60" s="402">
        <v>1</v>
      </c>
      <c r="E60" s="402" t="s">
        <v>1079</v>
      </c>
      <c r="F60" s="402" t="s">
        <v>1080</v>
      </c>
      <c r="G60" s="402" t="s">
        <v>1081</v>
      </c>
      <c r="H60" s="402"/>
      <c r="I60" s="402"/>
      <c r="J60" s="396" t="s">
        <v>5</v>
      </c>
      <c r="K60" s="396" t="s">
        <v>5</v>
      </c>
      <c r="L60" s="396" t="s">
        <v>5</v>
      </c>
      <c r="M60" s="396" t="s">
        <v>5</v>
      </c>
      <c r="N60" s="396" t="s">
        <v>5</v>
      </c>
      <c r="O60" s="396" t="s">
        <v>5</v>
      </c>
      <c r="P60" s="396" t="s">
        <v>5</v>
      </c>
      <c r="Q60" s="396" t="s">
        <v>5</v>
      </c>
      <c r="R60" s="396" t="s">
        <v>5</v>
      </c>
      <c r="S60" s="396" t="s">
        <v>5</v>
      </c>
      <c r="T60" s="396" t="s">
        <v>5</v>
      </c>
      <c r="U60" s="396" t="s">
        <v>5</v>
      </c>
      <c r="V60" s="396" t="s">
        <v>5</v>
      </c>
      <c r="W60" s="396" t="s">
        <v>5</v>
      </c>
      <c r="X60" s="396" t="s">
        <v>5</v>
      </c>
      <c r="Y60" s="396">
        <v>18118.969599244996</v>
      </c>
      <c r="Z60" s="396" t="s">
        <v>5</v>
      </c>
      <c r="AA60" s="396" t="s">
        <v>5</v>
      </c>
      <c r="AB60" s="396">
        <v>292.3</v>
      </c>
      <c r="AC60" s="396">
        <v>693.35400000000004</v>
      </c>
      <c r="AD60" s="396" t="s">
        <v>5</v>
      </c>
      <c r="AE60" s="396" t="s">
        <v>5</v>
      </c>
      <c r="AF60" s="396" t="s">
        <v>5</v>
      </c>
      <c r="AG60" s="396" t="s">
        <v>5</v>
      </c>
      <c r="AH60" s="396" t="s">
        <v>5</v>
      </c>
      <c r="AI60" s="396" t="s">
        <v>5</v>
      </c>
      <c r="AJ60" s="396" t="s">
        <v>5</v>
      </c>
      <c r="AK60" s="396" t="s">
        <v>5</v>
      </c>
      <c r="AL60" s="396">
        <v>167.61499999999998</v>
      </c>
      <c r="AM60" s="396" t="s">
        <v>5</v>
      </c>
      <c r="AN60" s="396" t="s">
        <v>5</v>
      </c>
      <c r="AO60" s="396" t="s">
        <v>5</v>
      </c>
      <c r="AP60" s="396" t="s">
        <v>5</v>
      </c>
      <c r="AQ60" s="396" t="s">
        <v>5</v>
      </c>
      <c r="AR60" s="396" t="s">
        <v>5</v>
      </c>
      <c r="AS60" s="396" t="s">
        <v>5</v>
      </c>
      <c r="AT60" s="396" t="s">
        <v>5</v>
      </c>
      <c r="AU60" s="396" t="s">
        <v>5</v>
      </c>
      <c r="AV60" s="396" t="s">
        <v>5</v>
      </c>
      <c r="AW60" s="396" t="s">
        <v>5</v>
      </c>
      <c r="AX60" s="396">
        <v>514.56299999999999</v>
      </c>
      <c r="AY60" s="396">
        <v>693.35400000000004</v>
      </c>
      <c r="AZ60" s="396" t="s">
        <v>5</v>
      </c>
      <c r="BA60" s="396" t="s">
        <v>5</v>
      </c>
      <c r="BB60" s="396" t="s">
        <v>5</v>
      </c>
      <c r="BC60" s="396" t="s">
        <v>5</v>
      </c>
      <c r="BD60" s="396" t="s">
        <v>5</v>
      </c>
      <c r="BE60" s="396" t="s">
        <v>5</v>
      </c>
      <c r="BF60" s="396" t="s">
        <v>5</v>
      </c>
      <c r="BG60" s="396" t="s">
        <v>5</v>
      </c>
      <c r="BH60" s="396" t="s">
        <v>5</v>
      </c>
      <c r="BI60" s="396">
        <v>17591.232620626208</v>
      </c>
      <c r="BJ60" s="396" t="s">
        <v>5</v>
      </c>
      <c r="BK60" s="396" t="s">
        <v>5</v>
      </c>
      <c r="BL60" s="396" t="s">
        <v>5</v>
      </c>
      <c r="BM60" s="396" t="s">
        <v>5</v>
      </c>
      <c r="BN60" s="396" t="s">
        <v>5</v>
      </c>
      <c r="BO60" s="396" t="s">
        <v>5</v>
      </c>
      <c r="BP60" s="396" t="s">
        <v>5</v>
      </c>
      <c r="BQ60" s="396">
        <v>839.43999999999994</v>
      </c>
      <c r="BR60" s="396" t="s">
        <v>5</v>
      </c>
      <c r="BS60" s="396" t="s">
        <v>5</v>
      </c>
      <c r="BT60" s="396" t="s">
        <v>5</v>
      </c>
    </row>
    <row r="61" spans="1:72" outlineLevel="1">
      <c r="A61" s="398"/>
      <c r="B61" s="398" t="s">
        <v>1078</v>
      </c>
      <c r="C61" s="398" t="s">
        <v>1077</v>
      </c>
      <c r="D61" s="398">
        <v>2</v>
      </c>
      <c r="E61" s="398" t="s">
        <v>1082</v>
      </c>
      <c r="F61" s="398" t="s">
        <v>1083</v>
      </c>
      <c r="G61" s="398" t="s">
        <v>1084</v>
      </c>
      <c r="H61" s="398"/>
      <c r="I61" s="398"/>
      <c r="J61" s="399" t="s">
        <v>5</v>
      </c>
      <c r="K61" s="399" t="s">
        <v>5</v>
      </c>
      <c r="L61" s="399" t="s">
        <v>5</v>
      </c>
      <c r="M61" s="399" t="s">
        <v>5</v>
      </c>
      <c r="N61" s="399" t="s">
        <v>5</v>
      </c>
      <c r="O61" s="399" t="s">
        <v>5</v>
      </c>
      <c r="P61" s="399" t="s">
        <v>5</v>
      </c>
      <c r="Q61" s="399" t="s">
        <v>5</v>
      </c>
      <c r="R61" s="399" t="s">
        <v>5</v>
      </c>
      <c r="S61" s="399" t="s">
        <v>5</v>
      </c>
      <c r="T61" s="399" t="s">
        <v>5</v>
      </c>
      <c r="U61" s="399" t="s">
        <v>5</v>
      </c>
      <c r="V61" s="399" t="s">
        <v>5</v>
      </c>
      <c r="W61" s="399" t="s">
        <v>5</v>
      </c>
      <c r="X61" s="399" t="s">
        <v>5</v>
      </c>
      <c r="Y61" s="399">
        <v>82593.033183786669</v>
      </c>
      <c r="Z61" s="399" t="s">
        <v>5</v>
      </c>
      <c r="AA61" s="399" t="s">
        <v>5</v>
      </c>
      <c r="AB61" s="399" t="s">
        <v>5</v>
      </c>
      <c r="AC61" s="399" t="s">
        <v>5</v>
      </c>
      <c r="AD61" s="399" t="s">
        <v>5</v>
      </c>
      <c r="AE61" s="399" t="s">
        <v>5</v>
      </c>
      <c r="AF61" s="399" t="s">
        <v>5</v>
      </c>
      <c r="AG61" s="399" t="s">
        <v>5</v>
      </c>
      <c r="AH61" s="399" t="s">
        <v>5</v>
      </c>
      <c r="AI61" s="399" t="s">
        <v>5</v>
      </c>
      <c r="AJ61" s="399" t="s">
        <v>5</v>
      </c>
      <c r="AK61" s="399" t="s">
        <v>5</v>
      </c>
      <c r="AL61" s="399" t="s">
        <v>5</v>
      </c>
      <c r="AM61" s="399">
        <v>307.25</v>
      </c>
      <c r="AN61" s="399" t="s">
        <v>5</v>
      </c>
      <c r="AO61" s="399" t="s">
        <v>5</v>
      </c>
      <c r="AP61" s="399" t="s">
        <v>5</v>
      </c>
      <c r="AQ61" s="399" t="s">
        <v>5</v>
      </c>
      <c r="AR61" s="399" t="s">
        <v>5</v>
      </c>
      <c r="AS61" s="399" t="s">
        <v>5</v>
      </c>
      <c r="AT61" s="399" t="s">
        <v>5</v>
      </c>
      <c r="AU61" s="399" t="s">
        <v>5</v>
      </c>
      <c r="AV61" s="399" t="s">
        <v>5</v>
      </c>
      <c r="AW61" s="399" t="s">
        <v>5</v>
      </c>
      <c r="AX61" s="399" t="s">
        <v>5</v>
      </c>
      <c r="AY61" s="399" t="s">
        <v>5</v>
      </c>
      <c r="AZ61" s="399" t="s">
        <v>5</v>
      </c>
      <c r="BA61" s="399" t="s">
        <v>5</v>
      </c>
      <c r="BB61" s="399" t="s">
        <v>5</v>
      </c>
      <c r="BC61" s="399" t="s">
        <v>5</v>
      </c>
      <c r="BD61" s="399" t="s">
        <v>5</v>
      </c>
      <c r="BE61" s="399" t="s">
        <v>5</v>
      </c>
      <c r="BF61" s="399" t="s">
        <v>5</v>
      </c>
      <c r="BG61" s="399" t="s">
        <v>5</v>
      </c>
      <c r="BH61" s="399" t="s">
        <v>5</v>
      </c>
      <c r="BI61" s="399" t="s">
        <v>5</v>
      </c>
      <c r="BJ61" s="399">
        <v>80187.410858045303</v>
      </c>
      <c r="BK61" s="399" t="s">
        <v>5</v>
      </c>
      <c r="BL61" s="399" t="s">
        <v>5</v>
      </c>
      <c r="BM61" s="399" t="s">
        <v>5</v>
      </c>
      <c r="BN61" s="399" t="s">
        <v>5</v>
      </c>
      <c r="BO61" s="399" t="s">
        <v>5</v>
      </c>
      <c r="BP61" s="399" t="s">
        <v>5</v>
      </c>
      <c r="BQ61" s="399" t="s">
        <v>5</v>
      </c>
      <c r="BR61" s="399">
        <v>1568.492</v>
      </c>
      <c r="BS61" s="399" t="s">
        <v>5</v>
      </c>
      <c r="BT61" s="399" t="s">
        <v>5</v>
      </c>
    </row>
    <row r="62" spans="1:72" outlineLevel="1">
      <c r="A62" s="398"/>
      <c r="B62" s="398" t="s">
        <v>1078</v>
      </c>
      <c r="C62" s="398" t="s">
        <v>1077</v>
      </c>
      <c r="D62" s="398">
        <v>3</v>
      </c>
      <c r="E62" s="398" t="s">
        <v>1085</v>
      </c>
      <c r="F62" s="398" t="s">
        <v>1086</v>
      </c>
      <c r="G62" s="398" t="s">
        <v>1087</v>
      </c>
      <c r="H62" s="398"/>
      <c r="I62" s="398"/>
      <c r="J62" s="399" t="s">
        <v>5</v>
      </c>
      <c r="K62" s="399" t="s">
        <v>5</v>
      </c>
      <c r="L62" s="399" t="s">
        <v>5</v>
      </c>
      <c r="M62" s="399" t="s">
        <v>5</v>
      </c>
      <c r="N62" s="399" t="s">
        <v>5</v>
      </c>
      <c r="O62" s="399" t="s">
        <v>5</v>
      </c>
      <c r="P62" s="399" t="s">
        <v>5</v>
      </c>
      <c r="Q62" s="399" t="s">
        <v>5</v>
      </c>
      <c r="R62" s="399" t="s">
        <v>5</v>
      </c>
      <c r="S62" s="399" t="s">
        <v>5</v>
      </c>
      <c r="T62" s="399" t="s">
        <v>5</v>
      </c>
      <c r="U62" s="399" t="s">
        <v>5</v>
      </c>
      <c r="V62" s="399" t="s">
        <v>5</v>
      </c>
      <c r="W62" s="399" t="s">
        <v>5</v>
      </c>
      <c r="X62" s="399" t="s">
        <v>5</v>
      </c>
      <c r="Y62" s="399">
        <v>130745.07456720504</v>
      </c>
      <c r="Z62" s="399" t="s">
        <v>5</v>
      </c>
      <c r="AA62" s="399" t="s">
        <v>5</v>
      </c>
      <c r="AB62" s="399" t="s">
        <v>5</v>
      </c>
      <c r="AC62" s="399" t="s">
        <v>5</v>
      </c>
      <c r="AD62" s="399">
        <v>177.601</v>
      </c>
      <c r="AE62" s="399" t="s">
        <v>5</v>
      </c>
      <c r="AF62" s="399" t="s">
        <v>5</v>
      </c>
      <c r="AG62" s="399" t="s">
        <v>5</v>
      </c>
      <c r="AH62" s="399" t="s">
        <v>5</v>
      </c>
      <c r="AI62" s="399" t="s">
        <v>5</v>
      </c>
      <c r="AJ62" s="399" t="s">
        <v>5</v>
      </c>
      <c r="AK62" s="399" t="s">
        <v>5</v>
      </c>
      <c r="AL62" s="399" t="s">
        <v>5</v>
      </c>
      <c r="AM62" s="399">
        <v>75.097000000000008</v>
      </c>
      <c r="AN62" s="399">
        <v>190.76999999999995</v>
      </c>
      <c r="AO62" s="399">
        <v>745.46199999999999</v>
      </c>
      <c r="AP62" s="399" t="s">
        <v>5</v>
      </c>
      <c r="AQ62" s="399" t="s">
        <v>5</v>
      </c>
      <c r="AR62" s="399" t="s">
        <v>5</v>
      </c>
      <c r="AS62" s="399" t="s">
        <v>5</v>
      </c>
      <c r="AT62" s="399" t="s">
        <v>5</v>
      </c>
      <c r="AU62" s="399" t="s">
        <v>5</v>
      </c>
      <c r="AV62" s="399" t="s">
        <v>5</v>
      </c>
      <c r="AW62" s="399" t="s">
        <v>5</v>
      </c>
      <c r="AX62" s="399" t="s">
        <v>5</v>
      </c>
      <c r="AY62" s="399" t="s">
        <v>5</v>
      </c>
      <c r="AZ62" s="399" t="s">
        <v>5</v>
      </c>
      <c r="BA62" s="399" t="s">
        <v>5</v>
      </c>
      <c r="BB62" s="399" t="s">
        <v>5</v>
      </c>
      <c r="BC62" s="399" t="s">
        <v>5</v>
      </c>
      <c r="BD62" s="399" t="s">
        <v>5</v>
      </c>
      <c r="BE62" s="399" t="s">
        <v>5</v>
      </c>
      <c r="BF62" s="399" t="s">
        <v>5</v>
      </c>
      <c r="BG62" s="399" t="s">
        <v>5</v>
      </c>
      <c r="BH62" s="399" t="s">
        <v>5</v>
      </c>
      <c r="BI62" s="399" t="s">
        <v>5</v>
      </c>
      <c r="BJ62" s="399" t="s">
        <v>5</v>
      </c>
      <c r="BK62" s="399">
        <v>126936.96559922819</v>
      </c>
      <c r="BL62" s="399" t="s">
        <v>5</v>
      </c>
      <c r="BM62" s="399" t="s">
        <v>5</v>
      </c>
      <c r="BN62" s="399" t="s">
        <v>5</v>
      </c>
      <c r="BO62" s="399" t="s">
        <v>5</v>
      </c>
      <c r="BP62" s="399" t="s">
        <v>5</v>
      </c>
      <c r="BQ62" s="399" t="s">
        <v>5</v>
      </c>
      <c r="BR62" s="399" t="s">
        <v>5</v>
      </c>
      <c r="BS62" s="399">
        <v>4734.5109999999995</v>
      </c>
      <c r="BT62" s="399" t="s">
        <v>5</v>
      </c>
    </row>
    <row r="63" spans="1:72" outlineLevel="1">
      <c r="A63" s="403"/>
      <c r="B63" s="403" t="s">
        <v>1078</v>
      </c>
      <c r="C63" s="403" t="s">
        <v>1077</v>
      </c>
      <c r="D63" s="403">
        <v>4</v>
      </c>
      <c r="E63" s="403" t="s">
        <v>1088</v>
      </c>
      <c r="F63" s="403" t="s">
        <v>1089</v>
      </c>
      <c r="G63" s="403" t="s">
        <v>1090</v>
      </c>
      <c r="H63" s="403"/>
      <c r="I63" s="403"/>
      <c r="J63" s="397" t="s">
        <v>5</v>
      </c>
      <c r="K63" s="397" t="s">
        <v>5</v>
      </c>
      <c r="L63" s="397" t="s">
        <v>5</v>
      </c>
      <c r="M63" s="397" t="s">
        <v>5</v>
      </c>
      <c r="N63" s="397" t="s">
        <v>5</v>
      </c>
      <c r="O63" s="397" t="s">
        <v>5</v>
      </c>
      <c r="P63" s="397" t="s">
        <v>5</v>
      </c>
      <c r="Q63" s="397" t="s">
        <v>5</v>
      </c>
      <c r="R63" s="397" t="s">
        <v>5</v>
      </c>
      <c r="S63" s="397" t="s">
        <v>5</v>
      </c>
      <c r="T63" s="397" t="s">
        <v>5</v>
      </c>
      <c r="U63" s="397" t="s">
        <v>5</v>
      </c>
      <c r="V63" s="397" t="s">
        <v>5</v>
      </c>
      <c r="W63" s="397" t="s">
        <v>5</v>
      </c>
      <c r="X63" s="397" t="s">
        <v>5</v>
      </c>
      <c r="Y63" s="397">
        <v>1293.3735749999996</v>
      </c>
      <c r="Z63" s="397" t="s">
        <v>5</v>
      </c>
      <c r="AA63" s="397" t="s">
        <v>5</v>
      </c>
      <c r="AB63" s="397" t="s">
        <v>5</v>
      </c>
      <c r="AC63" s="397" t="s">
        <v>5</v>
      </c>
      <c r="AD63" s="397" t="s">
        <v>5</v>
      </c>
      <c r="AE63" s="397" t="s">
        <v>5</v>
      </c>
      <c r="AF63" s="397" t="s">
        <v>5</v>
      </c>
      <c r="AG63" s="397" t="s">
        <v>5</v>
      </c>
      <c r="AH63" s="397" t="s">
        <v>5</v>
      </c>
      <c r="AI63" s="397" t="s">
        <v>5</v>
      </c>
      <c r="AJ63" s="397">
        <v>7.4412000000000003</v>
      </c>
      <c r="AK63" s="397" t="s">
        <v>5</v>
      </c>
      <c r="AL63" s="397" t="s">
        <v>5</v>
      </c>
      <c r="AM63" s="397" t="s">
        <v>5</v>
      </c>
      <c r="AN63" s="397" t="s">
        <v>5</v>
      </c>
      <c r="AO63" s="397" t="s">
        <v>5</v>
      </c>
      <c r="AP63" s="397" t="s">
        <v>5</v>
      </c>
      <c r="AQ63" s="397" t="s">
        <v>5</v>
      </c>
      <c r="AR63" s="397" t="s">
        <v>5</v>
      </c>
      <c r="AS63" s="397" t="s">
        <v>5</v>
      </c>
      <c r="AT63" s="397" t="s">
        <v>5</v>
      </c>
      <c r="AU63" s="397" t="s">
        <v>5</v>
      </c>
      <c r="AV63" s="397" t="s">
        <v>5</v>
      </c>
      <c r="AW63" s="397" t="s">
        <v>5</v>
      </c>
      <c r="AX63" s="397" t="s">
        <v>5</v>
      </c>
      <c r="AY63" s="397" t="s">
        <v>5</v>
      </c>
      <c r="AZ63" s="397" t="s">
        <v>5</v>
      </c>
      <c r="BA63" s="397" t="s">
        <v>5</v>
      </c>
      <c r="BB63" s="397" t="s">
        <v>5</v>
      </c>
      <c r="BC63" s="397" t="s">
        <v>5</v>
      </c>
      <c r="BD63" s="397" t="s">
        <v>5</v>
      </c>
      <c r="BE63" s="397" t="s">
        <v>5</v>
      </c>
      <c r="BF63" s="397" t="s">
        <v>5</v>
      </c>
      <c r="BG63" s="397">
        <v>1255.7024999999996</v>
      </c>
      <c r="BH63" s="397" t="s">
        <v>5</v>
      </c>
      <c r="BI63" s="397" t="s">
        <v>5</v>
      </c>
      <c r="BJ63" s="397" t="s">
        <v>5</v>
      </c>
      <c r="BK63" s="397" t="s">
        <v>5</v>
      </c>
      <c r="BL63" s="397" t="s">
        <v>5</v>
      </c>
      <c r="BM63" s="397" t="s">
        <v>5</v>
      </c>
      <c r="BN63" s="397" t="s">
        <v>5</v>
      </c>
      <c r="BO63" s="397">
        <v>39.257999999999996</v>
      </c>
      <c r="BP63" s="397" t="s">
        <v>5</v>
      </c>
      <c r="BQ63" s="397" t="s">
        <v>5</v>
      </c>
      <c r="BR63" s="397" t="s">
        <v>5</v>
      </c>
      <c r="BS63" s="397" t="s">
        <v>5</v>
      </c>
      <c r="BT63" s="397" t="s">
        <v>5</v>
      </c>
    </row>
    <row r="64" spans="1:72">
      <c r="A64" s="418">
        <v>17</v>
      </c>
      <c r="B64" s="418" t="s">
        <v>1091</v>
      </c>
      <c r="C64" s="418"/>
      <c r="D64" s="418"/>
      <c r="E64" s="418" t="s">
        <v>1092</v>
      </c>
      <c r="F64" s="418"/>
      <c r="G64" s="418" t="s">
        <v>1093</v>
      </c>
      <c r="H64" s="418"/>
      <c r="I64" s="418"/>
      <c r="J64" s="419">
        <v>0</v>
      </c>
      <c r="K64" s="419">
        <v>0</v>
      </c>
      <c r="L64" s="419">
        <v>0</v>
      </c>
      <c r="M64" s="419">
        <v>0</v>
      </c>
      <c r="N64" s="419">
        <v>0</v>
      </c>
      <c r="O64" s="419">
        <v>0</v>
      </c>
      <c r="P64" s="419">
        <v>0</v>
      </c>
      <c r="Q64" s="419">
        <v>0</v>
      </c>
      <c r="R64" s="419">
        <v>0</v>
      </c>
      <c r="S64" s="419">
        <v>0</v>
      </c>
      <c r="T64" s="419">
        <v>0</v>
      </c>
      <c r="U64" s="419">
        <v>0</v>
      </c>
      <c r="V64" s="419">
        <v>0</v>
      </c>
      <c r="W64" s="419">
        <v>0</v>
      </c>
      <c r="X64" s="419">
        <v>0</v>
      </c>
      <c r="Y64" s="419">
        <v>235166.77926779931</v>
      </c>
      <c r="Z64" s="419">
        <v>0</v>
      </c>
      <c r="AA64" s="419">
        <v>0</v>
      </c>
      <c r="AB64" s="419">
        <v>323.27999999999997</v>
      </c>
      <c r="AC64" s="419">
        <v>577.76199999999994</v>
      </c>
      <c r="AD64" s="419">
        <v>379.51960000000008</v>
      </c>
      <c r="AE64" s="419">
        <v>0</v>
      </c>
      <c r="AF64" s="419">
        <v>0</v>
      </c>
      <c r="AG64" s="419">
        <v>0</v>
      </c>
      <c r="AH64" s="419">
        <v>0</v>
      </c>
      <c r="AI64" s="419">
        <v>0</v>
      </c>
      <c r="AJ64" s="419">
        <v>9.3015000000000008</v>
      </c>
      <c r="AK64" s="419">
        <v>0</v>
      </c>
      <c r="AL64" s="419">
        <v>186.58800000000002</v>
      </c>
      <c r="AM64" s="419">
        <v>436.91930000000002</v>
      </c>
      <c r="AN64" s="419">
        <v>158.27860000000004</v>
      </c>
      <c r="AO64" s="419">
        <v>499.45489999999995</v>
      </c>
      <c r="AP64" s="419">
        <v>0</v>
      </c>
      <c r="AQ64" s="419">
        <v>0</v>
      </c>
      <c r="AR64" s="419">
        <v>0</v>
      </c>
      <c r="AS64" s="419">
        <v>0</v>
      </c>
      <c r="AT64" s="419">
        <v>0</v>
      </c>
      <c r="AU64" s="419">
        <v>0</v>
      </c>
      <c r="AV64" s="419">
        <v>0</v>
      </c>
      <c r="AW64" s="419">
        <v>0</v>
      </c>
      <c r="AX64" s="419">
        <v>554.1305000000001</v>
      </c>
      <c r="AY64" s="419">
        <v>577.76199999999994</v>
      </c>
      <c r="AZ64" s="419">
        <v>0</v>
      </c>
      <c r="BA64" s="419">
        <v>0</v>
      </c>
      <c r="BB64" s="419">
        <v>0</v>
      </c>
      <c r="BC64" s="419">
        <v>0</v>
      </c>
      <c r="BD64" s="419">
        <v>0</v>
      </c>
      <c r="BE64" s="419">
        <v>0</v>
      </c>
      <c r="BF64" s="419">
        <v>0</v>
      </c>
      <c r="BG64" s="419">
        <v>1255.7025000000001</v>
      </c>
      <c r="BH64" s="419">
        <v>0</v>
      </c>
      <c r="BI64" s="419">
        <v>19582.453313948055</v>
      </c>
      <c r="BJ64" s="419">
        <v>91632.541698796005</v>
      </c>
      <c r="BK64" s="419">
        <v>115846.56391230383</v>
      </c>
      <c r="BL64" s="419">
        <v>0</v>
      </c>
      <c r="BM64" s="419">
        <v>0</v>
      </c>
      <c r="BN64" s="419">
        <v>0</v>
      </c>
      <c r="BO64" s="419">
        <v>51.547499999999999</v>
      </c>
      <c r="BP64" s="419">
        <v>0</v>
      </c>
      <c r="BQ64" s="419">
        <v>956.20800000000008</v>
      </c>
      <c r="BR64" s="419">
        <v>1950.1819</v>
      </c>
      <c r="BS64" s="419">
        <v>3714.4325999999992</v>
      </c>
      <c r="BT64" s="419">
        <v>0</v>
      </c>
    </row>
    <row r="65" spans="1:72" outlineLevel="1">
      <c r="A65" s="402"/>
      <c r="B65" s="402" t="s">
        <v>1093</v>
      </c>
      <c r="C65" s="402" t="s">
        <v>1092</v>
      </c>
      <c r="D65" s="402">
        <v>1</v>
      </c>
      <c r="E65" s="402" t="s">
        <v>1094</v>
      </c>
      <c r="F65" s="402" t="s">
        <v>1095</v>
      </c>
      <c r="G65" s="402" t="s">
        <v>1096</v>
      </c>
      <c r="H65" s="402"/>
      <c r="I65" s="402"/>
      <c r="J65" s="396" t="s">
        <v>5</v>
      </c>
      <c r="K65" s="396" t="s">
        <v>5</v>
      </c>
      <c r="L65" s="396" t="s">
        <v>5</v>
      </c>
      <c r="M65" s="396" t="s">
        <v>5</v>
      </c>
      <c r="N65" s="396" t="s">
        <v>5</v>
      </c>
      <c r="O65" s="396" t="s">
        <v>5</v>
      </c>
      <c r="P65" s="396" t="s">
        <v>5</v>
      </c>
      <c r="Q65" s="396" t="s">
        <v>5</v>
      </c>
      <c r="R65" s="396" t="s">
        <v>5</v>
      </c>
      <c r="S65" s="396" t="s">
        <v>5</v>
      </c>
      <c r="T65" s="396" t="s">
        <v>5</v>
      </c>
      <c r="U65" s="396" t="s">
        <v>5</v>
      </c>
      <c r="V65" s="396" t="s">
        <v>5</v>
      </c>
      <c r="W65" s="396" t="s">
        <v>5</v>
      </c>
      <c r="X65" s="396" t="s">
        <v>5</v>
      </c>
      <c r="Y65" s="396">
        <v>20169.926913366497</v>
      </c>
      <c r="Z65" s="396" t="s">
        <v>5</v>
      </c>
      <c r="AA65" s="396" t="s">
        <v>5</v>
      </c>
      <c r="AB65" s="396">
        <v>323.27999999999997</v>
      </c>
      <c r="AC65" s="396">
        <v>577.76199999999994</v>
      </c>
      <c r="AD65" s="396" t="s">
        <v>5</v>
      </c>
      <c r="AE65" s="396" t="s">
        <v>5</v>
      </c>
      <c r="AF65" s="396" t="s">
        <v>5</v>
      </c>
      <c r="AG65" s="396" t="s">
        <v>5</v>
      </c>
      <c r="AH65" s="396" t="s">
        <v>5</v>
      </c>
      <c r="AI65" s="396" t="s">
        <v>5</v>
      </c>
      <c r="AJ65" s="396" t="s">
        <v>5</v>
      </c>
      <c r="AK65" s="396" t="s">
        <v>5</v>
      </c>
      <c r="AL65" s="396">
        <v>186.58800000000002</v>
      </c>
      <c r="AM65" s="396" t="s">
        <v>5</v>
      </c>
      <c r="AN65" s="396" t="s">
        <v>5</v>
      </c>
      <c r="AO65" s="396" t="s">
        <v>5</v>
      </c>
      <c r="AP65" s="396" t="s">
        <v>5</v>
      </c>
      <c r="AQ65" s="396" t="s">
        <v>5</v>
      </c>
      <c r="AR65" s="396" t="s">
        <v>5</v>
      </c>
      <c r="AS65" s="396" t="s">
        <v>5</v>
      </c>
      <c r="AT65" s="396" t="s">
        <v>5</v>
      </c>
      <c r="AU65" s="396" t="s">
        <v>5</v>
      </c>
      <c r="AV65" s="396" t="s">
        <v>5</v>
      </c>
      <c r="AW65" s="396" t="s">
        <v>5</v>
      </c>
      <c r="AX65" s="396">
        <v>554.1305000000001</v>
      </c>
      <c r="AY65" s="396">
        <v>577.76199999999994</v>
      </c>
      <c r="AZ65" s="396" t="s">
        <v>5</v>
      </c>
      <c r="BA65" s="396" t="s">
        <v>5</v>
      </c>
      <c r="BB65" s="396" t="s">
        <v>5</v>
      </c>
      <c r="BC65" s="396" t="s">
        <v>5</v>
      </c>
      <c r="BD65" s="396" t="s">
        <v>5</v>
      </c>
      <c r="BE65" s="396" t="s">
        <v>5</v>
      </c>
      <c r="BF65" s="396" t="s">
        <v>5</v>
      </c>
      <c r="BG65" s="396" t="s">
        <v>5</v>
      </c>
      <c r="BH65" s="396" t="s">
        <v>5</v>
      </c>
      <c r="BI65" s="396">
        <v>19582.453313948055</v>
      </c>
      <c r="BJ65" s="396" t="s">
        <v>5</v>
      </c>
      <c r="BK65" s="396" t="s">
        <v>5</v>
      </c>
      <c r="BL65" s="396" t="s">
        <v>5</v>
      </c>
      <c r="BM65" s="396" t="s">
        <v>5</v>
      </c>
      <c r="BN65" s="396" t="s">
        <v>5</v>
      </c>
      <c r="BO65" s="396" t="s">
        <v>5</v>
      </c>
      <c r="BP65" s="396" t="s">
        <v>5</v>
      </c>
      <c r="BQ65" s="396">
        <v>956.20800000000008</v>
      </c>
      <c r="BR65" s="396" t="s">
        <v>5</v>
      </c>
      <c r="BS65" s="396" t="s">
        <v>5</v>
      </c>
      <c r="BT65" s="396" t="s">
        <v>5</v>
      </c>
    </row>
    <row r="66" spans="1:72" outlineLevel="1">
      <c r="A66" s="398"/>
      <c r="B66" s="398" t="s">
        <v>1093</v>
      </c>
      <c r="C66" s="398" t="s">
        <v>1092</v>
      </c>
      <c r="D66" s="398">
        <v>2</v>
      </c>
      <c r="E66" s="398" t="s">
        <v>1097</v>
      </c>
      <c r="F66" s="398" t="s">
        <v>1098</v>
      </c>
      <c r="G66" s="398" t="s">
        <v>1099</v>
      </c>
      <c r="H66" s="398"/>
      <c r="I66" s="398"/>
      <c r="J66" s="399" t="s">
        <v>5</v>
      </c>
      <c r="K66" s="399" t="s">
        <v>5</v>
      </c>
      <c r="L66" s="399" t="s">
        <v>5</v>
      </c>
      <c r="M66" s="399" t="s">
        <v>5</v>
      </c>
      <c r="N66" s="399" t="s">
        <v>5</v>
      </c>
      <c r="O66" s="399" t="s">
        <v>5</v>
      </c>
      <c r="P66" s="399" t="s">
        <v>5</v>
      </c>
      <c r="Q66" s="399" t="s">
        <v>5</v>
      </c>
      <c r="R66" s="399" t="s">
        <v>5</v>
      </c>
      <c r="S66" s="399" t="s">
        <v>5</v>
      </c>
      <c r="T66" s="399" t="s">
        <v>5</v>
      </c>
      <c r="U66" s="399" t="s">
        <v>5</v>
      </c>
      <c r="V66" s="399" t="s">
        <v>5</v>
      </c>
      <c r="W66" s="399" t="s">
        <v>5</v>
      </c>
      <c r="X66" s="399" t="s">
        <v>5</v>
      </c>
      <c r="Y66" s="399">
        <v>94381.517949759887</v>
      </c>
      <c r="Z66" s="399" t="s">
        <v>5</v>
      </c>
      <c r="AA66" s="399" t="s">
        <v>5</v>
      </c>
      <c r="AB66" s="399" t="s">
        <v>5</v>
      </c>
      <c r="AC66" s="399" t="s">
        <v>5</v>
      </c>
      <c r="AD66" s="399">
        <v>189.75980000000004</v>
      </c>
      <c r="AE66" s="399" t="s">
        <v>5</v>
      </c>
      <c r="AF66" s="399" t="s">
        <v>5</v>
      </c>
      <c r="AG66" s="399" t="s">
        <v>5</v>
      </c>
      <c r="AH66" s="399" t="s">
        <v>5</v>
      </c>
      <c r="AI66" s="399" t="s">
        <v>5</v>
      </c>
      <c r="AJ66" s="399" t="s">
        <v>5</v>
      </c>
      <c r="AK66" s="399" t="s">
        <v>5</v>
      </c>
      <c r="AL66" s="399" t="s">
        <v>5</v>
      </c>
      <c r="AM66" s="399">
        <v>356.92750000000007</v>
      </c>
      <c r="AN66" s="399" t="s">
        <v>5</v>
      </c>
      <c r="AO66" s="399" t="s">
        <v>5</v>
      </c>
      <c r="AP66" s="399" t="s">
        <v>5</v>
      </c>
      <c r="AQ66" s="399" t="s">
        <v>5</v>
      </c>
      <c r="AR66" s="399" t="s">
        <v>5</v>
      </c>
      <c r="AS66" s="399" t="s">
        <v>5</v>
      </c>
      <c r="AT66" s="399" t="s">
        <v>5</v>
      </c>
      <c r="AU66" s="399" t="s">
        <v>5</v>
      </c>
      <c r="AV66" s="399" t="s">
        <v>5</v>
      </c>
      <c r="AW66" s="399" t="s">
        <v>5</v>
      </c>
      <c r="AX66" s="399" t="s">
        <v>5</v>
      </c>
      <c r="AY66" s="399" t="s">
        <v>5</v>
      </c>
      <c r="AZ66" s="399" t="s">
        <v>5</v>
      </c>
      <c r="BA66" s="399" t="s">
        <v>5</v>
      </c>
      <c r="BB66" s="399" t="s">
        <v>5</v>
      </c>
      <c r="BC66" s="399" t="s">
        <v>5</v>
      </c>
      <c r="BD66" s="399" t="s">
        <v>5</v>
      </c>
      <c r="BE66" s="399" t="s">
        <v>5</v>
      </c>
      <c r="BF66" s="399" t="s">
        <v>5</v>
      </c>
      <c r="BG66" s="399" t="s">
        <v>5</v>
      </c>
      <c r="BH66" s="399" t="s">
        <v>5</v>
      </c>
      <c r="BI66" s="399" t="s">
        <v>5</v>
      </c>
      <c r="BJ66" s="399">
        <v>91632.541698796005</v>
      </c>
      <c r="BK66" s="399" t="s">
        <v>5</v>
      </c>
      <c r="BL66" s="399" t="s">
        <v>5</v>
      </c>
      <c r="BM66" s="399" t="s">
        <v>5</v>
      </c>
      <c r="BN66" s="399" t="s">
        <v>5</v>
      </c>
      <c r="BO66" s="399" t="s">
        <v>5</v>
      </c>
      <c r="BP66" s="399" t="s">
        <v>5</v>
      </c>
      <c r="BQ66" s="399" t="s">
        <v>5</v>
      </c>
      <c r="BR66" s="399">
        <v>1950.1819</v>
      </c>
      <c r="BS66" s="399" t="s">
        <v>5</v>
      </c>
      <c r="BT66" s="399" t="s">
        <v>5</v>
      </c>
    </row>
    <row r="67" spans="1:72" outlineLevel="1">
      <c r="A67" s="398"/>
      <c r="B67" s="398" t="s">
        <v>1093</v>
      </c>
      <c r="C67" s="398" t="s">
        <v>1092</v>
      </c>
      <c r="D67" s="398">
        <v>3</v>
      </c>
      <c r="E67" s="398" t="s">
        <v>1100</v>
      </c>
      <c r="F67" s="398" t="s">
        <v>328</v>
      </c>
      <c r="G67" s="398" t="s">
        <v>1101</v>
      </c>
      <c r="H67" s="398"/>
      <c r="I67" s="398"/>
      <c r="J67" s="399" t="s">
        <v>5</v>
      </c>
      <c r="K67" s="399" t="s">
        <v>5</v>
      </c>
      <c r="L67" s="399" t="s">
        <v>5</v>
      </c>
      <c r="M67" s="399" t="s">
        <v>5</v>
      </c>
      <c r="N67" s="399" t="s">
        <v>5</v>
      </c>
      <c r="O67" s="399" t="s">
        <v>5</v>
      </c>
      <c r="P67" s="399" t="s">
        <v>5</v>
      </c>
      <c r="Q67" s="399" t="s">
        <v>5</v>
      </c>
      <c r="R67" s="399" t="s">
        <v>5</v>
      </c>
      <c r="S67" s="399" t="s">
        <v>5</v>
      </c>
      <c r="T67" s="399" t="s">
        <v>5</v>
      </c>
      <c r="U67" s="399" t="s">
        <v>5</v>
      </c>
      <c r="V67" s="399" t="s">
        <v>5</v>
      </c>
      <c r="W67" s="399" t="s">
        <v>5</v>
      </c>
      <c r="X67" s="399" t="s">
        <v>5</v>
      </c>
      <c r="Y67" s="399">
        <v>64175.253713619139</v>
      </c>
      <c r="Z67" s="399" t="s">
        <v>5</v>
      </c>
      <c r="AA67" s="399" t="s">
        <v>5</v>
      </c>
      <c r="AB67" s="399" t="s">
        <v>5</v>
      </c>
      <c r="AC67" s="399" t="s">
        <v>5</v>
      </c>
      <c r="AD67" s="399">
        <v>189.75980000000004</v>
      </c>
      <c r="AE67" s="399" t="s">
        <v>5</v>
      </c>
      <c r="AF67" s="399" t="s">
        <v>5</v>
      </c>
      <c r="AG67" s="399" t="s">
        <v>5</v>
      </c>
      <c r="AH67" s="399" t="s">
        <v>5</v>
      </c>
      <c r="AI67" s="399" t="s">
        <v>5</v>
      </c>
      <c r="AJ67" s="399" t="s">
        <v>5</v>
      </c>
      <c r="AK67" s="399" t="s">
        <v>5</v>
      </c>
      <c r="AL67" s="399" t="s">
        <v>5</v>
      </c>
      <c r="AM67" s="399">
        <v>79.991799999999984</v>
      </c>
      <c r="AN67" s="399">
        <v>89.637100000000032</v>
      </c>
      <c r="AO67" s="399">
        <v>259.40989999999994</v>
      </c>
      <c r="AP67" s="399" t="s">
        <v>5</v>
      </c>
      <c r="AQ67" s="399" t="s">
        <v>5</v>
      </c>
      <c r="AR67" s="399" t="s">
        <v>5</v>
      </c>
      <c r="AS67" s="399" t="s">
        <v>5</v>
      </c>
      <c r="AT67" s="399" t="s">
        <v>5</v>
      </c>
      <c r="AU67" s="399" t="s">
        <v>5</v>
      </c>
      <c r="AV67" s="399" t="s">
        <v>5</v>
      </c>
      <c r="AW67" s="399" t="s">
        <v>5</v>
      </c>
      <c r="AX67" s="399" t="s">
        <v>5</v>
      </c>
      <c r="AY67" s="399" t="s">
        <v>5</v>
      </c>
      <c r="AZ67" s="399" t="s">
        <v>5</v>
      </c>
      <c r="BA67" s="399" t="s">
        <v>5</v>
      </c>
      <c r="BB67" s="399" t="s">
        <v>5</v>
      </c>
      <c r="BC67" s="399" t="s">
        <v>5</v>
      </c>
      <c r="BD67" s="399" t="s">
        <v>5</v>
      </c>
      <c r="BE67" s="399" t="s">
        <v>5</v>
      </c>
      <c r="BF67" s="399" t="s">
        <v>5</v>
      </c>
      <c r="BG67" s="399" t="s">
        <v>5</v>
      </c>
      <c r="BH67" s="399" t="s">
        <v>5</v>
      </c>
      <c r="BI67" s="399" t="s">
        <v>5</v>
      </c>
      <c r="BJ67" s="399" t="s">
        <v>5</v>
      </c>
      <c r="BK67" s="399">
        <v>62306.071566620521</v>
      </c>
      <c r="BL67" s="399" t="s">
        <v>5</v>
      </c>
      <c r="BM67" s="399" t="s">
        <v>5</v>
      </c>
      <c r="BN67" s="399" t="s">
        <v>5</v>
      </c>
      <c r="BO67" s="399" t="s">
        <v>5</v>
      </c>
      <c r="BP67" s="399" t="s">
        <v>5</v>
      </c>
      <c r="BQ67" s="399" t="s">
        <v>5</v>
      </c>
      <c r="BR67" s="399" t="s">
        <v>5</v>
      </c>
      <c r="BS67" s="399">
        <v>2376.2545999999993</v>
      </c>
      <c r="BT67" s="399" t="s">
        <v>5</v>
      </c>
    </row>
    <row r="68" spans="1:72" outlineLevel="1">
      <c r="A68" s="398"/>
      <c r="B68" s="398" t="s">
        <v>1093</v>
      </c>
      <c r="C68" s="398" t="s">
        <v>1092</v>
      </c>
      <c r="D68" s="398">
        <v>4</v>
      </c>
      <c r="E68" s="398" t="s">
        <v>1102</v>
      </c>
      <c r="F68" s="398" t="s">
        <v>329</v>
      </c>
      <c r="G68" s="398" t="s">
        <v>1103</v>
      </c>
      <c r="H68" s="398"/>
      <c r="I68" s="398"/>
      <c r="J68" s="399" t="s">
        <v>5</v>
      </c>
      <c r="K68" s="399" t="s">
        <v>5</v>
      </c>
      <c r="L68" s="399" t="s">
        <v>5</v>
      </c>
      <c r="M68" s="399" t="s">
        <v>5</v>
      </c>
      <c r="N68" s="399" t="s">
        <v>5</v>
      </c>
      <c r="O68" s="399" t="s">
        <v>5</v>
      </c>
      <c r="P68" s="399" t="s">
        <v>5</v>
      </c>
      <c r="Q68" s="399" t="s">
        <v>5</v>
      </c>
      <c r="R68" s="399" t="s">
        <v>5</v>
      </c>
      <c r="S68" s="399" t="s">
        <v>5</v>
      </c>
      <c r="T68" s="399" t="s">
        <v>5</v>
      </c>
      <c r="U68" s="399" t="s">
        <v>5</v>
      </c>
      <c r="V68" s="399" t="s">
        <v>5</v>
      </c>
      <c r="W68" s="399" t="s">
        <v>5</v>
      </c>
      <c r="X68" s="399" t="s">
        <v>5</v>
      </c>
      <c r="Y68" s="399">
        <v>55146.707116053803</v>
      </c>
      <c r="Z68" s="399" t="s">
        <v>5</v>
      </c>
      <c r="AA68" s="399" t="s">
        <v>5</v>
      </c>
      <c r="AB68" s="399" t="s">
        <v>5</v>
      </c>
      <c r="AC68" s="399" t="s">
        <v>5</v>
      </c>
      <c r="AD68" s="399" t="s">
        <v>5</v>
      </c>
      <c r="AE68" s="399" t="s">
        <v>5</v>
      </c>
      <c r="AF68" s="399" t="s">
        <v>5</v>
      </c>
      <c r="AG68" s="399" t="s">
        <v>5</v>
      </c>
      <c r="AH68" s="399" t="s">
        <v>5</v>
      </c>
      <c r="AI68" s="399" t="s">
        <v>5</v>
      </c>
      <c r="AJ68" s="399" t="s">
        <v>5</v>
      </c>
      <c r="AK68" s="399" t="s">
        <v>5</v>
      </c>
      <c r="AL68" s="399" t="s">
        <v>5</v>
      </c>
      <c r="AM68" s="399" t="s">
        <v>5</v>
      </c>
      <c r="AN68" s="399">
        <v>68.641499999999994</v>
      </c>
      <c r="AO68" s="399">
        <v>240.04499999999999</v>
      </c>
      <c r="AP68" s="399" t="s">
        <v>5</v>
      </c>
      <c r="AQ68" s="399" t="s">
        <v>5</v>
      </c>
      <c r="AR68" s="399" t="s">
        <v>5</v>
      </c>
      <c r="AS68" s="399" t="s">
        <v>5</v>
      </c>
      <c r="AT68" s="399" t="s">
        <v>5</v>
      </c>
      <c r="AU68" s="399" t="s">
        <v>5</v>
      </c>
      <c r="AV68" s="399" t="s">
        <v>5</v>
      </c>
      <c r="AW68" s="399" t="s">
        <v>5</v>
      </c>
      <c r="AX68" s="399" t="s">
        <v>5</v>
      </c>
      <c r="AY68" s="399" t="s">
        <v>5</v>
      </c>
      <c r="AZ68" s="399" t="s">
        <v>5</v>
      </c>
      <c r="BA68" s="399" t="s">
        <v>5</v>
      </c>
      <c r="BB68" s="399" t="s">
        <v>5</v>
      </c>
      <c r="BC68" s="399" t="s">
        <v>5</v>
      </c>
      <c r="BD68" s="399" t="s">
        <v>5</v>
      </c>
      <c r="BE68" s="399" t="s">
        <v>5</v>
      </c>
      <c r="BF68" s="399" t="s">
        <v>5</v>
      </c>
      <c r="BG68" s="399" t="s">
        <v>5</v>
      </c>
      <c r="BH68" s="399" t="s">
        <v>5</v>
      </c>
      <c r="BI68" s="399" t="s">
        <v>5</v>
      </c>
      <c r="BJ68" s="399" t="s">
        <v>5</v>
      </c>
      <c r="BK68" s="399">
        <v>53540.492345683306</v>
      </c>
      <c r="BL68" s="399" t="s">
        <v>5</v>
      </c>
      <c r="BM68" s="399" t="s">
        <v>5</v>
      </c>
      <c r="BN68" s="399" t="s">
        <v>5</v>
      </c>
      <c r="BO68" s="399" t="s">
        <v>5</v>
      </c>
      <c r="BP68" s="399" t="s">
        <v>5</v>
      </c>
      <c r="BQ68" s="399" t="s">
        <v>5</v>
      </c>
      <c r="BR68" s="399" t="s">
        <v>5</v>
      </c>
      <c r="BS68" s="399">
        <v>1338.1779999999999</v>
      </c>
      <c r="BT68" s="399" t="s">
        <v>5</v>
      </c>
    </row>
    <row r="69" spans="1:72" outlineLevel="1">
      <c r="A69" s="403"/>
      <c r="B69" s="403" t="s">
        <v>1093</v>
      </c>
      <c r="C69" s="403" t="s">
        <v>1092</v>
      </c>
      <c r="D69" s="403">
        <v>5</v>
      </c>
      <c r="E69" s="403" t="s">
        <v>1104</v>
      </c>
      <c r="F69" s="403" t="s">
        <v>1105</v>
      </c>
      <c r="G69" s="403" t="s">
        <v>1106</v>
      </c>
      <c r="H69" s="403"/>
      <c r="I69" s="403"/>
      <c r="J69" s="397" t="s">
        <v>5</v>
      </c>
      <c r="K69" s="397" t="s">
        <v>5</v>
      </c>
      <c r="L69" s="397" t="s">
        <v>5</v>
      </c>
      <c r="M69" s="397" t="s">
        <v>5</v>
      </c>
      <c r="N69" s="397" t="s">
        <v>5</v>
      </c>
      <c r="O69" s="397" t="s">
        <v>5</v>
      </c>
      <c r="P69" s="397" t="s">
        <v>5</v>
      </c>
      <c r="Q69" s="397" t="s">
        <v>5</v>
      </c>
      <c r="R69" s="397" t="s">
        <v>5</v>
      </c>
      <c r="S69" s="397" t="s">
        <v>5</v>
      </c>
      <c r="T69" s="397" t="s">
        <v>5</v>
      </c>
      <c r="U69" s="397" t="s">
        <v>5</v>
      </c>
      <c r="V69" s="397" t="s">
        <v>5</v>
      </c>
      <c r="W69" s="397" t="s">
        <v>5</v>
      </c>
      <c r="X69" s="397" t="s">
        <v>5</v>
      </c>
      <c r="Y69" s="397">
        <v>1293.3735750000001</v>
      </c>
      <c r="Z69" s="397" t="s">
        <v>5</v>
      </c>
      <c r="AA69" s="397" t="s">
        <v>5</v>
      </c>
      <c r="AB69" s="397" t="s">
        <v>5</v>
      </c>
      <c r="AC69" s="397" t="s">
        <v>5</v>
      </c>
      <c r="AD69" s="397" t="s">
        <v>5</v>
      </c>
      <c r="AE69" s="397" t="s">
        <v>5</v>
      </c>
      <c r="AF69" s="397" t="s">
        <v>5</v>
      </c>
      <c r="AG69" s="397" t="s">
        <v>5</v>
      </c>
      <c r="AH69" s="397" t="s">
        <v>5</v>
      </c>
      <c r="AI69" s="397" t="s">
        <v>5</v>
      </c>
      <c r="AJ69" s="397">
        <v>9.3015000000000008</v>
      </c>
      <c r="AK69" s="397" t="s">
        <v>5</v>
      </c>
      <c r="AL69" s="397" t="s">
        <v>5</v>
      </c>
      <c r="AM69" s="397" t="s">
        <v>5</v>
      </c>
      <c r="AN69" s="397" t="s">
        <v>5</v>
      </c>
      <c r="AO69" s="397" t="s">
        <v>5</v>
      </c>
      <c r="AP69" s="397" t="s">
        <v>5</v>
      </c>
      <c r="AQ69" s="397" t="s">
        <v>5</v>
      </c>
      <c r="AR69" s="397" t="s">
        <v>5</v>
      </c>
      <c r="AS69" s="397" t="s">
        <v>5</v>
      </c>
      <c r="AT69" s="397" t="s">
        <v>5</v>
      </c>
      <c r="AU69" s="397" t="s">
        <v>5</v>
      </c>
      <c r="AV69" s="397" t="s">
        <v>5</v>
      </c>
      <c r="AW69" s="397" t="s">
        <v>5</v>
      </c>
      <c r="AX69" s="397" t="s">
        <v>5</v>
      </c>
      <c r="AY69" s="397" t="s">
        <v>5</v>
      </c>
      <c r="AZ69" s="397" t="s">
        <v>5</v>
      </c>
      <c r="BA69" s="397" t="s">
        <v>5</v>
      </c>
      <c r="BB69" s="397" t="s">
        <v>5</v>
      </c>
      <c r="BC69" s="397" t="s">
        <v>5</v>
      </c>
      <c r="BD69" s="397" t="s">
        <v>5</v>
      </c>
      <c r="BE69" s="397" t="s">
        <v>5</v>
      </c>
      <c r="BF69" s="397" t="s">
        <v>5</v>
      </c>
      <c r="BG69" s="397">
        <v>1255.7025000000001</v>
      </c>
      <c r="BH69" s="397" t="s">
        <v>5</v>
      </c>
      <c r="BI69" s="397" t="s">
        <v>5</v>
      </c>
      <c r="BJ69" s="397" t="s">
        <v>5</v>
      </c>
      <c r="BK69" s="397" t="s">
        <v>5</v>
      </c>
      <c r="BL69" s="397" t="s">
        <v>5</v>
      </c>
      <c r="BM69" s="397" t="s">
        <v>5</v>
      </c>
      <c r="BN69" s="397" t="s">
        <v>5</v>
      </c>
      <c r="BO69" s="397">
        <v>51.547499999999999</v>
      </c>
      <c r="BP69" s="397" t="s">
        <v>5</v>
      </c>
      <c r="BQ69" s="397" t="s">
        <v>5</v>
      </c>
      <c r="BR69" s="397" t="s">
        <v>5</v>
      </c>
      <c r="BS69" s="397" t="s">
        <v>5</v>
      </c>
      <c r="BT69" s="397" t="s">
        <v>5</v>
      </c>
    </row>
    <row r="70" spans="1:72">
      <c r="A70" s="418">
        <v>18</v>
      </c>
      <c r="B70" s="418" t="s">
        <v>1091</v>
      </c>
      <c r="C70" s="418"/>
      <c r="D70" s="418"/>
      <c r="E70" s="418" t="s">
        <v>1107</v>
      </c>
      <c r="F70" s="418"/>
      <c r="G70" s="418" t="s">
        <v>1108</v>
      </c>
      <c r="H70" s="418"/>
      <c r="I70" s="418"/>
      <c r="J70" s="419">
        <v>0</v>
      </c>
      <c r="K70" s="419">
        <v>0</v>
      </c>
      <c r="L70" s="419">
        <v>0</v>
      </c>
      <c r="M70" s="419">
        <v>0</v>
      </c>
      <c r="N70" s="419">
        <v>0</v>
      </c>
      <c r="O70" s="419">
        <v>0</v>
      </c>
      <c r="P70" s="419">
        <v>0</v>
      </c>
      <c r="Q70" s="419">
        <v>0</v>
      </c>
      <c r="R70" s="419">
        <v>0</v>
      </c>
      <c r="S70" s="419">
        <v>0</v>
      </c>
      <c r="T70" s="419">
        <v>0</v>
      </c>
      <c r="U70" s="419">
        <v>0</v>
      </c>
      <c r="V70" s="419">
        <v>0</v>
      </c>
      <c r="W70" s="419">
        <v>0</v>
      </c>
      <c r="X70" s="419">
        <v>0</v>
      </c>
      <c r="Y70" s="419">
        <v>298684.0836270256</v>
      </c>
      <c r="Z70" s="419">
        <v>0</v>
      </c>
      <c r="AA70" s="419">
        <v>0</v>
      </c>
      <c r="AB70" s="419">
        <v>292.86</v>
      </c>
      <c r="AC70" s="419">
        <v>484.30799999999994</v>
      </c>
      <c r="AD70" s="419">
        <v>204.45260000000002</v>
      </c>
      <c r="AE70" s="419">
        <v>0</v>
      </c>
      <c r="AF70" s="419">
        <v>0</v>
      </c>
      <c r="AG70" s="419">
        <v>0</v>
      </c>
      <c r="AH70" s="419">
        <v>0</v>
      </c>
      <c r="AI70" s="419">
        <v>0</v>
      </c>
      <c r="AJ70" s="419">
        <v>9.3015000000000008</v>
      </c>
      <c r="AK70" s="419">
        <v>38.638351499999999</v>
      </c>
      <c r="AL70" s="419">
        <v>158.24700000000001</v>
      </c>
      <c r="AM70" s="419">
        <v>498.08990000000006</v>
      </c>
      <c r="AN70" s="419">
        <v>259.21839999999997</v>
      </c>
      <c r="AO70" s="419">
        <v>617.44360000000006</v>
      </c>
      <c r="AP70" s="419">
        <v>0</v>
      </c>
      <c r="AQ70" s="419">
        <v>0</v>
      </c>
      <c r="AR70" s="419">
        <v>0</v>
      </c>
      <c r="AS70" s="419">
        <v>0</v>
      </c>
      <c r="AT70" s="419">
        <v>0</v>
      </c>
      <c r="AU70" s="419">
        <v>0</v>
      </c>
      <c r="AV70" s="419">
        <v>0</v>
      </c>
      <c r="AW70" s="419">
        <v>0</v>
      </c>
      <c r="AX70" s="419">
        <v>469.2700000000001</v>
      </c>
      <c r="AY70" s="419">
        <v>484.30799999999994</v>
      </c>
      <c r="AZ70" s="419">
        <v>0</v>
      </c>
      <c r="BA70" s="419">
        <v>0</v>
      </c>
      <c r="BB70" s="419">
        <v>0</v>
      </c>
      <c r="BC70" s="419">
        <v>0</v>
      </c>
      <c r="BD70" s="419">
        <v>0</v>
      </c>
      <c r="BE70" s="419">
        <v>0</v>
      </c>
      <c r="BF70" s="419">
        <v>0</v>
      </c>
      <c r="BG70" s="419">
        <v>1255.7025000000001</v>
      </c>
      <c r="BH70" s="419">
        <v>6166.6111500000006</v>
      </c>
      <c r="BI70" s="419">
        <v>16608.058876092447</v>
      </c>
      <c r="BJ70" s="419">
        <v>104461.49559312013</v>
      </c>
      <c r="BK70" s="419">
        <v>161492.67909149185</v>
      </c>
      <c r="BL70" s="419">
        <v>0</v>
      </c>
      <c r="BM70" s="419">
        <v>0</v>
      </c>
      <c r="BN70" s="419">
        <v>0</v>
      </c>
      <c r="BO70" s="419">
        <v>51.547499999999999</v>
      </c>
      <c r="BP70" s="419">
        <v>179.46420000000001</v>
      </c>
      <c r="BQ70" s="419">
        <v>790.66800000000001</v>
      </c>
      <c r="BR70" s="419">
        <v>2066.5145000000002</v>
      </c>
      <c r="BS70" s="419">
        <v>4764.5718999999999</v>
      </c>
      <c r="BT70" s="419">
        <v>0</v>
      </c>
    </row>
    <row r="71" spans="1:72" outlineLevel="1">
      <c r="A71" s="402"/>
      <c r="B71" s="402" t="s">
        <v>1108</v>
      </c>
      <c r="C71" s="402" t="s">
        <v>1107</v>
      </c>
      <c r="D71" s="402">
        <v>1</v>
      </c>
      <c r="E71" s="402" t="s">
        <v>1109</v>
      </c>
      <c r="F71" s="402" t="s">
        <v>1110</v>
      </c>
      <c r="G71" s="402" t="s">
        <v>1111</v>
      </c>
      <c r="H71" s="402"/>
      <c r="I71" s="402"/>
      <c r="J71" s="396" t="s">
        <v>5</v>
      </c>
      <c r="K71" s="396" t="s">
        <v>5</v>
      </c>
      <c r="L71" s="396" t="s">
        <v>5</v>
      </c>
      <c r="M71" s="396" t="s">
        <v>5</v>
      </c>
      <c r="N71" s="396" t="s">
        <v>5</v>
      </c>
      <c r="O71" s="396" t="s">
        <v>5</v>
      </c>
      <c r="P71" s="396" t="s">
        <v>5</v>
      </c>
      <c r="Q71" s="396" t="s">
        <v>5</v>
      </c>
      <c r="R71" s="396" t="s">
        <v>5</v>
      </c>
      <c r="S71" s="396" t="s">
        <v>5</v>
      </c>
      <c r="T71" s="396" t="s">
        <v>5</v>
      </c>
      <c r="U71" s="396" t="s">
        <v>5</v>
      </c>
      <c r="V71" s="396" t="s">
        <v>5</v>
      </c>
      <c r="W71" s="396" t="s">
        <v>5</v>
      </c>
      <c r="X71" s="396" t="s">
        <v>5</v>
      </c>
      <c r="Y71" s="396">
        <v>17106.300642375223</v>
      </c>
      <c r="Z71" s="396" t="s">
        <v>5</v>
      </c>
      <c r="AA71" s="396" t="s">
        <v>5</v>
      </c>
      <c r="AB71" s="396">
        <v>292.86</v>
      </c>
      <c r="AC71" s="396">
        <v>484.30799999999994</v>
      </c>
      <c r="AD71" s="396" t="s">
        <v>5</v>
      </c>
      <c r="AE71" s="396" t="s">
        <v>5</v>
      </c>
      <c r="AF71" s="396" t="s">
        <v>5</v>
      </c>
      <c r="AG71" s="396" t="s">
        <v>5</v>
      </c>
      <c r="AH71" s="396" t="s">
        <v>5</v>
      </c>
      <c r="AI71" s="396" t="s">
        <v>5</v>
      </c>
      <c r="AJ71" s="396" t="s">
        <v>5</v>
      </c>
      <c r="AK71" s="396" t="s">
        <v>5</v>
      </c>
      <c r="AL71" s="396">
        <v>158.24700000000001</v>
      </c>
      <c r="AM71" s="396" t="s">
        <v>5</v>
      </c>
      <c r="AN71" s="396" t="s">
        <v>5</v>
      </c>
      <c r="AO71" s="396" t="s">
        <v>5</v>
      </c>
      <c r="AP71" s="396" t="s">
        <v>5</v>
      </c>
      <c r="AQ71" s="396" t="s">
        <v>5</v>
      </c>
      <c r="AR71" s="396" t="s">
        <v>5</v>
      </c>
      <c r="AS71" s="396" t="s">
        <v>5</v>
      </c>
      <c r="AT71" s="396" t="s">
        <v>5</v>
      </c>
      <c r="AU71" s="396" t="s">
        <v>5</v>
      </c>
      <c r="AV71" s="396" t="s">
        <v>5</v>
      </c>
      <c r="AW71" s="396" t="s">
        <v>5</v>
      </c>
      <c r="AX71" s="396">
        <v>469.2700000000001</v>
      </c>
      <c r="AY71" s="396">
        <v>484.30799999999994</v>
      </c>
      <c r="AZ71" s="396" t="s">
        <v>5</v>
      </c>
      <c r="BA71" s="396" t="s">
        <v>5</v>
      </c>
      <c r="BB71" s="396" t="s">
        <v>5</v>
      </c>
      <c r="BC71" s="396" t="s">
        <v>5</v>
      </c>
      <c r="BD71" s="396" t="s">
        <v>5</v>
      </c>
      <c r="BE71" s="396" t="s">
        <v>5</v>
      </c>
      <c r="BF71" s="396" t="s">
        <v>5</v>
      </c>
      <c r="BG71" s="396" t="s">
        <v>5</v>
      </c>
      <c r="BH71" s="396" t="s">
        <v>5</v>
      </c>
      <c r="BI71" s="396">
        <v>16608.058876092447</v>
      </c>
      <c r="BJ71" s="396" t="s">
        <v>5</v>
      </c>
      <c r="BK71" s="396" t="s">
        <v>5</v>
      </c>
      <c r="BL71" s="396" t="s">
        <v>5</v>
      </c>
      <c r="BM71" s="396" t="s">
        <v>5</v>
      </c>
      <c r="BN71" s="396" t="s">
        <v>5</v>
      </c>
      <c r="BO71" s="396" t="s">
        <v>5</v>
      </c>
      <c r="BP71" s="396" t="s">
        <v>5</v>
      </c>
      <c r="BQ71" s="396">
        <v>790.66800000000001</v>
      </c>
      <c r="BR71" s="396" t="s">
        <v>5</v>
      </c>
      <c r="BS71" s="396" t="s">
        <v>5</v>
      </c>
      <c r="BT71" s="396" t="s">
        <v>5</v>
      </c>
    </row>
    <row r="72" spans="1:72" outlineLevel="1">
      <c r="A72" s="398"/>
      <c r="B72" s="398" t="s">
        <v>1108</v>
      </c>
      <c r="C72" s="398" t="s">
        <v>1107</v>
      </c>
      <c r="D72" s="398">
        <v>2</v>
      </c>
      <c r="E72" s="398" t="s">
        <v>1112</v>
      </c>
      <c r="F72" s="398" t="s">
        <v>1113</v>
      </c>
      <c r="G72" s="398" t="s">
        <v>1114</v>
      </c>
      <c r="H72" s="398"/>
      <c r="I72" s="398"/>
      <c r="J72" s="399" t="s">
        <v>5</v>
      </c>
      <c r="K72" s="399" t="s">
        <v>5</v>
      </c>
      <c r="L72" s="399" t="s">
        <v>5</v>
      </c>
      <c r="M72" s="399" t="s">
        <v>5</v>
      </c>
      <c r="N72" s="399" t="s">
        <v>5</v>
      </c>
      <c r="O72" s="399" t="s">
        <v>5</v>
      </c>
      <c r="P72" s="399" t="s">
        <v>5</v>
      </c>
      <c r="Q72" s="399" t="s">
        <v>5</v>
      </c>
      <c r="R72" s="399" t="s">
        <v>5</v>
      </c>
      <c r="S72" s="399" t="s">
        <v>5</v>
      </c>
      <c r="T72" s="399" t="s">
        <v>5</v>
      </c>
      <c r="U72" s="399" t="s">
        <v>5</v>
      </c>
      <c r="V72" s="399" t="s">
        <v>5</v>
      </c>
      <c r="W72" s="399" t="s">
        <v>5</v>
      </c>
      <c r="X72" s="399" t="s">
        <v>5</v>
      </c>
      <c r="Y72" s="399">
        <v>107595.34046091374</v>
      </c>
      <c r="Z72" s="399" t="s">
        <v>5</v>
      </c>
      <c r="AA72" s="399" t="s">
        <v>5</v>
      </c>
      <c r="AB72" s="399" t="s">
        <v>5</v>
      </c>
      <c r="AC72" s="399" t="s">
        <v>5</v>
      </c>
      <c r="AD72" s="399" t="s">
        <v>5</v>
      </c>
      <c r="AE72" s="399" t="s">
        <v>5</v>
      </c>
      <c r="AF72" s="399" t="s">
        <v>5</v>
      </c>
      <c r="AG72" s="399" t="s">
        <v>5</v>
      </c>
      <c r="AH72" s="399" t="s">
        <v>5</v>
      </c>
      <c r="AI72" s="399" t="s">
        <v>5</v>
      </c>
      <c r="AJ72" s="399" t="s">
        <v>5</v>
      </c>
      <c r="AK72" s="399" t="s">
        <v>5</v>
      </c>
      <c r="AL72" s="399" t="s">
        <v>5</v>
      </c>
      <c r="AM72" s="399">
        <v>410.86100000000005</v>
      </c>
      <c r="AN72" s="399" t="s">
        <v>5</v>
      </c>
      <c r="AO72" s="399" t="s">
        <v>5</v>
      </c>
      <c r="AP72" s="399" t="s">
        <v>5</v>
      </c>
      <c r="AQ72" s="399" t="s">
        <v>5</v>
      </c>
      <c r="AR72" s="399" t="s">
        <v>5</v>
      </c>
      <c r="AS72" s="399" t="s">
        <v>5</v>
      </c>
      <c r="AT72" s="399" t="s">
        <v>5</v>
      </c>
      <c r="AU72" s="399" t="s">
        <v>5</v>
      </c>
      <c r="AV72" s="399" t="s">
        <v>5</v>
      </c>
      <c r="AW72" s="399" t="s">
        <v>5</v>
      </c>
      <c r="AX72" s="399" t="s">
        <v>5</v>
      </c>
      <c r="AY72" s="399" t="s">
        <v>5</v>
      </c>
      <c r="AZ72" s="399" t="s">
        <v>5</v>
      </c>
      <c r="BA72" s="399" t="s">
        <v>5</v>
      </c>
      <c r="BB72" s="399" t="s">
        <v>5</v>
      </c>
      <c r="BC72" s="399" t="s">
        <v>5</v>
      </c>
      <c r="BD72" s="399" t="s">
        <v>5</v>
      </c>
      <c r="BE72" s="399" t="s">
        <v>5</v>
      </c>
      <c r="BF72" s="399" t="s">
        <v>5</v>
      </c>
      <c r="BG72" s="399" t="s">
        <v>5</v>
      </c>
      <c r="BH72" s="399" t="s">
        <v>5</v>
      </c>
      <c r="BI72" s="399" t="s">
        <v>5</v>
      </c>
      <c r="BJ72" s="399">
        <v>104461.49559312013</v>
      </c>
      <c r="BK72" s="399" t="s">
        <v>5</v>
      </c>
      <c r="BL72" s="399" t="s">
        <v>5</v>
      </c>
      <c r="BM72" s="399" t="s">
        <v>5</v>
      </c>
      <c r="BN72" s="399" t="s">
        <v>5</v>
      </c>
      <c r="BO72" s="399" t="s">
        <v>5</v>
      </c>
      <c r="BP72" s="399" t="s">
        <v>5</v>
      </c>
      <c r="BQ72" s="399" t="s">
        <v>5</v>
      </c>
      <c r="BR72" s="399">
        <v>2066.5145000000002</v>
      </c>
      <c r="BS72" s="399" t="s">
        <v>5</v>
      </c>
      <c r="BT72" s="399" t="s">
        <v>5</v>
      </c>
    </row>
    <row r="73" spans="1:72" outlineLevel="1">
      <c r="A73" s="398"/>
      <c r="B73" s="398" t="s">
        <v>1108</v>
      </c>
      <c r="C73" s="398" t="s">
        <v>1107</v>
      </c>
      <c r="D73" s="398">
        <v>3</v>
      </c>
      <c r="E73" s="398" t="s">
        <v>1115</v>
      </c>
      <c r="F73" s="398" t="s">
        <v>1116</v>
      </c>
      <c r="G73" s="398" t="s">
        <v>1117</v>
      </c>
      <c r="H73" s="398"/>
      <c r="I73" s="398"/>
      <c r="J73" s="399" t="s">
        <v>5</v>
      </c>
      <c r="K73" s="399" t="s">
        <v>5</v>
      </c>
      <c r="L73" s="399" t="s">
        <v>5</v>
      </c>
      <c r="M73" s="399" t="s">
        <v>5</v>
      </c>
      <c r="N73" s="399" t="s">
        <v>5</v>
      </c>
      <c r="O73" s="399" t="s">
        <v>5</v>
      </c>
      <c r="P73" s="399" t="s">
        <v>5</v>
      </c>
      <c r="Q73" s="399" t="s">
        <v>5</v>
      </c>
      <c r="R73" s="399" t="s">
        <v>5</v>
      </c>
      <c r="S73" s="399" t="s">
        <v>5</v>
      </c>
      <c r="T73" s="399" t="s">
        <v>5</v>
      </c>
      <c r="U73" s="399" t="s">
        <v>5</v>
      </c>
      <c r="V73" s="399" t="s">
        <v>5</v>
      </c>
      <c r="W73" s="399" t="s">
        <v>5</v>
      </c>
      <c r="X73" s="399" t="s">
        <v>5</v>
      </c>
      <c r="Y73" s="399">
        <v>103270.39521429638</v>
      </c>
      <c r="Z73" s="399" t="s">
        <v>5</v>
      </c>
      <c r="AA73" s="399" t="s">
        <v>5</v>
      </c>
      <c r="AB73" s="399" t="s">
        <v>5</v>
      </c>
      <c r="AC73" s="399" t="s">
        <v>5</v>
      </c>
      <c r="AD73" s="399">
        <v>204.45260000000002</v>
      </c>
      <c r="AE73" s="399" t="s">
        <v>5</v>
      </c>
      <c r="AF73" s="399" t="s">
        <v>5</v>
      </c>
      <c r="AG73" s="399" t="s">
        <v>5</v>
      </c>
      <c r="AH73" s="399" t="s">
        <v>5</v>
      </c>
      <c r="AI73" s="399" t="s">
        <v>5</v>
      </c>
      <c r="AJ73" s="399" t="s">
        <v>5</v>
      </c>
      <c r="AK73" s="399" t="s">
        <v>5</v>
      </c>
      <c r="AL73" s="399" t="s">
        <v>5</v>
      </c>
      <c r="AM73" s="399">
        <v>87.228899999999996</v>
      </c>
      <c r="AN73" s="399">
        <v>175.0754</v>
      </c>
      <c r="AO73" s="399">
        <v>354.4511</v>
      </c>
      <c r="AP73" s="399" t="s">
        <v>5</v>
      </c>
      <c r="AQ73" s="399" t="s">
        <v>5</v>
      </c>
      <c r="AR73" s="399" t="s">
        <v>5</v>
      </c>
      <c r="AS73" s="399" t="s">
        <v>5</v>
      </c>
      <c r="AT73" s="399" t="s">
        <v>5</v>
      </c>
      <c r="AU73" s="399" t="s">
        <v>5</v>
      </c>
      <c r="AV73" s="399" t="s">
        <v>5</v>
      </c>
      <c r="AW73" s="399" t="s">
        <v>5</v>
      </c>
      <c r="AX73" s="399" t="s">
        <v>5</v>
      </c>
      <c r="AY73" s="399" t="s">
        <v>5</v>
      </c>
      <c r="AZ73" s="399" t="s">
        <v>5</v>
      </c>
      <c r="BA73" s="399" t="s">
        <v>5</v>
      </c>
      <c r="BB73" s="399" t="s">
        <v>5</v>
      </c>
      <c r="BC73" s="399" t="s">
        <v>5</v>
      </c>
      <c r="BD73" s="399" t="s">
        <v>5</v>
      </c>
      <c r="BE73" s="399" t="s">
        <v>5</v>
      </c>
      <c r="BF73" s="399" t="s">
        <v>5</v>
      </c>
      <c r="BG73" s="399" t="s">
        <v>5</v>
      </c>
      <c r="BH73" s="399" t="s">
        <v>5</v>
      </c>
      <c r="BI73" s="399" t="s">
        <v>5</v>
      </c>
      <c r="BJ73" s="399" t="s">
        <v>5</v>
      </c>
      <c r="BK73" s="399">
        <v>100262.51962553046</v>
      </c>
      <c r="BL73" s="399" t="s">
        <v>5</v>
      </c>
      <c r="BM73" s="399" t="s">
        <v>5</v>
      </c>
      <c r="BN73" s="399" t="s">
        <v>5</v>
      </c>
      <c r="BO73" s="399" t="s">
        <v>5</v>
      </c>
      <c r="BP73" s="399" t="s">
        <v>5</v>
      </c>
      <c r="BQ73" s="399" t="s">
        <v>5</v>
      </c>
      <c r="BR73" s="399" t="s">
        <v>5</v>
      </c>
      <c r="BS73" s="399">
        <v>3297.0880999999999</v>
      </c>
      <c r="BT73" s="399" t="s">
        <v>5</v>
      </c>
    </row>
    <row r="74" spans="1:72" outlineLevel="1">
      <c r="A74" s="398"/>
      <c r="B74" s="398" t="s">
        <v>1108</v>
      </c>
      <c r="C74" s="398" t="s">
        <v>1107</v>
      </c>
      <c r="D74" s="398">
        <v>4</v>
      </c>
      <c r="E74" s="398" t="s">
        <v>1118</v>
      </c>
      <c r="F74" s="398" t="s">
        <v>1119</v>
      </c>
      <c r="G74" s="398" t="s">
        <v>1120</v>
      </c>
      <c r="H74" s="398"/>
      <c r="I74" s="398"/>
      <c r="J74" s="399" t="s">
        <v>5</v>
      </c>
      <c r="K74" s="399" t="s">
        <v>5</v>
      </c>
      <c r="L74" s="399" t="s">
        <v>5</v>
      </c>
      <c r="M74" s="399" t="s">
        <v>5</v>
      </c>
      <c r="N74" s="399" t="s">
        <v>5</v>
      </c>
      <c r="O74" s="399" t="s">
        <v>5</v>
      </c>
      <c r="P74" s="399" t="s">
        <v>5</v>
      </c>
      <c r="Q74" s="399" t="s">
        <v>5</v>
      </c>
      <c r="R74" s="399" t="s">
        <v>5</v>
      </c>
      <c r="S74" s="399" t="s">
        <v>5</v>
      </c>
      <c r="T74" s="399" t="s">
        <v>5</v>
      </c>
      <c r="U74" s="399" t="s">
        <v>5</v>
      </c>
      <c r="V74" s="399" t="s">
        <v>5</v>
      </c>
      <c r="W74" s="399" t="s">
        <v>5</v>
      </c>
      <c r="X74" s="399" t="s">
        <v>5</v>
      </c>
      <c r="Y74" s="399">
        <v>63067.064249940253</v>
      </c>
      <c r="Z74" s="399" t="s">
        <v>5</v>
      </c>
      <c r="AA74" s="399" t="s">
        <v>5</v>
      </c>
      <c r="AB74" s="399" t="s">
        <v>5</v>
      </c>
      <c r="AC74" s="399" t="s">
        <v>5</v>
      </c>
      <c r="AD74" s="399" t="s">
        <v>5</v>
      </c>
      <c r="AE74" s="399" t="s">
        <v>5</v>
      </c>
      <c r="AF74" s="399" t="s">
        <v>5</v>
      </c>
      <c r="AG74" s="399" t="s">
        <v>5</v>
      </c>
      <c r="AH74" s="399" t="s">
        <v>5</v>
      </c>
      <c r="AI74" s="399" t="s">
        <v>5</v>
      </c>
      <c r="AJ74" s="399" t="s">
        <v>5</v>
      </c>
      <c r="AK74" s="399" t="s">
        <v>5</v>
      </c>
      <c r="AL74" s="399" t="s">
        <v>5</v>
      </c>
      <c r="AM74" s="399" t="s">
        <v>5</v>
      </c>
      <c r="AN74" s="399">
        <v>84.142999999999986</v>
      </c>
      <c r="AO74" s="399">
        <v>262.99250000000001</v>
      </c>
      <c r="AP74" s="399" t="s">
        <v>5</v>
      </c>
      <c r="AQ74" s="399" t="s">
        <v>5</v>
      </c>
      <c r="AR74" s="399" t="s">
        <v>5</v>
      </c>
      <c r="AS74" s="399" t="s">
        <v>5</v>
      </c>
      <c r="AT74" s="399" t="s">
        <v>5</v>
      </c>
      <c r="AU74" s="399" t="s">
        <v>5</v>
      </c>
      <c r="AV74" s="399" t="s">
        <v>5</v>
      </c>
      <c r="AW74" s="399" t="s">
        <v>5</v>
      </c>
      <c r="AX74" s="399" t="s">
        <v>5</v>
      </c>
      <c r="AY74" s="399" t="s">
        <v>5</v>
      </c>
      <c r="AZ74" s="399" t="s">
        <v>5</v>
      </c>
      <c r="BA74" s="399" t="s">
        <v>5</v>
      </c>
      <c r="BB74" s="399" t="s">
        <v>5</v>
      </c>
      <c r="BC74" s="399" t="s">
        <v>5</v>
      </c>
      <c r="BD74" s="399" t="s">
        <v>5</v>
      </c>
      <c r="BE74" s="399" t="s">
        <v>5</v>
      </c>
      <c r="BF74" s="399" t="s">
        <v>5</v>
      </c>
      <c r="BG74" s="399" t="s">
        <v>5</v>
      </c>
      <c r="BH74" s="399" t="s">
        <v>5</v>
      </c>
      <c r="BI74" s="399" t="s">
        <v>5</v>
      </c>
      <c r="BJ74" s="399" t="s">
        <v>5</v>
      </c>
      <c r="BK74" s="399">
        <v>61230.159465961406</v>
      </c>
      <c r="BL74" s="399" t="s">
        <v>5</v>
      </c>
      <c r="BM74" s="399" t="s">
        <v>5</v>
      </c>
      <c r="BN74" s="399" t="s">
        <v>5</v>
      </c>
      <c r="BO74" s="399" t="s">
        <v>5</v>
      </c>
      <c r="BP74" s="399" t="s">
        <v>5</v>
      </c>
      <c r="BQ74" s="399" t="s">
        <v>5</v>
      </c>
      <c r="BR74" s="399" t="s">
        <v>5</v>
      </c>
      <c r="BS74" s="399">
        <v>1467.4838</v>
      </c>
      <c r="BT74" s="399" t="s">
        <v>5</v>
      </c>
    </row>
    <row r="75" spans="1:72" outlineLevel="1">
      <c r="A75" s="398"/>
      <c r="B75" s="398" t="s">
        <v>1108</v>
      </c>
      <c r="C75" s="398" t="s">
        <v>1107</v>
      </c>
      <c r="D75" s="398">
        <v>5</v>
      </c>
      <c r="E75" s="398" t="s">
        <v>1121</v>
      </c>
      <c r="F75" s="398" t="s">
        <v>1122</v>
      </c>
      <c r="G75" s="398" t="s">
        <v>1123</v>
      </c>
      <c r="H75" s="398"/>
      <c r="I75" s="398"/>
      <c r="J75" s="399" t="s">
        <v>5</v>
      </c>
      <c r="K75" s="399" t="s">
        <v>5</v>
      </c>
      <c r="L75" s="399" t="s">
        <v>5</v>
      </c>
      <c r="M75" s="399" t="s">
        <v>5</v>
      </c>
      <c r="N75" s="399" t="s">
        <v>5</v>
      </c>
      <c r="O75" s="399" t="s">
        <v>5</v>
      </c>
      <c r="P75" s="399" t="s">
        <v>5</v>
      </c>
      <c r="Q75" s="399" t="s">
        <v>5</v>
      </c>
      <c r="R75" s="399" t="s">
        <v>5</v>
      </c>
      <c r="S75" s="399" t="s">
        <v>5</v>
      </c>
      <c r="T75" s="399" t="s">
        <v>5</v>
      </c>
      <c r="U75" s="399" t="s">
        <v>5</v>
      </c>
      <c r="V75" s="399" t="s">
        <v>5</v>
      </c>
      <c r="W75" s="399" t="s">
        <v>5</v>
      </c>
      <c r="X75" s="399" t="s">
        <v>5</v>
      </c>
      <c r="Y75" s="399">
        <v>1293.3735750000001</v>
      </c>
      <c r="Z75" s="399" t="s">
        <v>5</v>
      </c>
      <c r="AA75" s="399" t="s">
        <v>5</v>
      </c>
      <c r="AB75" s="399" t="s">
        <v>5</v>
      </c>
      <c r="AC75" s="399" t="s">
        <v>5</v>
      </c>
      <c r="AD75" s="399" t="s">
        <v>5</v>
      </c>
      <c r="AE75" s="399" t="s">
        <v>5</v>
      </c>
      <c r="AF75" s="399" t="s">
        <v>5</v>
      </c>
      <c r="AG75" s="399" t="s">
        <v>5</v>
      </c>
      <c r="AH75" s="399" t="s">
        <v>5</v>
      </c>
      <c r="AI75" s="399" t="s">
        <v>5</v>
      </c>
      <c r="AJ75" s="399">
        <v>9.3015000000000008</v>
      </c>
      <c r="AK75" s="399" t="s">
        <v>5</v>
      </c>
      <c r="AL75" s="399" t="s">
        <v>5</v>
      </c>
      <c r="AM75" s="399" t="s">
        <v>5</v>
      </c>
      <c r="AN75" s="399" t="s">
        <v>5</v>
      </c>
      <c r="AO75" s="399" t="s">
        <v>5</v>
      </c>
      <c r="AP75" s="399" t="s">
        <v>5</v>
      </c>
      <c r="AQ75" s="399" t="s">
        <v>5</v>
      </c>
      <c r="AR75" s="399" t="s">
        <v>5</v>
      </c>
      <c r="AS75" s="399" t="s">
        <v>5</v>
      </c>
      <c r="AT75" s="399" t="s">
        <v>5</v>
      </c>
      <c r="AU75" s="399" t="s">
        <v>5</v>
      </c>
      <c r="AV75" s="399" t="s">
        <v>5</v>
      </c>
      <c r="AW75" s="399" t="s">
        <v>5</v>
      </c>
      <c r="AX75" s="399" t="s">
        <v>5</v>
      </c>
      <c r="AY75" s="399" t="s">
        <v>5</v>
      </c>
      <c r="AZ75" s="399" t="s">
        <v>5</v>
      </c>
      <c r="BA75" s="399" t="s">
        <v>5</v>
      </c>
      <c r="BB75" s="399" t="s">
        <v>5</v>
      </c>
      <c r="BC75" s="399" t="s">
        <v>5</v>
      </c>
      <c r="BD75" s="399" t="s">
        <v>5</v>
      </c>
      <c r="BE75" s="399" t="s">
        <v>5</v>
      </c>
      <c r="BF75" s="399" t="s">
        <v>5</v>
      </c>
      <c r="BG75" s="399">
        <v>1255.7025000000001</v>
      </c>
      <c r="BH75" s="399" t="s">
        <v>5</v>
      </c>
      <c r="BI75" s="399" t="s">
        <v>5</v>
      </c>
      <c r="BJ75" s="399" t="s">
        <v>5</v>
      </c>
      <c r="BK75" s="399" t="s">
        <v>5</v>
      </c>
      <c r="BL75" s="399" t="s">
        <v>5</v>
      </c>
      <c r="BM75" s="399" t="s">
        <v>5</v>
      </c>
      <c r="BN75" s="399" t="s">
        <v>5</v>
      </c>
      <c r="BO75" s="399">
        <v>51.547499999999999</v>
      </c>
      <c r="BP75" s="399" t="s">
        <v>5</v>
      </c>
      <c r="BQ75" s="399" t="s">
        <v>5</v>
      </c>
      <c r="BR75" s="399" t="s">
        <v>5</v>
      </c>
      <c r="BS75" s="399" t="s">
        <v>5</v>
      </c>
      <c r="BT75" s="399" t="s">
        <v>5</v>
      </c>
    </row>
    <row r="76" spans="1:72" outlineLevel="1">
      <c r="A76" s="403"/>
      <c r="B76" s="403" t="s">
        <v>1108</v>
      </c>
      <c r="C76" s="403" t="s">
        <v>1107</v>
      </c>
      <c r="D76" s="403">
        <v>6</v>
      </c>
      <c r="E76" s="403" t="s">
        <v>1124</v>
      </c>
      <c r="F76" s="403" t="s">
        <v>1125</v>
      </c>
      <c r="G76" s="403" t="s">
        <v>1126</v>
      </c>
      <c r="H76" s="403"/>
      <c r="I76" s="403"/>
      <c r="J76" s="397" t="s">
        <v>5</v>
      </c>
      <c r="K76" s="397" t="s">
        <v>5</v>
      </c>
      <c r="L76" s="397" t="s">
        <v>5</v>
      </c>
      <c r="M76" s="397" t="s">
        <v>5</v>
      </c>
      <c r="N76" s="397" t="s">
        <v>5</v>
      </c>
      <c r="O76" s="397" t="s">
        <v>5</v>
      </c>
      <c r="P76" s="397" t="s">
        <v>5</v>
      </c>
      <c r="Q76" s="397" t="s">
        <v>5</v>
      </c>
      <c r="R76" s="397" t="s">
        <v>5</v>
      </c>
      <c r="S76" s="397" t="s">
        <v>5</v>
      </c>
      <c r="T76" s="397" t="s">
        <v>5</v>
      </c>
      <c r="U76" s="397" t="s">
        <v>5</v>
      </c>
      <c r="V76" s="397" t="s">
        <v>5</v>
      </c>
      <c r="W76" s="397" t="s">
        <v>5</v>
      </c>
      <c r="X76" s="397" t="s">
        <v>5</v>
      </c>
      <c r="Y76" s="397">
        <v>6351.6094845000007</v>
      </c>
      <c r="Z76" s="397" t="s">
        <v>5</v>
      </c>
      <c r="AA76" s="397" t="s">
        <v>5</v>
      </c>
      <c r="AB76" s="397" t="s">
        <v>5</v>
      </c>
      <c r="AC76" s="397" t="s">
        <v>5</v>
      </c>
      <c r="AD76" s="397" t="s">
        <v>5</v>
      </c>
      <c r="AE76" s="397" t="s">
        <v>5</v>
      </c>
      <c r="AF76" s="397" t="s">
        <v>5</v>
      </c>
      <c r="AG76" s="397" t="s">
        <v>5</v>
      </c>
      <c r="AH76" s="397" t="s">
        <v>5</v>
      </c>
      <c r="AI76" s="397" t="s">
        <v>5</v>
      </c>
      <c r="AJ76" s="397" t="s">
        <v>5</v>
      </c>
      <c r="AK76" s="397">
        <v>38.638351499999999</v>
      </c>
      <c r="AL76" s="397" t="s">
        <v>5</v>
      </c>
      <c r="AM76" s="397" t="s">
        <v>5</v>
      </c>
      <c r="AN76" s="397" t="s">
        <v>5</v>
      </c>
      <c r="AO76" s="397" t="s">
        <v>5</v>
      </c>
      <c r="AP76" s="397" t="s">
        <v>5</v>
      </c>
      <c r="AQ76" s="397" t="s">
        <v>5</v>
      </c>
      <c r="AR76" s="397" t="s">
        <v>5</v>
      </c>
      <c r="AS76" s="397" t="s">
        <v>5</v>
      </c>
      <c r="AT76" s="397" t="s">
        <v>5</v>
      </c>
      <c r="AU76" s="397" t="s">
        <v>5</v>
      </c>
      <c r="AV76" s="397" t="s">
        <v>5</v>
      </c>
      <c r="AW76" s="397" t="s">
        <v>5</v>
      </c>
      <c r="AX76" s="397" t="s">
        <v>5</v>
      </c>
      <c r="AY76" s="397" t="s">
        <v>5</v>
      </c>
      <c r="AZ76" s="397" t="s">
        <v>5</v>
      </c>
      <c r="BA76" s="397" t="s">
        <v>5</v>
      </c>
      <c r="BB76" s="397" t="s">
        <v>5</v>
      </c>
      <c r="BC76" s="397" t="s">
        <v>5</v>
      </c>
      <c r="BD76" s="397" t="s">
        <v>5</v>
      </c>
      <c r="BE76" s="397" t="s">
        <v>5</v>
      </c>
      <c r="BF76" s="397" t="s">
        <v>5</v>
      </c>
      <c r="BG76" s="397" t="s">
        <v>5</v>
      </c>
      <c r="BH76" s="397">
        <v>6166.6111500000006</v>
      </c>
      <c r="BI76" s="397" t="s">
        <v>5</v>
      </c>
      <c r="BJ76" s="397" t="s">
        <v>5</v>
      </c>
      <c r="BK76" s="397" t="s">
        <v>5</v>
      </c>
      <c r="BL76" s="397" t="s">
        <v>5</v>
      </c>
      <c r="BM76" s="397" t="s">
        <v>5</v>
      </c>
      <c r="BN76" s="397" t="s">
        <v>5</v>
      </c>
      <c r="BO76" s="397" t="s">
        <v>5</v>
      </c>
      <c r="BP76" s="397">
        <v>179.46420000000001</v>
      </c>
      <c r="BQ76" s="397" t="s">
        <v>5</v>
      </c>
      <c r="BR76" s="397" t="s">
        <v>5</v>
      </c>
      <c r="BS76" s="397" t="s">
        <v>5</v>
      </c>
      <c r="BT76" s="397" t="s">
        <v>5</v>
      </c>
    </row>
    <row r="77" spans="1:72">
      <c r="A77" s="418">
        <v>19</v>
      </c>
      <c r="B77" s="418" t="s">
        <v>1091</v>
      </c>
      <c r="C77" s="418"/>
      <c r="D77" s="418"/>
      <c r="E77" s="418" t="s">
        <v>1127</v>
      </c>
      <c r="F77" s="418"/>
      <c r="G77" s="418" t="s">
        <v>1128</v>
      </c>
      <c r="H77" s="418"/>
      <c r="I77" s="418"/>
      <c r="J77" s="419">
        <v>0</v>
      </c>
      <c r="K77" s="419">
        <v>0</v>
      </c>
      <c r="L77" s="419">
        <v>0</v>
      </c>
      <c r="M77" s="419">
        <v>0</v>
      </c>
      <c r="N77" s="419">
        <v>0</v>
      </c>
      <c r="O77" s="419">
        <v>0</v>
      </c>
      <c r="P77" s="419">
        <v>0</v>
      </c>
      <c r="Q77" s="419">
        <v>0</v>
      </c>
      <c r="R77" s="419">
        <v>0</v>
      </c>
      <c r="S77" s="419">
        <v>0</v>
      </c>
      <c r="T77" s="419">
        <v>0</v>
      </c>
      <c r="U77" s="419">
        <v>0</v>
      </c>
      <c r="V77" s="419">
        <v>0</v>
      </c>
      <c r="W77" s="419">
        <v>0</v>
      </c>
      <c r="X77" s="419">
        <v>0</v>
      </c>
      <c r="Y77" s="419">
        <v>308144.03411959909</v>
      </c>
      <c r="Z77" s="419">
        <v>0</v>
      </c>
      <c r="AA77" s="419">
        <v>0</v>
      </c>
      <c r="AB77" s="419">
        <v>314.24</v>
      </c>
      <c r="AC77" s="419">
        <v>571.88600000000008</v>
      </c>
      <c r="AD77" s="419">
        <v>189.89100000000002</v>
      </c>
      <c r="AE77" s="419">
        <v>0</v>
      </c>
      <c r="AF77" s="419">
        <v>0</v>
      </c>
      <c r="AG77" s="419">
        <v>0</v>
      </c>
      <c r="AH77" s="419">
        <v>0</v>
      </c>
      <c r="AI77" s="419">
        <v>0</v>
      </c>
      <c r="AJ77" s="419">
        <v>9.3015000000000008</v>
      </c>
      <c r="AK77" s="419">
        <v>38.638351499999999</v>
      </c>
      <c r="AL77" s="419">
        <v>189.87200000000001</v>
      </c>
      <c r="AM77" s="419">
        <v>486.68109999999996</v>
      </c>
      <c r="AN77" s="419">
        <v>250.13299999999998</v>
      </c>
      <c r="AO77" s="419">
        <v>694.65920000000006</v>
      </c>
      <c r="AP77" s="419">
        <v>0</v>
      </c>
      <c r="AQ77" s="419">
        <v>0</v>
      </c>
      <c r="AR77" s="419">
        <v>0</v>
      </c>
      <c r="AS77" s="419">
        <v>0</v>
      </c>
      <c r="AT77" s="419">
        <v>0</v>
      </c>
      <c r="AU77" s="419">
        <v>0</v>
      </c>
      <c r="AV77" s="419">
        <v>0</v>
      </c>
      <c r="AW77" s="419">
        <v>0</v>
      </c>
      <c r="AX77" s="419">
        <v>562.4375</v>
      </c>
      <c r="AY77" s="419">
        <v>571.88600000000008</v>
      </c>
      <c r="AZ77" s="419">
        <v>0</v>
      </c>
      <c r="BA77" s="419">
        <v>0</v>
      </c>
      <c r="BB77" s="419">
        <v>0</v>
      </c>
      <c r="BC77" s="419">
        <v>0</v>
      </c>
      <c r="BD77" s="419">
        <v>0</v>
      </c>
      <c r="BE77" s="419">
        <v>0</v>
      </c>
      <c r="BF77" s="419">
        <v>0</v>
      </c>
      <c r="BG77" s="419">
        <v>1255.7024999999996</v>
      </c>
      <c r="BH77" s="419">
        <v>6166.6111500000006</v>
      </c>
      <c r="BI77" s="419">
        <v>19927.109865725262</v>
      </c>
      <c r="BJ77" s="419">
        <v>102068.79437407755</v>
      </c>
      <c r="BK77" s="419">
        <v>169750.74727485649</v>
      </c>
      <c r="BL77" s="419">
        <v>0</v>
      </c>
      <c r="BM77" s="419">
        <v>0</v>
      </c>
      <c r="BN77" s="419">
        <v>0</v>
      </c>
      <c r="BO77" s="419">
        <v>51.547499999999999</v>
      </c>
      <c r="BP77" s="419">
        <v>179.46420000000001</v>
      </c>
      <c r="BQ77" s="419">
        <v>951.32600000000002</v>
      </c>
      <c r="BR77" s="419">
        <v>2010.0000999999997</v>
      </c>
      <c r="BS77" s="419">
        <v>4881.2874000000002</v>
      </c>
      <c r="BT77" s="419">
        <v>0</v>
      </c>
    </row>
    <row r="78" spans="1:72" outlineLevel="1">
      <c r="A78" s="402"/>
      <c r="B78" s="402" t="s">
        <v>1128</v>
      </c>
      <c r="C78" s="402" t="s">
        <v>1127</v>
      </c>
      <c r="D78" s="402">
        <v>1</v>
      </c>
      <c r="E78" s="402" t="s">
        <v>1129</v>
      </c>
      <c r="F78" s="402" t="s">
        <v>1130</v>
      </c>
      <c r="G78" s="402" t="s">
        <v>1131</v>
      </c>
      <c r="H78" s="402"/>
      <c r="I78" s="402"/>
      <c r="J78" s="396" t="s">
        <v>5</v>
      </c>
      <c r="K78" s="396" t="s">
        <v>5</v>
      </c>
      <c r="L78" s="396" t="s">
        <v>5</v>
      </c>
      <c r="M78" s="396" t="s">
        <v>5</v>
      </c>
      <c r="N78" s="396" t="s">
        <v>5</v>
      </c>
      <c r="O78" s="396" t="s">
        <v>5</v>
      </c>
      <c r="P78" s="396" t="s">
        <v>5</v>
      </c>
      <c r="Q78" s="396" t="s">
        <v>5</v>
      </c>
      <c r="R78" s="396" t="s">
        <v>5</v>
      </c>
      <c r="S78" s="396" t="s">
        <v>5</v>
      </c>
      <c r="T78" s="396" t="s">
        <v>5</v>
      </c>
      <c r="U78" s="396" t="s">
        <v>5</v>
      </c>
      <c r="V78" s="396" t="s">
        <v>5</v>
      </c>
      <c r="W78" s="396" t="s">
        <v>5</v>
      </c>
      <c r="X78" s="396" t="s">
        <v>5</v>
      </c>
      <c r="Y78" s="396">
        <v>20524.923161697021</v>
      </c>
      <c r="Z78" s="396" t="s">
        <v>5</v>
      </c>
      <c r="AA78" s="396" t="s">
        <v>5</v>
      </c>
      <c r="AB78" s="396">
        <v>314.24</v>
      </c>
      <c r="AC78" s="396">
        <v>571.88600000000008</v>
      </c>
      <c r="AD78" s="396" t="s">
        <v>5</v>
      </c>
      <c r="AE78" s="396" t="s">
        <v>5</v>
      </c>
      <c r="AF78" s="396" t="s">
        <v>5</v>
      </c>
      <c r="AG78" s="396" t="s">
        <v>5</v>
      </c>
      <c r="AH78" s="396" t="s">
        <v>5</v>
      </c>
      <c r="AI78" s="396" t="s">
        <v>5</v>
      </c>
      <c r="AJ78" s="396" t="s">
        <v>5</v>
      </c>
      <c r="AK78" s="396" t="s">
        <v>5</v>
      </c>
      <c r="AL78" s="396">
        <v>189.87200000000001</v>
      </c>
      <c r="AM78" s="396" t="s">
        <v>5</v>
      </c>
      <c r="AN78" s="396" t="s">
        <v>5</v>
      </c>
      <c r="AO78" s="396" t="s">
        <v>5</v>
      </c>
      <c r="AP78" s="396" t="s">
        <v>5</v>
      </c>
      <c r="AQ78" s="396" t="s">
        <v>5</v>
      </c>
      <c r="AR78" s="396" t="s">
        <v>5</v>
      </c>
      <c r="AS78" s="396" t="s">
        <v>5</v>
      </c>
      <c r="AT78" s="396" t="s">
        <v>5</v>
      </c>
      <c r="AU78" s="396" t="s">
        <v>5</v>
      </c>
      <c r="AV78" s="396" t="s">
        <v>5</v>
      </c>
      <c r="AW78" s="396" t="s">
        <v>5</v>
      </c>
      <c r="AX78" s="396">
        <v>562.4375</v>
      </c>
      <c r="AY78" s="396">
        <v>571.88600000000008</v>
      </c>
      <c r="AZ78" s="396" t="s">
        <v>5</v>
      </c>
      <c r="BA78" s="396" t="s">
        <v>5</v>
      </c>
      <c r="BB78" s="396" t="s">
        <v>5</v>
      </c>
      <c r="BC78" s="396" t="s">
        <v>5</v>
      </c>
      <c r="BD78" s="396" t="s">
        <v>5</v>
      </c>
      <c r="BE78" s="396" t="s">
        <v>5</v>
      </c>
      <c r="BF78" s="396" t="s">
        <v>5</v>
      </c>
      <c r="BG78" s="396" t="s">
        <v>5</v>
      </c>
      <c r="BH78" s="396" t="s">
        <v>5</v>
      </c>
      <c r="BI78" s="396">
        <v>19927.109865725262</v>
      </c>
      <c r="BJ78" s="396" t="s">
        <v>5</v>
      </c>
      <c r="BK78" s="396" t="s">
        <v>5</v>
      </c>
      <c r="BL78" s="396" t="s">
        <v>5</v>
      </c>
      <c r="BM78" s="396" t="s">
        <v>5</v>
      </c>
      <c r="BN78" s="396" t="s">
        <v>5</v>
      </c>
      <c r="BO78" s="396" t="s">
        <v>5</v>
      </c>
      <c r="BP78" s="396" t="s">
        <v>5</v>
      </c>
      <c r="BQ78" s="396">
        <v>951.32600000000002</v>
      </c>
      <c r="BR78" s="396" t="s">
        <v>5</v>
      </c>
      <c r="BS78" s="396" t="s">
        <v>5</v>
      </c>
      <c r="BT78" s="396" t="s">
        <v>5</v>
      </c>
    </row>
    <row r="79" spans="1:72" outlineLevel="1">
      <c r="A79" s="398"/>
      <c r="B79" s="398" t="s">
        <v>1128</v>
      </c>
      <c r="C79" s="398" t="s">
        <v>1127</v>
      </c>
      <c r="D79" s="398">
        <v>2</v>
      </c>
      <c r="E79" s="398" t="s">
        <v>1132</v>
      </c>
      <c r="F79" s="398" t="s">
        <v>1133</v>
      </c>
      <c r="G79" s="398" t="s">
        <v>1134</v>
      </c>
      <c r="H79" s="398"/>
      <c r="I79" s="398"/>
      <c r="J79" s="399" t="s">
        <v>5</v>
      </c>
      <c r="K79" s="399" t="s">
        <v>5</v>
      </c>
      <c r="L79" s="399" t="s">
        <v>5</v>
      </c>
      <c r="M79" s="399" t="s">
        <v>5</v>
      </c>
      <c r="N79" s="399" t="s">
        <v>5</v>
      </c>
      <c r="O79" s="399" t="s">
        <v>5</v>
      </c>
      <c r="P79" s="399" t="s">
        <v>5</v>
      </c>
      <c r="Q79" s="399" t="s">
        <v>5</v>
      </c>
      <c r="R79" s="399" t="s">
        <v>5</v>
      </c>
      <c r="S79" s="399" t="s">
        <v>5</v>
      </c>
      <c r="T79" s="399" t="s">
        <v>5</v>
      </c>
      <c r="U79" s="399" t="s">
        <v>5</v>
      </c>
      <c r="V79" s="399" t="s">
        <v>5</v>
      </c>
      <c r="W79" s="399" t="s">
        <v>5</v>
      </c>
      <c r="X79" s="399" t="s">
        <v>5</v>
      </c>
      <c r="Y79" s="399">
        <v>105130.85820529988</v>
      </c>
      <c r="Z79" s="399" t="s">
        <v>5</v>
      </c>
      <c r="AA79" s="399" t="s">
        <v>5</v>
      </c>
      <c r="AB79" s="399" t="s">
        <v>5</v>
      </c>
      <c r="AC79" s="399" t="s">
        <v>5</v>
      </c>
      <c r="AD79" s="399" t="s">
        <v>5</v>
      </c>
      <c r="AE79" s="399" t="s">
        <v>5</v>
      </c>
      <c r="AF79" s="399" t="s">
        <v>5</v>
      </c>
      <c r="AG79" s="399" t="s">
        <v>5</v>
      </c>
      <c r="AH79" s="399" t="s">
        <v>5</v>
      </c>
      <c r="AI79" s="399" t="s">
        <v>5</v>
      </c>
      <c r="AJ79" s="399" t="s">
        <v>5</v>
      </c>
      <c r="AK79" s="399" t="s">
        <v>5</v>
      </c>
      <c r="AL79" s="399" t="s">
        <v>5</v>
      </c>
      <c r="AM79" s="399">
        <v>404.50799999999998</v>
      </c>
      <c r="AN79" s="399" t="s">
        <v>5</v>
      </c>
      <c r="AO79" s="399" t="s">
        <v>5</v>
      </c>
      <c r="AP79" s="399" t="s">
        <v>5</v>
      </c>
      <c r="AQ79" s="399" t="s">
        <v>5</v>
      </c>
      <c r="AR79" s="399" t="s">
        <v>5</v>
      </c>
      <c r="AS79" s="399" t="s">
        <v>5</v>
      </c>
      <c r="AT79" s="399" t="s">
        <v>5</v>
      </c>
      <c r="AU79" s="399" t="s">
        <v>5</v>
      </c>
      <c r="AV79" s="399" t="s">
        <v>5</v>
      </c>
      <c r="AW79" s="399" t="s">
        <v>5</v>
      </c>
      <c r="AX79" s="399" t="s">
        <v>5</v>
      </c>
      <c r="AY79" s="399" t="s">
        <v>5</v>
      </c>
      <c r="AZ79" s="399" t="s">
        <v>5</v>
      </c>
      <c r="BA79" s="399" t="s">
        <v>5</v>
      </c>
      <c r="BB79" s="399" t="s">
        <v>5</v>
      </c>
      <c r="BC79" s="399" t="s">
        <v>5</v>
      </c>
      <c r="BD79" s="399" t="s">
        <v>5</v>
      </c>
      <c r="BE79" s="399" t="s">
        <v>5</v>
      </c>
      <c r="BF79" s="399" t="s">
        <v>5</v>
      </c>
      <c r="BG79" s="399" t="s">
        <v>5</v>
      </c>
      <c r="BH79" s="399" t="s">
        <v>5</v>
      </c>
      <c r="BI79" s="399" t="s">
        <v>5</v>
      </c>
      <c r="BJ79" s="399">
        <v>102068.79437407755</v>
      </c>
      <c r="BK79" s="399" t="s">
        <v>5</v>
      </c>
      <c r="BL79" s="399" t="s">
        <v>5</v>
      </c>
      <c r="BM79" s="399" t="s">
        <v>5</v>
      </c>
      <c r="BN79" s="399" t="s">
        <v>5</v>
      </c>
      <c r="BO79" s="399" t="s">
        <v>5</v>
      </c>
      <c r="BP79" s="399" t="s">
        <v>5</v>
      </c>
      <c r="BQ79" s="399" t="s">
        <v>5</v>
      </c>
      <c r="BR79" s="399">
        <v>2010.0000999999997</v>
      </c>
      <c r="BS79" s="399" t="s">
        <v>5</v>
      </c>
      <c r="BT79" s="399" t="s">
        <v>5</v>
      </c>
    </row>
    <row r="80" spans="1:72" outlineLevel="1">
      <c r="A80" s="398"/>
      <c r="B80" s="398" t="s">
        <v>1128</v>
      </c>
      <c r="C80" s="398" t="s">
        <v>1127</v>
      </c>
      <c r="D80" s="398">
        <v>3</v>
      </c>
      <c r="E80" s="398" t="s">
        <v>1135</v>
      </c>
      <c r="F80" s="398" t="s">
        <v>1136</v>
      </c>
      <c r="G80" s="398" t="s">
        <v>1137</v>
      </c>
      <c r="H80" s="398"/>
      <c r="I80" s="398"/>
      <c r="J80" s="399" t="s">
        <v>5</v>
      </c>
      <c r="K80" s="399" t="s">
        <v>5</v>
      </c>
      <c r="L80" s="399" t="s">
        <v>5</v>
      </c>
      <c r="M80" s="399" t="s">
        <v>5</v>
      </c>
      <c r="N80" s="399" t="s">
        <v>5</v>
      </c>
      <c r="O80" s="399" t="s">
        <v>5</v>
      </c>
      <c r="P80" s="399" t="s">
        <v>5</v>
      </c>
      <c r="Q80" s="399" t="s">
        <v>5</v>
      </c>
      <c r="R80" s="399" t="s">
        <v>5</v>
      </c>
      <c r="S80" s="399" t="s">
        <v>5</v>
      </c>
      <c r="T80" s="399" t="s">
        <v>5</v>
      </c>
      <c r="U80" s="399" t="s">
        <v>5</v>
      </c>
      <c r="V80" s="399" t="s">
        <v>5</v>
      </c>
      <c r="W80" s="399" t="s">
        <v>5</v>
      </c>
      <c r="X80" s="399" t="s">
        <v>5</v>
      </c>
      <c r="Y80" s="399">
        <v>83569.809415372045</v>
      </c>
      <c r="Z80" s="399" t="s">
        <v>5</v>
      </c>
      <c r="AA80" s="399" t="s">
        <v>5</v>
      </c>
      <c r="AB80" s="399" t="s">
        <v>5</v>
      </c>
      <c r="AC80" s="399" t="s">
        <v>5</v>
      </c>
      <c r="AD80" s="399">
        <v>189.89100000000002</v>
      </c>
      <c r="AE80" s="399" t="s">
        <v>5</v>
      </c>
      <c r="AF80" s="399" t="s">
        <v>5</v>
      </c>
      <c r="AG80" s="399" t="s">
        <v>5</v>
      </c>
      <c r="AH80" s="399" t="s">
        <v>5</v>
      </c>
      <c r="AI80" s="399" t="s">
        <v>5</v>
      </c>
      <c r="AJ80" s="399" t="s">
        <v>5</v>
      </c>
      <c r="AK80" s="399" t="s">
        <v>5</v>
      </c>
      <c r="AL80" s="399" t="s">
        <v>5</v>
      </c>
      <c r="AM80" s="399">
        <v>82.173099999999991</v>
      </c>
      <c r="AN80" s="399">
        <v>135.15049999999999</v>
      </c>
      <c r="AO80" s="399">
        <v>300.16670000000005</v>
      </c>
      <c r="AP80" s="399" t="s">
        <v>5</v>
      </c>
      <c r="AQ80" s="399" t="s">
        <v>5</v>
      </c>
      <c r="AR80" s="399" t="s">
        <v>5</v>
      </c>
      <c r="AS80" s="399" t="s">
        <v>5</v>
      </c>
      <c r="AT80" s="399" t="s">
        <v>5</v>
      </c>
      <c r="AU80" s="399" t="s">
        <v>5</v>
      </c>
      <c r="AV80" s="399" t="s">
        <v>5</v>
      </c>
      <c r="AW80" s="399" t="s">
        <v>5</v>
      </c>
      <c r="AX80" s="399" t="s">
        <v>5</v>
      </c>
      <c r="AY80" s="399" t="s">
        <v>5</v>
      </c>
      <c r="AZ80" s="399" t="s">
        <v>5</v>
      </c>
      <c r="BA80" s="399" t="s">
        <v>5</v>
      </c>
      <c r="BB80" s="399" t="s">
        <v>5</v>
      </c>
      <c r="BC80" s="399" t="s">
        <v>5</v>
      </c>
      <c r="BD80" s="399" t="s">
        <v>5</v>
      </c>
      <c r="BE80" s="399" t="s">
        <v>5</v>
      </c>
      <c r="BF80" s="399" t="s">
        <v>5</v>
      </c>
      <c r="BG80" s="399" t="s">
        <v>5</v>
      </c>
      <c r="BH80" s="399" t="s">
        <v>5</v>
      </c>
      <c r="BI80" s="399" t="s">
        <v>5</v>
      </c>
      <c r="BJ80" s="399" t="s">
        <v>5</v>
      </c>
      <c r="BK80" s="399">
        <v>81135.737296477717</v>
      </c>
      <c r="BL80" s="399" t="s">
        <v>5</v>
      </c>
      <c r="BM80" s="399" t="s">
        <v>5</v>
      </c>
      <c r="BN80" s="399" t="s">
        <v>5</v>
      </c>
      <c r="BO80" s="399" t="s">
        <v>5</v>
      </c>
      <c r="BP80" s="399" t="s">
        <v>5</v>
      </c>
      <c r="BQ80" s="399" t="s">
        <v>5</v>
      </c>
      <c r="BR80" s="399" t="s">
        <v>5</v>
      </c>
      <c r="BS80" s="399">
        <v>2834.9227999999998</v>
      </c>
      <c r="BT80" s="399" t="s">
        <v>5</v>
      </c>
    </row>
    <row r="81" spans="1:72" outlineLevel="1">
      <c r="A81" s="398"/>
      <c r="B81" s="398" t="s">
        <v>1128</v>
      </c>
      <c r="C81" s="398" t="s">
        <v>1127</v>
      </c>
      <c r="D81" s="398">
        <v>4</v>
      </c>
      <c r="E81" s="398" t="s">
        <v>1138</v>
      </c>
      <c r="F81" s="398" t="s">
        <v>1139</v>
      </c>
      <c r="G81" s="398" t="s">
        <v>1140</v>
      </c>
      <c r="H81" s="398"/>
      <c r="I81" s="398"/>
      <c r="J81" s="399" t="s">
        <v>5</v>
      </c>
      <c r="K81" s="399" t="s">
        <v>5</v>
      </c>
      <c r="L81" s="399" t="s">
        <v>5</v>
      </c>
      <c r="M81" s="399" t="s">
        <v>5</v>
      </c>
      <c r="N81" s="399" t="s">
        <v>5</v>
      </c>
      <c r="O81" s="399" t="s">
        <v>5</v>
      </c>
      <c r="P81" s="399" t="s">
        <v>5</v>
      </c>
      <c r="Q81" s="399" t="s">
        <v>5</v>
      </c>
      <c r="R81" s="399" t="s">
        <v>5</v>
      </c>
      <c r="S81" s="399" t="s">
        <v>5</v>
      </c>
      <c r="T81" s="399" t="s">
        <v>5</v>
      </c>
      <c r="U81" s="399" t="s">
        <v>5</v>
      </c>
      <c r="V81" s="399" t="s">
        <v>5</v>
      </c>
      <c r="W81" s="399" t="s">
        <v>5</v>
      </c>
      <c r="X81" s="399" t="s">
        <v>5</v>
      </c>
      <c r="Y81" s="399">
        <v>91273.460277730133</v>
      </c>
      <c r="Z81" s="399" t="s">
        <v>5</v>
      </c>
      <c r="AA81" s="399" t="s">
        <v>5</v>
      </c>
      <c r="AB81" s="399" t="s">
        <v>5</v>
      </c>
      <c r="AC81" s="399" t="s">
        <v>5</v>
      </c>
      <c r="AD81" s="399" t="s">
        <v>5</v>
      </c>
      <c r="AE81" s="399" t="s">
        <v>5</v>
      </c>
      <c r="AF81" s="399" t="s">
        <v>5</v>
      </c>
      <c r="AG81" s="399" t="s">
        <v>5</v>
      </c>
      <c r="AH81" s="399" t="s">
        <v>5</v>
      </c>
      <c r="AI81" s="399" t="s">
        <v>5</v>
      </c>
      <c r="AJ81" s="399" t="s">
        <v>5</v>
      </c>
      <c r="AK81" s="399" t="s">
        <v>5</v>
      </c>
      <c r="AL81" s="399" t="s">
        <v>5</v>
      </c>
      <c r="AM81" s="399" t="s">
        <v>5</v>
      </c>
      <c r="AN81" s="399">
        <v>114.9825</v>
      </c>
      <c r="AO81" s="399">
        <v>394.49250000000001</v>
      </c>
      <c r="AP81" s="399" t="s">
        <v>5</v>
      </c>
      <c r="AQ81" s="399" t="s">
        <v>5</v>
      </c>
      <c r="AR81" s="399" t="s">
        <v>5</v>
      </c>
      <c r="AS81" s="399" t="s">
        <v>5</v>
      </c>
      <c r="AT81" s="399" t="s">
        <v>5</v>
      </c>
      <c r="AU81" s="399" t="s">
        <v>5</v>
      </c>
      <c r="AV81" s="399" t="s">
        <v>5</v>
      </c>
      <c r="AW81" s="399" t="s">
        <v>5</v>
      </c>
      <c r="AX81" s="399" t="s">
        <v>5</v>
      </c>
      <c r="AY81" s="399" t="s">
        <v>5</v>
      </c>
      <c r="AZ81" s="399" t="s">
        <v>5</v>
      </c>
      <c r="BA81" s="399" t="s">
        <v>5</v>
      </c>
      <c r="BB81" s="399" t="s">
        <v>5</v>
      </c>
      <c r="BC81" s="399" t="s">
        <v>5</v>
      </c>
      <c r="BD81" s="399" t="s">
        <v>5</v>
      </c>
      <c r="BE81" s="399" t="s">
        <v>5</v>
      </c>
      <c r="BF81" s="399" t="s">
        <v>5</v>
      </c>
      <c r="BG81" s="399" t="s">
        <v>5</v>
      </c>
      <c r="BH81" s="399" t="s">
        <v>5</v>
      </c>
      <c r="BI81" s="399" t="s">
        <v>5</v>
      </c>
      <c r="BJ81" s="399" t="s">
        <v>5</v>
      </c>
      <c r="BK81" s="399">
        <v>88615.009978378774</v>
      </c>
      <c r="BL81" s="399" t="s">
        <v>5</v>
      </c>
      <c r="BM81" s="399" t="s">
        <v>5</v>
      </c>
      <c r="BN81" s="399" t="s">
        <v>5</v>
      </c>
      <c r="BO81" s="399" t="s">
        <v>5</v>
      </c>
      <c r="BP81" s="399" t="s">
        <v>5</v>
      </c>
      <c r="BQ81" s="399" t="s">
        <v>5</v>
      </c>
      <c r="BR81" s="399" t="s">
        <v>5</v>
      </c>
      <c r="BS81" s="399">
        <v>2046.3646000000001</v>
      </c>
      <c r="BT81" s="399" t="s">
        <v>5</v>
      </c>
    </row>
    <row r="82" spans="1:72" outlineLevel="1">
      <c r="A82" s="398"/>
      <c r="B82" s="398" t="s">
        <v>1128</v>
      </c>
      <c r="C82" s="398" t="s">
        <v>1127</v>
      </c>
      <c r="D82" s="398">
        <v>5</v>
      </c>
      <c r="E82" s="398" t="s">
        <v>1141</v>
      </c>
      <c r="F82" s="398" t="s">
        <v>1142</v>
      </c>
      <c r="G82" s="398" t="s">
        <v>1143</v>
      </c>
      <c r="H82" s="398"/>
      <c r="I82" s="398"/>
      <c r="J82" s="399" t="s">
        <v>5</v>
      </c>
      <c r="K82" s="399" t="s">
        <v>5</v>
      </c>
      <c r="L82" s="399" t="s">
        <v>5</v>
      </c>
      <c r="M82" s="399" t="s">
        <v>5</v>
      </c>
      <c r="N82" s="399" t="s">
        <v>5</v>
      </c>
      <c r="O82" s="399" t="s">
        <v>5</v>
      </c>
      <c r="P82" s="399" t="s">
        <v>5</v>
      </c>
      <c r="Q82" s="399" t="s">
        <v>5</v>
      </c>
      <c r="R82" s="399" t="s">
        <v>5</v>
      </c>
      <c r="S82" s="399" t="s">
        <v>5</v>
      </c>
      <c r="T82" s="399" t="s">
        <v>5</v>
      </c>
      <c r="U82" s="399" t="s">
        <v>5</v>
      </c>
      <c r="V82" s="399" t="s">
        <v>5</v>
      </c>
      <c r="W82" s="399" t="s">
        <v>5</v>
      </c>
      <c r="X82" s="399" t="s">
        <v>5</v>
      </c>
      <c r="Y82" s="399">
        <v>1293.3735749999996</v>
      </c>
      <c r="Z82" s="399" t="s">
        <v>5</v>
      </c>
      <c r="AA82" s="399" t="s">
        <v>5</v>
      </c>
      <c r="AB82" s="399" t="s">
        <v>5</v>
      </c>
      <c r="AC82" s="399" t="s">
        <v>5</v>
      </c>
      <c r="AD82" s="399" t="s">
        <v>5</v>
      </c>
      <c r="AE82" s="399" t="s">
        <v>5</v>
      </c>
      <c r="AF82" s="399" t="s">
        <v>5</v>
      </c>
      <c r="AG82" s="399" t="s">
        <v>5</v>
      </c>
      <c r="AH82" s="399" t="s">
        <v>5</v>
      </c>
      <c r="AI82" s="399" t="s">
        <v>5</v>
      </c>
      <c r="AJ82" s="399">
        <v>9.3015000000000008</v>
      </c>
      <c r="AK82" s="399" t="s">
        <v>5</v>
      </c>
      <c r="AL82" s="399" t="s">
        <v>5</v>
      </c>
      <c r="AM82" s="399" t="s">
        <v>5</v>
      </c>
      <c r="AN82" s="399" t="s">
        <v>5</v>
      </c>
      <c r="AO82" s="399" t="s">
        <v>5</v>
      </c>
      <c r="AP82" s="399" t="s">
        <v>5</v>
      </c>
      <c r="AQ82" s="399" t="s">
        <v>5</v>
      </c>
      <c r="AR82" s="399" t="s">
        <v>5</v>
      </c>
      <c r="AS82" s="399" t="s">
        <v>5</v>
      </c>
      <c r="AT82" s="399" t="s">
        <v>5</v>
      </c>
      <c r="AU82" s="399" t="s">
        <v>5</v>
      </c>
      <c r="AV82" s="399" t="s">
        <v>5</v>
      </c>
      <c r="AW82" s="399" t="s">
        <v>5</v>
      </c>
      <c r="AX82" s="399" t="s">
        <v>5</v>
      </c>
      <c r="AY82" s="399" t="s">
        <v>5</v>
      </c>
      <c r="AZ82" s="399" t="s">
        <v>5</v>
      </c>
      <c r="BA82" s="399" t="s">
        <v>5</v>
      </c>
      <c r="BB82" s="399" t="s">
        <v>5</v>
      </c>
      <c r="BC82" s="399" t="s">
        <v>5</v>
      </c>
      <c r="BD82" s="399" t="s">
        <v>5</v>
      </c>
      <c r="BE82" s="399" t="s">
        <v>5</v>
      </c>
      <c r="BF82" s="399" t="s">
        <v>5</v>
      </c>
      <c r="BG82" s="399">
        <v>1255.7024999999996</v>
      </c>
      <c r="BH82" s="399" t="s">
        <v>5</v>
      </c>
      <c r="BI82" s="399" t="s">
        <v>5</v>
      </c>
      <c r="BJ82" s="399" t="s">
        <v>5</v>
      </c>
      <c r="BK82" s="399" t="s">
        <v>5</v>
      </c>
      <c r="BL82" s="399" t="s">
        <v>5</v>
      </c>
      <c r="BM82" s="399" t="s">
        <v>5</v>
      </c>
      <c r="BN82" s="399" t="s">
        <v>5</v>
      </c>
      <c r="BO82" s="399">
        <v>51.547499999999999</v>
      </c>
      <c r="BP82" s="399" t="s">
        <v>5</v>
      </c>
      <c r="BQ82" s="399" t="s">
        <v>5</v>
      </c>
      <c r="BR82" s="399" t="s">
        <v>5</v>
      </c>
      <c r="BS82" s="399" t="s">
        <v>5</v>
      </c>
      <c r="BT82" s="399" t="s">
        <v>5</v>
      </c>
    </row>
    <row r="83" spans="1:72" outlineLevel="1">
      <c r="A83" s="403"/>
      <c r="B83" s="403" t="s">
        <v>1128</v>
      </c>
      <c r="C83" s="403" t="s">
        <v>1127</v>
      </c>
      <c r="D83" s="403">
        <v>6</v>
      </c>
      <c r="E83" s="403" t="s">
        <v>1144</v>
      </c>
      <c r="F83" s="403" t="s">
        <v>1145</v>
      </c>
      <c r="G83" s="403" t="s">
        <v>1146</v>
      </c>
      <c r="H83" s="403"/>
      <c r="I83" s="403"/>
      <c r="J83" s="397" t="s">
        <v>5</v>
      </c>
      <c r="K83" s="397" t="s">
        <v>5</v>
      </c>
      <c r="L83" s="397" t="s">
        <v>5</v>
      </c>
      <c r="M83" s="397" t="s">
        <v>5</v>
      </c>
      <c r="N83" s="397" t="s">
        <v>5</v>
      </c>
      <c r="O83" s="397" t="s">
        <v>5</v>
      </c>
      <c r="P83" s="397" t="s">
        <v>5</v>
      </c>
      <c r="Q83" s="397" t="s">
        <v>5</v>
      </c>
      <c r="R83" s="397" t="s">
        <v>5</v>
      </c>
      <c r="S83" s="397" t="s">
        <v>5</v>
      </c>
      <c r="T83" s="397" t="s">
        <v>5</v>
      </c>
      <c r="U83" s="397" t="s">
        <v>5</v>
      </c>
      <c r="V83" s="397" t="s">
        <v>5</v>
      </c>
      <c r="W83" s="397" t="s">
        <v>5</v>
      </c>
      <c r="X83" s="397" t="s">
        <v>5</v>
      </c>
      <c r="Y83" s="397">
        <v>6351.6094845000007</v>
      </c>
      <c r="Z83" s="397" t="s">
        <v>5</v>
      </c>
      <c r="AA83" s="397" t="s">
        <v>5</v>
      </c>
      <c r="AB83" s="397" t="s">
        <v>5</v>
      </c>
      <c r="AC83" s="397" t="s">
        <v>5</v>
      </c>
      <c r="AD83" s="397" t="s">
        <v>5</v>
      </c>
      <c r="AE83" s="397" t="s">
        <v>5</v>
      </c>
      <c r="AF83" s="397" t="s">
        <v>5</v>
      </c>
      <c r="AG83" s="397" t="s">
        <v>5</v>
      </c>
      <c r="AH83" s="397" t="s">
        <v>5</v>
      </c>
      <c r="AI83" s="397" t="s">
        <v>5</v>
      </c>
      <c r="AJ83" s="397" t="s">
        <v>5</v>
      </c>
      <c r="AK83" s="397">
        <v>38.638351499999999</v>
      </c>
      <c r="AL83" s="397" t="s">
        <v>5</v>
      </c>
      <c r="AM83" s="397" t="s">
        <v>5</v>
      </c>
      <c r="AN83" s="397" t="s">
        <v>5</v>
      </c>
      <c r="AO83" s="397" t="s">
        <v>5</v>
      </c>
      <c r="AP83" s="397" t="s">
        <v>5</v>
      </c>
      <c r="AQ83" s="397" t="s">
        <v>5</v>
      </c>
      <c r="AR83" s="397" t="s">
        <v>5</v>
      </c>
      <c r="AS83" s="397" t="s">
        <v>5</v>
      </c>
      <c r="AT83" s="397" t="s">
        <v>5</v>
      </c>
      <c r="AU83" s="397" t="s">
        <v>5</v>
      </c>
      <c r="AV83" s="397" t="s">
        <v>5</v>
      </c>
      <c r="AW83" s="397" t="s">
        <v>5</v>
      </c>
      <c r="AX83" s="397" t="s">
        <v>5</v>
      </c>
      <c r="AY83" s="397" t="s">
        <v>5</v>
      </c>
      <c r="AZ83" s="397" t="s">
        <v>5</v>
      </c>
      <c r="BA83" s="397" t="s">
        <v>5</v>
      </c>
      <c r="BB83" s="397" t="s">
        <v>5</v>
      </c>
      <c r="BC83" s="397" t="s">
        <v>5</v>
      </c>
      <c r="BD83" s="397" t="s">
        <v>5</v>
      </c>
      <c r="BE83" s="397" t="s">
        <v>5</v>
      </c>
      <c r="BF83" s="397" t="s">
        <v>5</v>
      </c>
      <c r="BG83" s="397" t="s">
        <v>5</v>
      </c>
      <c r="BH83" s="397">
        <v>6166.6111500000006</v>
      </c>
      <c r="BI83" s="397" t="s">
        <v>5</v>
      </c>
      <c r="BJ83" s="397" t="s">
        <v>5</v>
      </c>
      <c r="BK83" s="397" t="s">
        <v>5</v>
      </c>
      <c r="BL83" s="397" t="s">
        <v>5</v>
      </c>
      <c r="BM83" s="397" t="s">
        <v>5</v>
      </c>
      <c r="BN83" s="397" t="s">
        <v>5</v>
      </c>
      <c r="BO83" s="397" t="s">
        <v>5</v>
      </c>
      <c r="BP83" s="397">
        <v>179.46420000000001</v>
      </c>
      <c r="BQ83" s="397" t="s">
        <v>5</v>
      </c>
      <c r="BR83" s="397" t="s">
        <v>5</v>
      </c>
      <c r="BS83" s="397" t="s">
        <v>5</v>
      </c>
      <c r="BT83" s="397" t="s">
        <v>5</v>
      </c>
    </row>
    <row r="84" spans="1:72">
      <c r="A84" s="418">
        <v>20</v>
      </c>
      <c r="B84" s="418" t="s">
        <v>1147</v>
      </c>
      <c r="C84" s="418"/>
      <c r="D84" s="418"/>
      <c r="E84" s="418" t="s">
        <v>1148</v>
      </c>
      <c r="F84" s="418"/>
      <c r="G84" s="418" t="s">
        <v>1149</v>
      </c>
      <c r="H84" s="418"/>
      <c r="I84" s="418"/>
      <c r="J84" s="419">
        <v>0</v>
      </c>
      <c r="K84" s="419">
        <v>0</v>
      </c>
      <c r="L84" s="419">
        <v>0</v>
      </c>
      <c r="M84" s="419">
        <v>0</v>
      </c>
      <c r="N84" s="419">
        <v>0</v>
      </c>
      <c r="O84" s="419">
        <v>0</v>
      </c>
      <c r="P84" s="419">
        <v>0</v>
      </c>
      <c r="Q84" s="419">
        <v>0</v>
      </c>
      <c r="R84" s="419">
        <v>0</v>
      </c>
      <c r="S84" s="419">
        <v>0</v>
      </c>
      <c r="T84" s="419">
        <v>0</v>
      </c>
      <c r="U84" s="419">
        <v>0</v>
      </c>
      <c r="V84" s="419">
        <v>0</v>
      </c>
      <c r="W84" s="419">
        <v>17.221761463693774</v>
      </c>
      <c r="X84" s="419">
        <v>576.59100000000012</v>
      </c>
      <c r="Y84" s="419">
        <v>7980.8497855000005</v>
      </c>
      <c r="Z84" s="419">
        <v>0</v>
      </c>
      <c r="AA84" s="419">
        <v>0</v>
      </c>
      <c r="AB84" s="419">
        <v>0</v>
      </c>
      <c r="AC84" s="419">
        <v>0</v>
      </c>
      <c r="AD84" s="419">
        <v>0</v>
      </c>
      <c r="AE84" s="419">
        <v>0</v>
      </c>
      <c r="AF84" s="419">
        <v>0</v>
      </c>
      <c r="AG84" s="419">
        <v>0</v>
      </c>
      <c r="AH84" s="419">
        <v>209.54076146369377</v>
      </c>
      <c r="AI84" s="419">
        <v>0</v>
      </c>
      <c r="AJ84" s="419">
        <v>0</v>
      </c>
      <c r="AK84" s="419">
        <v>0</v>
      </c>
      <c r="AL84" s="419">
        <v>0</v>
      </c>
      <c r="AM84" s="419">
        <v>0</v>
      </c>
      <c r="AN84" s="419">
        <v>0</v>
      </c>
      <c r="AO84" s="419">
        <v>0</v>
      </c>
      <c r="AP84" s="419">
        <v>0</v>
      </c>
      <c r="AQ84" s="419">
        <v>0</v>
      </c>
      <c r="AR84" s="419">
        <v>0</v>
      </c>
      <c r="AS84" s="419">
        <v>0</v>
      </c>
      <c r="AT84" s="419">
        <v>0</v>
      </c>
      <c r="AU84" s="419">
        <v>0</v>
      </c>
      <c r="AV84" s="419">
        <v>0</v>
      </c>
      <c r="AW84" s="419">
        <v>0</v>
      </c>
      <c r="AX84" s="419">
        <v>0</v>
      </c>
      <c r="AY84" s="419">
        <v>0</v>
      </c>
      <c r="AZ84" s="419">
        <v>0</v>
      </c>
      <c r="BA84" s="419">
        <v>0</v>
      </c>
      <c r="BB84" s="419">
        <v>0</v>
      </c>
      <c r="BC84" s="419">
        <v>0</v>
      </c>
      <c r="BD84" s="419">
        <v>0</v>
      </c>
      <c r="BE84" s="419">
        <v>7748.3978500000003</v>
      </c>
      <c r="BF84" s="419">
        <v>0</v>
      </c>
      <c r="BG84" s="419">
        <v>0</v>
      </c>
      <c r="BH84" s="419">
        <v>0</v>
      </c>
      <c r="BI84" s="419">
        <v>0</v>
      </c>
      <c r="BJ84" s="419">
        <v>0</v>
      </c>
      <c r="BK84" s="419">
        <v>0</v>
      </c>
      <c r="BL84" s="419">
        <v>0</v>
      </c>
      <c r="BM84" s="419">
        <v>50.050000000000004</v>
      </c>
      <c r="BN84" s="419">
        <v>526.54100000000005</v>
      </c>
      <c r="BO84" s="419">
        <v>0</v>
      </c>
      <c r="BP84" s="419">
        <v>0</v>
      </c>
      <c r="BQ84" s="419">
        <v>0</v>
      </c>
      <c r="BR84" s="419">
        <v>0</v>
      </c>
      <c r="BS84" s="419">
        <v>0</v>
      </c>
      <c r="BT84" s="419">
        <v>0</v>
      </c>
    </row>
    <row r="85" spans="1:72" outlineLevel="1">
      <c r="A85" s="404"/>
      <c r="B85" s="404" t="s">
        <v>1149</v>
      </c>
      <c r="C85" s="404" t="s">
        <v>1148</v>
      </c>
      <c r="D85" s="404">
        <v>1</v>
      </c>
      <c r="E85" s="404" t="s">
        <v>1150</v>
      </c>
      <c r="F85" s="404" t="s">
        <v>1151</v>
      </c>
      <c r="G85" s="404" t="s">
        <v>1152</v>
      </c>
      <c r="H85" s="404"/>
      <c r="I85" s="404"/>
      <c r="J85" s="400" t="s">
        <v>5</v>
      </c>
      <c r="K85" s="400" t="s">
        <v>5</v>
      </c>
      <c r="L85" s="400" t="s">
        <v>5</v>
      </c>
      <c r="M85" s="400" t="s">
        <v>5</v>
      </c>
      <c r="N85" s="400" t="s">
        <v>5</v>
      </c>
      <c r="O85" s="400" t="s">
        <v>5</v>
      </c>
      <c r="P85" s="400" t="s">
        <v>5</v>
      </c>
      <c r="Q85" s="400" t="s">
        <v>5</v>
      </c>
      <c r="R85" s="400" t="s">
        <v>5</v>
      </c>
      <c r="S85" s="400" t="s">
        <v>5</v>
      </c>
      <c r="T85" s="400" t="s">
        <v>5</v>
      </c>
      <c r="U85" s="400" t="s">
        <v>5</v>
      </c>
      <c r="V85" s="400" t="s">
        <v>5</v>
      </c>
      <c r="W85" s="400">
        <v>17.221761463693774</v>
      </c>
      <c r="X85" s="400">
        <v>576.59100000000012</v>
      </c>
      <c r="Y85" s="400">
        <v>7980.8497855000005</v>
      </c>
      <c r="Z85" s="400" t="s">
        <v>5</v>
      </c>
      <c r="AA85" s="400" t="s">
        <v>5</v>
      </c>
      <c r="AB85" s="400" t="s">
        <v>5</v>
      </c>
      <c r="AC85" s="400" t="s">
        <v>5</v>
      </c>
      <c r="AD85" s="400" t="s">
        <v>5</v>
      </c>
      <c r="AE85" s="400" t="s">
        <v>5</v>
      </c>
      <c r="AF85" s="400" t="s">
        <v>5</v>
      </c>
      <c r="AG85" s="400" t="s">
        <v>5</v>
      </c>
      <c r="AH85" s="400">
        <v>209.54076146369377</v>
      </c>
      <c r="AI85" s="400" t="s">
        <v>5</v>
      </c>
      <c r="AJ85" s="400" t="s">
        <v>5</v>
      </c>
      <c r="AK85" s="400" t="s">
        <v>5</v>
      </c>
      <c r="AL85" s="400" t="s">
        <v>5</v>
      </c>
      <c r="AM85" s="400" t="s">
        <v>5</v>
      </c>
      <c r="AN85" s="400" t="s">
        <v>5</v>
      </c>
      <c r="AO85" s="400" t="s">
        <v>5</v>
      </c>
      <c r="AP85" s="400" t="s">
        <v>5</v>
      </c>
      <c r="AQ85" s="400" t="s">
        <v>5</v>
      </c>
      <c r="AR85" s="400" t="s">
        <v>5</v>
      </c>
      <c r="AS85" s="400" t="s">
        <v>5</v>
      </c>
      <c r="AT85" s="400" t="s">
        <v>5</v>
      </c>
      <c r="AU85" s="400" t="s">
        <v>5</v>
      </c>
      <c r="AV85" s="400" t="s">
        <v>5</v>
      </c>
      <c r="AW85" s="400" t="s">
        <v>5</v>
      </c>
      <c r="AX85" s="400" t="s">
        <v>5</v>
      </c>
      <c r="AY85" s="400" t="s">
        <v>5</v>
      </c>
      <c r="AZ85" s="400" t="s">
        <v>5</v>
      </c>
      <c r="BA85" s="400" t="s">
        <v>5</v>
      </c>
      <c r="BB85" s="400" t="s">
        <v>5</v>
      </c>
      <c r="BC85" s="400" t="s">
        <v>5</v>
      </c>
      <c r="BD85" s="400" t="s">
        <v>5</v>
      </c>
      <c r="BE85" s="400">
        <v>7748.3978500000003</v>
      </c>
      <c r="BF85" s="400" t="s">
        <v>5</v>
      </c>
      <c r="BG85" s="400" t="s">
        <v>5</v>
      </c>
      <c r="BH85" s="400" t="s">
        <v>5</v>
      </c>
      <c r="BI85" s="400" t="s">
        <v>5</v>
      </c>
      <c r="BJ85" s="400" t="s">
        <v>5</v>
      </c>
      <c r="BK85" s="400" t="s">
        <v>5</v>
      </c>
      <c r="BL85" s="400" t="s">
        <v>5</v>
      </c>
      <c r="BM85" s="400">
        <v>50.050000000000004</v>
      </c>
      <c r="BN85" s="400">
        <v>526.54100000000005</v>
      </c>
      <c r="BO85" s="400" t="s">
        <v>5</v>
      </c>
      <c r="BP85" s="400" t="s">
        <v>5</v>
      </c>
      <c r="BQ85" s="400" t="s">
        <v>5</v>
      </c>
      <c r="BR85" s="400" t="s">
        <v>5</v>
      </c>
      <c r="BS85" s="400" t="s">
        <v>5</v>
      </c>
      <c r="BT85" s="400" t="s">
        <v>5</v>
      </c>
    </row>
    <row r="86" spans="1:72">
      <c r="A86" s="418">
        <v>21</v>
      </c>
      <c r="B86" s="418" t="s">
        <v>1147</v>
      </c>
      <c r="C86" s="418"/>
      <c r="D86" s="418"/>
      <c r="E86" s="418" t="s">
        <v>1153</v>
      </c>
      <c r="F86" s="418"/>
      <c r="G86" s="418" t="s">
        <v>1154</v>
      </c>
      <c r="H86" s="418"/>
      <c r="I86" s="418"/>
      <c r="J86" s="419">
        <v>0</v>
      </c>
      <c r="K86" s="419">
        <v>0</v>
      </c>
      <c r="L86" s="419">
        <v>0</v>
      </c>
      <c r="M86" s="419">
        <v>0</v>
      </c>
      <c r="N86" s="419">
        <v>0</v>
      </c>
      <c r="O86" s="419">
        <v>0</v>
      </c>
      <c r="P86" s="419">
        <v>0</v>
      </c>
      <c r="Q86" s="419">
        <v>0</v>
      </c>
      <c r="R86" s="419">
        <v>0</v>
      </c>
      <c r="S86" s="419">
        <v>0</v>
      </c>
      <c r="T86" s="419">
        <v>0</v>
      </c>
      <c r="U86" s="419">
        <v>0</v>
      </c>
      <c r="V86" s="419">
        <v>0</v>
      </c>
      <c r="W86" s="419">
        <v>463.79200000000003</v>
      </c>
      <c r="X86" s="419">
        <v>363.39400000000001</v>
      </c>
      <c r="Y86" s="419">
        <v>266877.1448206685</v>
      </c>
      <c r="Z86" s="419">
        <v>0</v>
      </c>
      <c r="AA86" s="419">
        <v>0</v>
      </c>
      <c r="AB86" s="419">
        <v>0</v>
      </c>
      <c r="AC86" s="419">
        <v>0</v>
      </c>
      <c r="AD86" s="419">
        <v>0</v>
      </c>
      <c r="AE86" s="419">
        <v>0</v>
      </c>
      <c r="AF86" s="419">
        <v>0</v>
      </c>
      <c r="AG86" s="419">
        <v>0</v>
      </c>
      <c r="AH86" s="419">
        <v>0</v>
      </c>
      <c r="AI86" s="419">
        <v>2275.4450000000002</v>
      </c>
      <c r="AJ86" s="419">
        <v>0</v>
      </c>
      <c r="AK86" s="419">
        <v>0</v>
      </c>
      <c r="AL86" s="419">
        <v>0</v>
      </c>
      <c r="AM86" s="419">
        <v>0</v>
      </c>
      <c r="AN86" s="419">
        <v>0</v>
      </c>
      <c r="AO86" s="419">
        <v>0</v>
      </c>
      <c r="AP86" s="419">
        <v>0</v>
      </c>
      <c r="AQ86" s="419">
        <v>0</v>
      </c>
      <c r="AR86" s="419">
        <v>0</v>
      </c>
      <c r="AS86" s="419">
        <v>0</v>
      </c>
      <c r="AT86" s="419">
        <v>0</v>
      </c>
      <c r="AU86" s="419">
        <v>0</v>
      </c>
      <c r="AV86" s="419">
        <v>0</v>
      </c>
      <c r="AW86" s="419">
        <v>4463.07</v>
      </c>
      <c r="AX86" s="419">
        <v>0</v>
      </c>
      <c r="AY86" s="419">
        <v>0</v>
      </c>
      <c r="AZ86" s="419">
        <v>0</v>
      </c>
      <c r="BA86" s="419">
        <v>0</v>
      </c>
      <c r="BB86" s="419">
        <v>0</v>
      </c>
      <c r="BC86" s="419">
        <v>0</v>
      </c>
      <c r="BD86" s="419">
        <v>0</v>
      </c>
      <c r="BE86" s="419">
        <v>0</v>
      </c>
      <c r="BF86" s="419">
        <v>259104.0240977364</v>
      </c>
      <c r="BG86" s="419">
        <v>0</v>
      </c>
      <c r="BH86" s="419">
        <v>0</v>
      </c>
      <c r="BI86" s="419">
        <v>0</v>
      </c>
      <c r="BJ86" s="419">
        <v>0</v>
      </c>
      <c r="BK86" s="419">
        <v>0</v>
      </c>
      <c r="BL86" s="419">
        <v>0</v>
      </c>
      <c r="BM86" s="419">
        <v>43.629000000000005</v>
      </c>
      <c r="BN86" s="419">
        <v>319.76499999999999</v>
      </c>
      <c r="BO86" s="419">
        <v>0</v>
      </c>
      <c r="BP86" s="419">
        <v>0</v>
      </c>
      <c r="BQ86" s="419">
        <v>0</v>
      </c>
      <c r="BR86" s="419">
        <v>0</v>
      </c>
      <c r="BS86" s="419">
        <v>0</v>
      </c>
      <c r="BT86" s="419">
        <v>0</v>
      </c>
    </row>
    <row r="87" spans="1:72" outlineLevel="1">
      <c r="A87" s="404"/>
      <c r="B87" s="404" t="s">
        <v>1154</v>
      </c>
      <c r="C87" s="404" t="s">
        <v>1153</v>
      </c>
      <c r="D87" s="404">
        <v>1</v>
      </c>
      <c r="E87" s="404" t="s">
        <v>1155</v>
      </c>
      <c r="F87" s="404" t="s">
        <v>1156</v>
      </c>
      <c r="G87" s="404" t="s">
        <v>1157</v>
      </c>
      <c r="H87" s="404"/>
      <c r="I87" s="404"/>
      <c r="J87" s="400" t="s">
        <v>5</v>
      </c>
      <c r="K87" s="400" t="s">
        <v>5</v>
      </c>
      <c r="L87" s="400" t="s">
        <v>5</v>
      </c>
      <c r="M87" s="400" t="s">
        <v>5</v>
      </c>
      <c r="N87" s="400" t="s">
        <v>5</v>
      </c>
      <c r="O87" s="400" t="s">
        <v>5</v>
      </c>
      <c r="P87" s="400" t="s">
        <v>5</v>
      </c>
      <c r="Q87" s="400" t="s">
        <v>5</v>
      </c>
      <c r="R87" s="400" t="s">
        <v>5</v>
      </c>
      <c r="S87" s="400" t="s">
        <v>5</v>
      </c>
      <c r="T87" s="400" t="s">
        <v>5</v>
      </c>
      <c r="U87" s="400" t="s">
        <v>5</v>
      </c>
      <c r="V87" s="400" t="s">
        <v>5</v>
      </c>
      <c r="W87" s="400">
        <v>463.79200000000003</v>
      </c>
      <c r="X87" s="400">
        <v>363.39400000000001</v>
      </c>
      <c r="Y87" s="400">
        <v>266877.1448206685</v>
      </c>
      <c r="Z87" s="400" t="s">
        <v>5</v>
      </c>
      <c r="AA87" s="400" t="s">
        <v>5</v>
      </c>
      <c r="AB87" s="400" t="s">
        <v>5</v>
      </c>
      <c r="AC87" s="400" t="s">
        <v>5</v>
      </c>
      <c r="AD87" s="400" t="s">
        <v>5</v>
      </c>
      <c r="AE87" s="400" t="s">
        <v>5</v>
      </c>
      <c r="AF87" s="400" t="s">
        <v>5</v>
      </c>
      <c r="AG87" s="400" t="s">
        <v>5</v>
      </c>
      <c r="AH87" s="400" t="s">
        <v>5</v>
      </c>
      <c r="AI87" s="400">
        <v>2275.4450000000002</v>
      </c>
      <c r="AJ87" s="400" t="s">
        <v>5</v>
      </c>
      <c r="AK87" s="400" t="s">
        <v>5</v>
      </c>
      <c r="AL87" s="400" t="s">
        <v>5</v>
      </c>
      <c r="AM87" s="400" t="s">
        <v>5</v>
      </c>
      <c r="AN87" s="400" t="s">
        <v>5</v>
      </c>
      <c r="AO87" s="400" t="s">
        <v>5</v>
      </c>
      <c r="AP87" s="400" t="s">
        <v>5</v>
      </c>
      <c r="AQ87" s="400" t="s">
        <v>5</v>
      </c>
      <c r="AR87" s="400" t="s">
        <v>5</v>
      </c>
      <c r="AS87" s="400" t="s">
        <v>5</v>
      </c>
      <c r="AT87" s="400" t="s">
        <v>5</v>
      </c>
      <c r="AU87" s="400" t="s">
        <v>5</v>
      </c>
      <c r="AV87" s="400" t="s">
        <v>5</v>
      </c>
      <c r="AW87" s="400">
        <v>4463.07</v>
      </c>
      <c r="AX87" s="400" t="s">
        <v>5</v>
      </c>
      <c r="AY87" s="400" t="s">
        <v>5</v>
      </c>
      <c r="AZ87" s="400" t="s">
        <v>5</v>
      </c>
      <c r="BA87" s="400" t="s">
        <v>5</v>
      </c>
      <c r="BB87" s="400" t="s">
        <v>5</v>
      </c>
      <c r="BC87" s="400" t="s">
        <v>5</v>
      </c>
      <c r="BD87" s="400" t="s">
        <v>5</v>
      </c>
      <c r="BE87" s="400" t="s">
        <v>5</v>
      </c>
      <c r="BF87" s="400">
        <v>259104.0240977364</v>
      </c>
      <c r="BG87" s="400" t="s">
        <v>5</v>
      </c>
      <c r="BH87" s="400" t="s">
        <v>5</v>
      </c>
      <c r="BI87" s="400" t="s">
        <v>5</v>
      </c>
      <c r="BJ87" s="400" t="s">
        <v>5</v>
      </c>
      <c r="BK87" s="400" t="s">
        <v>5</v>
      </c>
      <c r="BL87" s="400" t="s">
        <v>5</v>
      </c>
      <c r="BM87" s="400">
        <v>43.629000000000005</v>
      </c>
      <c r="BN87" s="400">
        <v>319.76499999999999</v>
      </c>
      <c r="BO87" s="400" t="s">
        <v>5</v>
      </c>
      <c r="BP87" s="400" t="s">
        <v>5</v>
      </c>
      <c r="BQ87" s="400" t="s">
        <v>5</v>
      </c>
      <c r="BR87" s="400" t="s">
        <v>5</v>
      </c>
      <c r="BS87" s="400" t="s">
        <v>5</v>
      </c>
      <c r="BT87" s="400" t="s">
        <v>5</v>
      </c>
    </row>
    <row r="88" spans="1:72">
      <c r="A88" s="418">
        <v>22</v>
      </c>
      <c r="B88" s="418" t="s">
        <v>1158</v>
      </c>
      <c r="C88" s="418"/>
      <c r="D88" s="418"/>
      <c r="E88" s="418" t="s">
        <v>1159</v>
      </c>
      <c r="F88" s="418"/>
      <c r="G88" s="418" t="s">
        <v>1160</v>
      </c>
      <c r="H88" s="418"/>
      <c r="I88" s="418"/>
      <c r="J88" s="419">
        <v>0</v>
      </c>
      <c r="K88" s="419">
        <v>0</v>
      </c>
      <c r="L88" s="419">
        <v>0</v>
      </c>
      <c r="M88" s="419">
        <v>0</v>
      </c>
      <c r="N88" s="419">
        <v>0</v>
      </c>
      <c r="O88" s="419">
        <v>0</v>
      </c>
      <c r="P88" s="419">
        <v>0</v>
      </c>
      <c r="Q88" s="419">
        <v>0</v>
      </c>
      <c r="R88" s="419">
        <v>0</v>
      </c>
      <c r="S88" s="419">
        <v>0</v>
      </c>
      <c r="T88" s="419">
        <v>0</v>
      </c>
      <c r="U88" s="419">
        <v>0</v>
      </c>
      <c r="V88" s="419">
        <v>0</v>
      </c>
      <c r="W88" s="419">
        <v>0</v>
      </c>
      <c r="X88" s="419">
        <v>0</v>
      </c>
      <c r="Y88" s="419">
        <v>209626.35663648543</v>
      </c>
      <c r="Z88" s="419">
        <v>0</v>
      </c>
      <c r="AA88" s="419">
        <v>0</v>
      </c>
      <c r="AB88" s="419">
        <v>62.62</v>
      </c>
      <c r="AC88" s="419">
        <v>152.506</v>
      </c>
      <c r="AD88" s="419">
        <v>143.11799999999999</v>
      </c>
      <c r="AE88" s="419">
        <v>0</v>
      </c>
      <c r="AF88" s="419">
        <v>0</v>
      </c>
      <c r="AG88" s="419">
        <v>0</v>
      </c>
      <c r="AH88" s="419">
        <v>0</v>
      </c>
      <c r="AI88" s="419">
        <v>0</v>
      </c>
      <c r="AJ88" s="419">
        <v>4.9607999999999999</v>
      </c>
      <c r="AK88" s="419">
        <v>46.055520000000008</v>
      </c>
      <c r="AL88" s="419">
        <v>57.671999999999997</v>
      </c>
      <c r="AM88" s="419">
        <v>171.48500000000001</v>
      </c>
      <c r="AN88" s="419">
        <v>234.69999999999996</v>
      </c>
      <c r="AO88" s="419">
        <v>901.80399999999997</v>
      </c>
      <c r="AP88" s="419">
        <v>0</v>
      </c>
      <c r="AQ88" s="419">
        <v>0</v>
      </c>
      <c r="AR88" s="419">
        <v>0</v>
      </c>
      <c r="AS88" s="419">
        <v>0</v>
      </c>
      <c r="AT88" s="419">
        <v>0</v>
      </c>
      <c r="AU88" s="419">
        <v>0</v>
      </c>
      <c r="AV88" s="419">
        <v>0</v>
      </c>
      <c r="AW88" s="419">
        <v>0</v>
      </c>
      <c r="AX88" s="419">
        <v>127.64099999999999</v>
      </c>
      <c r="AY88" s="419">
        <v>152.506</v>
      </c>
      <c r="AZ88" s="419">
        <v>0</v>
      </c>
      <c r="BA88" s="419">
        <v>0</v>
      </c>
      <c r="BB88" s="419">
        <v>0</v>
      </c>
      <c r="BC88" s="419">
        <v>0</v>
      </c>
      <c r="BD88" s="419">
        <v>0</v>
      </c>
      <c r="BE88" s="419">
        <v>0</v>
      </c>
      <c r="BF88" s="419">
        <v>0</v>
      </c>
      <c r="BG88" s="419">
        <v>837.13499999999988</v>
      </c>
      <c r="BH88" s="419">
        <v>6166.6111500000006</v>
      </c>
      <c r="BI88" s="419">
        <v>6052.6896023431946</v>
      </c>
      <c r="BJ88" s="419">
        <v>35964.550921000817</v>
      </c>
      <c r="BK88" s="419">
        <v>154499.74792518551</v>
      </c>
      <c r="BL88" s="419">
        <v>0</v>
      </c>
      <c r="BM88" s="419">
        <v>0</v>
      </c>
      <c r="BN88" s="419">
        <v>0</v>
      </c>
      <c r="BO88" s="419">
        <v>26.172000000000001</v>
      </c>
      <c r="BP88" s="419">
        <v>213.18299999999999</v>
      </c>
      <c r="BQ88" s="419">
        <v>192.20400000000001</v>
      </c>
      <c r="BR88" s="419">
        <v>599.03099999999995</v>
      </c>
      <c r="BS88" s="419">
        <v>5393.5120000000006</v>
      </c>
      <c r="BT88" s="419">
        <v>0</v>
      </c>
    </row>
    <row r="89" spans="1:72" outlineLevel="1">
      <c r="A89" s="402"/>
      <c r="B89" s="402" t="s">
        <v>1160</v>
      </c>
      <c r="C89" s="402" t="s">
        <v>1159</v>
      </c>
      <c r="D89" s="402">
        <v>1</v>
      </c>
      <c r="E89" s="402" t="s">
        <v>1161</v>
      </c>
      <c r="F89" s="402" t="s">
        <v>1162</v>
      </c>
      <c r="G89" s="402" t="s">
        <v>1163</v>
      </c>
      <c r="H89" s="402"/>
      <c r="I89" s="402"/>
      <c r="J89" s="396" t="s">
        <v>5</v>
      </c>
      <c r="K89" s="396" t="s">
        <v>5</v>
      </c>
      <c r="L89" s="396" t="s">
        <v>5</v>
      </c>
      <c r="M89" s="396" t="s">
        <v>5</v>
      </c>
      <c r="N89" s="396" t="s">
        <v>5</v>
      </c>
      <c r="O89" s="396" t="s">
        <v>5</v>
      </c>
      <c r="P89" s="396" t="s">
        <v>5</v>
      </c>
      <c r="Q89" s="396" t="s">
        <v>5</v>
      </c>
      <c r="R89" s="396" t="s">
        <v>5</v>
      </c>
      <c r="S89" s="396" t="s">
        <v>5</v>
      </c>
      <c r="T89" s="396" t="s">
        <v>5</v>
      </c>
      <c r="U89" s="396" t="s">
        <v>5</v>
      </c>
      <c r="V89" s="396" t="s">
        <v>5</v>
      </c>
      <c r="W89" s="396" t="s">
        <v>5</v>
      </c>
      <c r="X89" s="396" t="s">
        <v>5</v>
      </c>
      <c r="Y89" s="396">
        <v>6234.2702904134903</v>
      </c>
      <c r="Z89" s="396" t="s">
        <v>5</v>
      </c>
      <c r="AA89" s="396" t="s">
        <v>5</v>
      </c>
      <c r="AB89" s="396">
        <v>62.62</v>
      </c>
      <c r="AC89" s="396">
        <v>152.506</v>
      </c>
      <c r="AD89" s="396" t="s">
        <v>5</v>
      </c>
      <c r="AE89" s="396" t="s">
        <v>5</v>
      </c>
      <c r="AF89" s="396" t="s">
        <v>5</v>
      </c>
      <c r="AG89" s="396" t="s">
        <v>5</v>
      </c>
      <c r="AH89" s="396" t="s">
        <v>5</v>
      </c>
      <c r="AI89" s="396" t="s">
        <v>5</v>
      </c>
      <c r="AJ89" s="396" t="s">
        <v>5</v>
      </c>
      <c r="AK89" s="396" t="s">
        <v>5</v>
      </c>
      <c r="AL89" s="396">
        <v>57.671999999999997</v>
      </c>
      <c r="AM89" s="396" t="s">
        <v>5</v>
      </c>
      <c r="AN89" s="396" t="s">
        <v>5</v>
      </c>
      <c r="AO89" s="396" t="s">
        <v>5</v>
      </c>
      <c r="AP89" s="396" t="s">
        <v>5</v>
      </c>
      <c r="AQ89" s="396" t="s">
        <v>5</v>
      </c>
      <c r="AR89" s="396" t="s">
        <v>5</v>
      </c>
      <c r="AS89" s="396" t="s">
        <v>5</v>
      </c>
      <c r="AT89" s="396" t="s">
        <v>5</v>
      </c>
      <c r="AU89" s="396" t="s">
        <v>5</v>
      </c>
      <c r="AV89" s="396" t="s">
        <v>5</v>
      </c>
      <c r="AW89" s="396" t="s">
        <v>5</v>
      </c>
      <c r="AX89" s="396">
        <v>127.64099999999999</v>
      </c>
      <c r="AY89" s="396">
        <v>152.506</v>
      </c>
      <c r="AZ89" s="396" t="s">
        <v>5</v>
      </c>
      <c r="BA89" s="396" t="s">
        <v>5</v>
      </c>
      <c r="BB89" s="396" t="s">
        <v>5</v>
      </c>
      <c r="BC89" s="396" t="s">
        <v>5</v>
      </c>
      <c r="BD89" s="396" t="s">
        <v>5</v>
      </c>
      <c r="BE89" s="396" t="s">
        <v>5</v>
      </c>
      <c r="BF89" s="396" t="s">
        <v>5</v>
      </c>
      <c r="BG89" s="396" t="s">
        <v>5</v>
      </c>
      <c r="BH89" s="396" t="s">
        <v>5</v>
      </c>
      <c r="BI89" s="396">
        <v>6052.6896023431946</v>
      </c>
      <c r="BJ89" s="396" t="s">
        <v>5</v>
      </c>
      <c r="BK89" s="396" t="s">
        <v>5</v>
      </c>
      <c r="BL89" s="396" t="s">
        <v>5</v>
      </c>
      <c r="BM89" s="396" t="s">
        <v>5</v>
      </c>
      <c r="BN89" s="396" t="s">
        <v>5</v>
      </c>
      <c r="BO89" s="396" t="s">
        <v>5</v>
      </c>
      <c r="BP89" s="396" t="s">
        <v>5</v>
      </c>
      <c r="BQ89" s="396">
        <v>192.20400000000001</v>
      </c>
      <c r="BR89" s="396" t="s">
        <v>5</v>
      </c>
      <c r="BS89" s="396" t="s">
        <v>5</v>
      </c>
      <c r="BT89" s="396" t="s">
        <v>5</v>
      </c>
    </row>
    <row r="90" spans="1:72" outlineLevel="1">
      <c r="A90" s="398"/>
      <c r="B90" s="398" t="s">
        <v>1160</v>
      </c>
      <c r="C90" s="398" t="s">
        <v>1159</v>
      </c>
      <c r="D90" s="398">
        <v>2</v>
      </c>
      <c r="E90" s="398" t="s">
        <v>1164</v>
      </c>
      <c r="F90" s="398" t="s">
        <v>1165</v>
      </c>
      <c r="G90" s="398" t="s">
        <v>1166</v>
      </c>
      <c r="H90" s="398"/>
      <c r="I90" s="398"/>
      <c r="J90" s="399" t="s">
        <v>5</v>
      </c>
      <c r="K90" s="399" t="s">
        <v>5</v>
      </c>
      <c r="L90" s="399" t="s">
        <v>5</v>
      </c>
      <c r="M90" s="399" t="s">
        <v>5</v>
      </c>
      <c r="N90" s="399" t="s">
        <v>5</v>
      </c>
      <c r="O90" s="399" t="s">
        <v>5</v>
      </c>
      <c r="P90" s="399" t="s">
        <v>5</v>
      </c>
      <c r="Q90" s="399" t="s">
        <v>5</v>
      </c>
      <c r="R90" s="399" t="s">
        <v>5</v>
      </c>
      <c r="S90" s="399" t="s">
        <v>5</v>
      </c>
      <c r="T90" s="399" t="s">
        <v>5</v>
      </c>
      <c r="U90" s="399" t="s">
        <v>5</v>
      </c>
      <c r="V90" s="399" t="s">
        <v>5</v>
      </c>
      <c r="W90" s="399" t="s">
        <v>5</v>
      </c>
      <c r="X90" s="399" t="s">
        <v>5</v>
      </c>
      <c r="Y90" s="399">
        <v>37043.48744863084</v>
      </c>
      <c r="Z90" s="399" t="s">
        <v>5</v>
      </c>
      <c r="AA90" s="399" t="s">
        <v>5</v>
      </c>
      <c r="AB90" s="399" t="s">
        <v>5</v>
      </c>
      <c r="AC90" s="399" t="s">
        <v>5</v>
      </c>
      <c r="AD90" s="399" t="s">
        <v>5</v>
      </c>
      <c r="AE90" s="399" t="s">
        <v>5</v>
      </c>
      <c r="AF90" s="399" t="s">
        <v>5</v>
      </c>
      <c r="AG90" s="399" t="s">
        <v>5</v>
      </c>
      <c r="AH90" s="399" t="s">
        <v>5</v>
      </c>
      <c r="AI90" s="399" t="s">
        <v>5</v>
      </c>
      <c r="AJ90" s="399" t="s">
        <v>5</v>
      </c>
      <c r="AK90" s="399" t="s">
        <v>5</v>
      </c>
      <c r="AL90" s="399" t="s">
        <v>5</v>
      </c>
      <c r="AM90" s="399">
        <v>114.852</v>
      </c>
      <c r="AN90" s="399" t="s">
        <v>5</v>
      </c>
      <c r="AO90" s="399" t="s">
        <v>5</v>
      </c>
      <c r="AP90" s="399" t="s">
        <v>5</v>
      </c>
      <c r="AQ90" s="399" t="s">
        <v>5</v>
      </c>
      <c r="AR90" s="399" t="s">
        <v>5</v>
      </c>
      <c r="AS90" s="399" t="s">
        <v>5</v>
      </c>
      <c r="AT90" s="399" t="s">
        <v>5</v>
      </c>
      <c r="AU90" s="399" t="s">
        <v>5</v>
      </c>
      <c r="AV90" s="399" t="s">
        <v>5</v>
      </c>
      <c r="AW90" s="399" t="s">
        <v>5</v>
      </c>
      <c r="AX90" s="399" t="s">
        <v>5</v>
      </c>
      <c r="AY90" s="399" t="s">
        <v>5</v>
      </c>
      <c r="AZ90" s="399" t="s">
        <v>5</v>
      </c>
      <c r="BA90" s="399" t="s">
        <v>5</v>
      </c>
      <c r="BB90" s="399" t="s">
        <v>5</v>
      </c>
      <c r="BC90" s="399" t="s">
        <v>5</v>
      </c>
      <c r="BD90" s="399" t="s">
        <v>5</v>
      </c>
      <c r="BE90" s="399" t="s">
        <v>5</v>
      </c>
      <c r="BF90" s="399" t="s">
        <v>5</v>
      </c>
      <c r="BG90" s="399" t="s">
        <v>5</v>
      </c>
      <c r="BH90" s="399" t="s">
        <v>5</v>
      </c>
      <c r="BI90" s="399" t="s">
        <v>5</v>
      </c>
      <c r="BJ90" s="399">
        <v>35964.550921000817</v>
      </c>
      <c r="BK90" s="399" t="s">
        <v>5</v>
      </c>
      <c r="BL90" s="399" t="s">
        <v>5</v>
      </c>
      <c r="BM90" s="399" t="s">
        <v>5</v>
      </c>
      <c r="BN90" s="399" t="s">
        <v>5</v>
      </c>
      <c r="BO90" s="399" t="s">
        <v>5</v>
      </c>
      <c r="BP90" s="399" t="s">
        <v>5</v>
      </c>
      <c r="BQ90" s="399" t="s">
        <v>5</v>
      </c>
      <c r="BR90" s="399">
        <v>599.03099999999995</v>
      </c>
      <c r="BS90" s="399" t="s">
        <v>5</v>
      </c>
      <c r="BT90" s="399" t="s">
        <v>5</v>
      </c>
    </row>
    <row r="91" spans="1:72" outlineLevel="1">
      <c r="A91" s="398"/>
      <c r="B91" s="398" t="s">
        <v>1160</v>
      </c>
      <c r="C91" s="398" t="s">
        <v>1159</v>
      </c>
      <c r="D91" s="398">
        <v>3</v>
      </c>
      <c r="E91" s="398" t="s">
        <v>1167</v>
      </c>
      <c r="F91" s="398" t="s">
        <v>1168</v>
      </c>
      <c r="G91" s="398" t="s">
        <v>1169</v>
      </c>
      <c r="H91" s="398"/>
      <c r="I91" s="398"/>
      <c r="J91" s="399" t="s">
        <v>5</v>
      </c>
      <c r="K91" s="399" t="s">
        <v>5</v>
      </c>
      <c r="L91" s="399" t="s">
        <v>5</v>
      </c>
      <c r="M91" s="399" t="s">
        <v>5</v>
      </c>
      <c r="N91" s="399" t="s">
        <v>5</v>
      </c>
      <c r="O91" s="399" t="s">
        <v>5</v>
      </c>
      <c r="P91" s="399" t="s">
        <v>5</v>
      </c>
      <c r="Q91" s="399" t="s">
        <v>5</v>
      </c>
      <c r="R91" s="399" t="s">
        <v>5</v>
      </c>
      <c r="S91" s="399" t="s">
        <v>5</v>
      </c>
      <c r="T91" s="399" t="s">
        <v>5</v>
      </c>
      <c r="U91" s="399" t="s">
        <v>5</v>
      </c>
      <c r="V91" s="399" t="s">
        <v>5</v>
      </c>
      <c r="W91" s="399" t="s">
        <v>5</v>
      </c>
      <c r="X91" s="399" t="s">
        <v>5</v>
      </c>
      <c r="Y91" s="399">
        <v>159134.74036294108</v>
      </c>
      <c r="Z91" s="399" t="s">
        <v>5</v>
      </c>
      <c r="AA91" s="399" t="s">
        <v>5</v>
      </c>
      <c r="AB91" s="399" t="s">
        <v>5</v>
      </c>
      <c r="AC91" s="399" t="s">
        <v>5</v>
      </c>
      <c r="AD91" s="399">
        <v>143.11799999999999</v>
      </c>
      <c r="AE91" s="399" t="s">
        <v>5</v>
      </c>
      <c r="AF91" s="399" t="s">
        <v>5</v>
      </c>
      <c r="AG91" s="399" t="s">
        <v>5</v>
      </c>
      <c r="AH91" s="399" t="s">
        <v>5</v>
      </c>
      <c r="AI91" s="399" t="s">
        <v>5</v>
      </c>
      <c r="AJ91" s="399" t="s">
        <v>5</v>
      </c>
      <c r="AK91" s="399" t="s">
        <v>5</v>
      </c>
      <c r="AL91" s="399" t="s">
        <v>5</v>
      </c>
      <c r="AM91" s="399">
        <v>56.633000000000003</v>
      </c>
      <c r="AN91" s="399">
        <v>234.69999999999996</v>
      </c>
      <c r="AO91" s="399">
        <v>901.80399999999997</v>
      </c>
      <c r="AP91" s="399" t="s">
        <v>5</v>
      </c>
      <c r="AQ91" s="399" t="s">
        <v>5</v>
      </c>
      <c r="AR91" s="399" t="s">
        <v>5</v>
      </c>
      <c r="AS91" s="399" t="s">
        <v>5</v>
      </c>
      <c r="AT91" s="399" t="s">
        <v>5</v>
      </c>
      <c r="AU91" s="399" t="s">
        <v>5</v>
      </c>
      <c r="AV91" s="399" t="s">
        <v>5</v>
      </c>
      <c r="AW91" s="399" t="s">
        <v>5</v>
      </c>
      <c r="AX91" s="399" t="s">
        <v>5</v>
      </c>
      <c r="AY91" s="399" t="s">
        <v>5</v>
      </c>
      <c r="AZ91" s="399" t="s">
        <v>5</v>
      </c>
      <c r="BA91" s="399" t="s">
        <v>5</v>
      </c>
      <c r="BB91" s="399" t="s">
        <v>5</v>
      </c>
      <c r="BC91" s="399" t="s">
        <v>5</v>
      </c>
      <c r="BD91" s="399" t="s">
        <v>5</v>
      </c>
      <c r="BE91" s="399" t="s">
        <v>5</v>
      </c>
      <c r="BF91" s="399" t="s">
        <v>5</v>
      </c>
      <c r="BG91" s="399" t="s">
        <v>5</v>
      </c>
      <c r="BH91" s="399" t="s">
        <v>5</v>
      </c>
      <c r="BI91" s="399" t="s">
        <v>5</v>
      </c>
      <c r="BJ91" s="399" t="s">
        <v>5</v>
      </c>
      <c r="BK91" s="399">
        <v>154499.74792518551</v>
      </c>
      <c r="BL91" s="399" t="s">
        <v>5</v>
      </c>
      <c r="BM91" s="399" t="s">
        <v>5</v>
      </c>
      <c r="BN91" s="399" t="s">
        <v>5</v>
      </c>
      <c r="BO91" s="399" t="s">
        <v>5</v>
      </c>
      <c r="BP91" s="399" t="s">
        <v>5</v>
      </c>
      <c r="BQ91" s="399" t="s">
        <v>5</v>
      </c>
      <c r="BR91" s="399" t="s">
        <v>5</v>
      </c>
      <c r="BS91" s="399">
        <v>5393.5120000000006</v>
      </c>
      <c r="BT91" s="399" t="s">
        <v>5</v>
      </c>
    </row>
    <row r="92" spans="1:72" outlineLevel="1">
      <c r="A92" s="398"/>
      <c r="B92" s="398" t="s">
        <v>1160</v>
      </c>
      <c r="C92" s="398" t="s">
        <v>1159</v>
      </c>
      <c r="D92" s="398">
        <v>4</v>
      </c>
      <c r="E92" s="398" t="s">
        <v>1170</v>
      </c>
      <c r="F92" s="398" t="s">
        <v>1171</v>
      </c>
      <c r="G92" s="398" t="s">
        <v>1172</v>
      </c>
      <c r="H92" s="398"/>
      <c r="I92" s="398"/>
      <c r="J92" s="399" t="s">
        <v>5</v>
      </c>
      <c r="K92" s="399" t="s">
        <v>5</v>
      </c>
      <c r="L92" s="399" t="s">
        <v>5</v>
      </c>
      <c r="M92" s="399" t="s">
        <v>5</v>
      </c>
      <c r="N92" s="399" t="s">
        <v>5</v>
      </c>
      <c r="O92" s="399" t="s">
        <v>5</v>
      </c>
      <c r="P92" s="399" t="s">
        <v>5</v>
      </c>
      <c r="Q92" s="399" t="s">
        <v>5</v>
      </c>
      <c r="R92" s="399" t="s">
        <v>5</v>
      </c>
      <c r="S92" s="399" t="s">
        <v>5</v>
      </c>
      <c r="T92" s="399" t="s">
        <v>5</v>
      </c>
      <c r="U92" s="399" t="s">
        <v>5</v>
      </c>
      <c r="V92" s="399" t="s">
        <v>5</v>
      </c>
      <c r="W92" s="399" t="s">
        <v>5</v>
      </c>
      <c r="X92" s="399" t="s">
        <v>5</v>
      </c>
      <c r="Y92" s="399">
        <v>862.2490499999999</v>
      </c>
      <c r="Z92" s="399" t="s">
        <v>5</v>
      </c>
      <c r="AA92" s="399" t="s">
        <v>5</v>
      </c>
      <c r="AB92" s="399" t="s">
        <v>5</v>
      </c>
      <c r="AC92" s="399" t="s">
        <v>5</v>
      </c>
      <c r="AD92" s="399" t="s">
        <v>5</v>
      </c>
      <c r="AE92" s="399" t="s">
        <v>5</v>
      </c>
      <c r="AF92" s="399" t="s">
        <v>5</v>
      </c>
      <c r="AG92" s="399" t="s">
        <v>5</v>
      </c>
      <c r="AH92" s="399" t="s">
        <v>5</v>
      </c>
      <c r="AI92" s="399" t="s">
        <v>5</v>
      </c>
      <c r="AJ92" s="399">
        <v>4.9607999999999999</v>
      </c>
      <c r="AK92" s="399" t="s">
        <v>5</v>
      </c>
      <c r="AL92" s="399" t="s">
        <v>5</v>
      </c>
      <c r="AM92" s="399" t="s">
        <v>5</v>
      </c>
      <c r="AN92" s="399" t="s">
        <v>5</v>
      </c>
      <c r="AO92" s="399" t="s">
        <v>5</v>
      </c>
      <c r="AP92" s="399" t="s">
        <v>5</v>
      </c>
      <c r="AQ92" s="399" t="s">
        <v>5</v>
      </c>
      <c r="AR92" s="399" t="s">
        <v>5</v>
      </c>
      <c r="AS92" s="399" t="s">
        <v>5</v>
      </c>
      <c r="AT92" s="399" t="s">
        <v>5</v>
      </c>
      <c r="AU92" s="399" t="s">
        <v>5</v>
      </c>
      <c r="AV92" s="399" t="s">
        <v>5</v>
      </c>
      <c r="AW92" s="399" t="s">
        <v>5</v>
      </c>
      <c r="AX92" s="399" t="s">
        <v>5</v>
      </c>
      <c r="AY92" s="399" t="s">
        <v>5</v>
      </c>
      <c r="AZ92" s="399" t="s">
        <v>5</v>
      </c>
      <c r="BA92" s="399" t="s">
        <v>5</v>
      </c>
      <c r="BB92" s="399" t="s">
        <v>5</v>
      </c>
      <c r="BC92" s="399" t="s">
        <v>5</v>
      </c>
      <c r="BD92" s="399" t="s">
        <v>5</v>
      </c>
      <c r="BE92" s="399" t="s">
        <v>5</v>
      </c>
      <c r="BF92" s="399" t="s">
        <v>5</v>
      </c>
      <c r="BG92" s="399">
        <v>837.13499999999988</v>
      </c>
      <c r="BH92" s="399" t="s">
        <v>5</v>
      </c>
      <c r="BI92" s="399" t="s">
        <v>5</v>
      </c>
      <c r="BJ92" s="399" t="s">
        <v>5</v>
      </c>
      <c r="BK92" s="399" t="s">
        <v>5</v>
      </c>
      <c r="BL92" s="399" t="s">
        <v>5</v>
      </c>
      <c r="BM92" s="399" t="s">
        <v>5</v>
      </c>
      <c r="BN92" s="399" t="s">
        <v>5</v>
      </c>
      <c r="BO92" s="399">
        <v>26.172000000000001</v>
      </c>
      <c r="BP92" s="399" t="s">
        <v>5</v>
      </c>
      <c r="BQ92" s="399" t="s">
        <v>5</v>
      </c>
      <c r="BR92" s="399" t="s">
        <v>5</v>
      </c>
      <c r="BS92" s="399" t="s">
        <v>5</v>
      </c>
      <c r="BT92" s="399" t="s">
        <v>5</v>
      </c>
    </row>
    <row r="93" spans="1:72" outlineLevel="1">
      <c r="A93" s="403"/>
      <c r="B93" s="403" t="s">
        <v>1160</v>
      </c>
      <c r="C93" s="403" t="s">
        <v>1159</v>
      </c>
      <c r="D93" s="403">
        <v>5</v>
      </c>
      <c r="E93" s="403" t="s">
        <v>1173</v>
      </c>
      <c r="F93" s="403" t="s">
        <v>1174</v>
      </c>
      <c r="G93" s="403" t="s">
        <v>1175</v>
      </c>
      <c r="H93" s="403"/>
      <c r="I93" s="403"/>
      <c r="J93" s="397" t="s">
        <v>5</v>
      </c>
      <c r="K93" s="397" t="s">
        <v>5</v>
      </c>
      <c r="L93" s="397" t="s">
        <v>5</v>
      </c>
      <c r="M93" s="397" t="s">
        <v>5</v>
      </c>
      <c r="N93" s="397" t="s">
        <v>5</v>
      </c>
      <c r="O93" s="397" t="s">
        <v>5</v>
      </c>
      <c r="P93" s="397" t="s">
        <v>5</v>
      </c>
      <c r="Q93" s="397" t="s">
        <v>5</v>
      </c>
      <c r="R93" s="397" t="s">
        <v>5</v>
      </c>
      <c r="S93" s="397" t="s">
        <v>5</v>
      </c>
      <c r="T93" s="397" t="s">
        <v>5</v>
      </c>
      <c r="U93" s="397" t="s">
        <v>5</v>
      </c>
      <c r="V93" s="397" t="s">
        <v>5</v>
      </c>
      <c r="W93" s="397" t="s">
        <v>5</v>
      </c>
      <c r="X93" s="397" t="s">
        <v>5</v>
      </c>
      <c r="Y93" s="397">
        <v>6351.6094845000007</v>
      </c>
      <c r="Z93" s="397" t="s">
        <v>5</v>
      </c>
      <c r="AA93" s="397" t="s">
        <v>5</v>
      </c>
      <c r="AB93" s="397" t="s">
        <v>5</v>
      </c>
      <c r="AC93" s="397" t="s">
        <v>5</v>
      </c>
      <c r="AD93" s="397" t="s">
        <v>5</v>
      </c>
      <c r="AE93" s="397" t="s">
        <v>5</v>
      </c>
      <c r="AF93" s="397" t="s">
        <v>5</v>
      </c>
      <c r="AG93" s="397" t="s">
        <v>5</v>
      </c>
      <c r="AH93" s="397" t="s">
        <v>5</v>
      </c>
      <c r="AI93" s="397" t="s">
        <v>5</v>
      </c>
      <c r="AJ93" s="397" t="s">
        <v>5</v>
      </c>
      <c r="AK93" s="397">
        <v>46.055520000000008</v>
      </c>
      <c r="AL93" s="397" t="s">
        <v>5</v>
      </c>
      <c r="AM93" s="397" t="s">
        <v>5</v>
      </c>
      <c r="AN93" s="397" t="s">
        <v>5</v>
      </c>
      <c r="AO93" s="397" t="s">
        <v>5</v>
      </c>
      <c r="AP93" s="397" t="s">
        <v>5</v>
      </c>
      <c r="AQ93" s="397" t="s">
        <v>5</v>
      </c>
      <c r="AR93" s="397" t="s">
        <v>5</v>
      </c>
      <c r="AS93" s="397" t="s">
        <v>5</v>
      </c>
      <c r="AT93" s="397" t="s">
        <v>5</v>
      </c>
      <c r="AU93" s="397" t="s">
        <v>5</v>
      </c>
      <c r="AV93" s="397" t="s">
        <v>5</v>
      </c>
      <c r="AW93" s="397" t="s">
        <v>5</v>
      </c>
      <c r="AX93" s="397" t="s">
        <v>5</v>
      </c>
      <c r="AY93" s="397" t="s">
        <v>5</v>
      </c>
      <c r="AZ93" s="397" t="s">
        <v>5</v>
      </c>
      <c r="BA93" s="397" t="s">
        <v>5</v>
      </c>
      <c r="BB93" s="397" t="s">
        <v>5</v>
      </c>
      <c r="BC93" s="397" t="s">
        <v>5</v>
      </c>
      <c r="BD93" s="397" t="s">
        <v>5</v>
      </c>
      <c r="BE93" s="397" t="s">
        <v>5</v>
      </c>
      <c r="BF93" s="397" t="s">
        <v>5</v>
      </c>
      <c r="BG93" s="397" t="s">
        <v>5</v>
      </c>
      <c r="BH93" s="397">
        <v>6166.6111500000006</v>
      </c>
      <c r="BI93" s="397" t="s">
        <v>5</v>
      </c>
      <c r="BJ93" s="397" t="s">
        <v>5</v>
      </c>
      <c r="BK93" s="397" t="s">
        <v>5</v>
      </c>
      <c r="BL93" s="397" t="s">
        <v>5</v>
      </c>
      <c r="BM93" s="397" t="s">
        <v>5</v>
      </c>
      <c r="BN93" s="397" t="s">
        <v>5</v>
      </c>
      <c r="BO93" s="397" t="s">
        <v>5</v>
      </c>
      <c r="BP93" s="397">
        <v>213.18299999999999</v>
      </c>
      <c r="BQ93" s="397" t="s">
        <v>5</v>
      </c>
      <c r="BR93" s="397" t="s">
        <v>5</v>
      </c>
      <c r="BS93" s="397" t="s">
        <v>5</v>
      </c>
      <c r="BT93" s="397" t="s">
        <v>5</v>
      </c>
    </row>
    <row r="94" spans="1:72">
      <c r="A94" s="418">
        <v>23</v>
      </c>
      <c r="B94" s="418" t="s">
        <v>1176</v>
      </c>
      <c r="C94" s="418"/>
      <c r="D94" s="418"/>
      <c r="E94" s="418" t="s">
        <v>1177</v>
      </c>
      <c r="F94" s="418"/>
      <c r="G94" s="418" t="s">
        <v>1178</v>
      </c>
      <c r="H94" s="418"/>
      <c r="I94" s="418"/>
      <c r="J94" s="419">
        <v>0</v>
      </c>
      <c r="K94" s="419">
        <v>0</v>
      </c>
      <c r="L94" s="419">
        <v>0</v>
      </c>
      <c r="M94" s="419">
        <v>0</v>
      </c>
      <c r="N94" s="419">
        <v>0</v>
      </c>
      <c r="O94" s="419">
        <v>0</v>
      </c>
      <c r="P94" s="419">
        <v>0</v>
      </c>
      <c r="Q94" s="419">
        <v>0</v>
      </c>
      <c r="R94" s="419">
        <v>0</v>
      </c>
      <c r="S94" s="419">
        <v>0</v>
      </c>
      <c r="T94" s="419">
        <v>0</v>
      </c>
      <c r="U94" s="419">
        <v>0</v>
      </c>
      <c r="V94" s="419">
        <v>0</v>
      </c>
      <c r="W94" s="419">
        <v>0</v>
      </c>
      <c r="X94" s="419">
        <v>0</v>
      </c>
      <c r="Y94" s="419">
        <v>301883.64486230945</v>
      </c>
      <c r="Z94" s="419">
        <v>0</v>
      </c>
      <c r="AA94" s="419">
        <v>0</v>
      </c>
      <c r="AB94" s="419">
        <v>72.599999999999994</v>
      </c>
      <c r="AC94" s="419">
        <v>119.82300000000001</v>
      </c>
      <c r="AD94" s="419">
        <v>161.39429999999999</v>
      </c>
      <c r="AE94" s="419">
        <v>0</v>
      </c>
      <c r="AF94" s="419">
        <v>0</v>
      </c>
      <c r="AG94" s="419">
        <v>0</v>
      </c>
      <c r="AH94" s="419">
        <v>0</v>
      </c>
      <c r="AI94" s="419">
        <v>0</v>
      </c>
      <c r="AJ94" s="419">
        <v>6.2009999999999996</v>
      </c>
      <c r="AK94" s="419">
        <v>0</v>
      </c>
      <c r="AL94" s="419">
        <v>39.204000000000001</v>
      </c>
      <c r="AM94" s="419">
        <v>195.31700000000001</v>
      </c>
      <c r="AN94" s="419">
        <v>299.89030000000002</v>
      </c>
      <c r="AO94" s="419">
        <v>1142.934</v>
      </c>
      <c r="AP94" s="419">
        <v>0</v>
      </c>
      <c r="AQ94" s="419">
        <v>0</v>
      </c>
      <c r="AR94" s="419">
        <v>0</v>
      </c>
      <c r="AS94" s="419">
        <v>0</v>
      </c>
      <c r="AT94" s="419">
        <v>0</v>
      </c>
      <c r="AU94" s="419">
        <v>0</v>
      </c>
      <c r="AV94" s="419">
        <v>0</v>
      </c>
      <c r="AW94" s="419">
        <v>0</v>
      </c>
      <c r="AX94" s="419">
        <v>116.76050000000001</v>
      </c>
      <c r="AY94" s="419">
        <v>119.82300000000001</v>
      </c>
      <c r="AZ94" s="419">
        <v>0</v>
      </c>
      <c r="BA94" s="419">
        <v>0</v>
      </c>
      <c r="BB94" s="419">
        <v>0</v>
      </c>
      <c r="BC94" s="419">
        <v>0</v>
      </c>
      <c r="BD94" s="419">
        <v>0</v>
      </c>
      <c r="BE94" s="419">
        <v>0</v>
      </c>
      <c r="BF94" s="419">
        <v>0</v>
      </c>
      <c r="BG94" s="419">
        <v>837.13499999999988</v>
      </c>
      <c r="BH94" s="419">
        <v>0</v>
      </c>
      <c r="BI94" s="419">
        <v>4114.4687746265545</v>
      </c>
      <c r="BJ94" s="419">
        <v>40962.697566767449</v>
      </c>
      <c r="BK94" s="419">
        <v>247176.61600065397</v>
      </c>
      <c r="BL94" s="419">
        <v>0</v>
      </c>
      <c r="BM94" s="419">
        <v>0</v>
      </c>
      <c r="BN94" s="419">
        <v>0</v>
      </c>
      <c r="BO94" s="419">
        <v>34.365000000000002</v>
      </c>
      <c r="BP94" s="419">
        <v>0</v>
      </c>
      <c r="BQ94" s="419">
        <v>196.07400000000001</v>
      </c>
      <c r="BR94" s="419">
        <v>629.14999999999986</v>
      </c>
      <c r="BS94" s="419">
        <v>6392.2757000000001</v>
      </c>
      <c r="BT94" s="419">
        <v>0</v>
      </c>
    </row>
    <row r="95" spans="1:72" outlineLevel="1">
      <c r="A95" s="402"/>
      <c r="B95" s="402" t="s">
        <v>1178</v>
      </c>
      <c r="C95" s="402" t="s">
        <v>1177</v>
      </c>
      <c r="D95" s="402">
        <v>1</v>
      </c>
      <c r="E95" s="402" t="s">
        <v>1179</v>
      </c>
      <c r="F95" s="402" t="s">
        <v>1180</v>
      </c>
      <c r="G95" s="402" t="s">
        <v>1181</v>
      </c>
      <c r="H95" s="402"/>
      <c r="I95" s="402"/>
      <c r="J95" s="396" t="s">
        <v>5</v>
      </c>
      <c r="K95" s="396" t="s">
        <v>5</v>
      </c>
      <c r="L95" s="396" t="s">
        <v>5</v>
      </c>
      <c r="M95" s="396" t="s">
        <v>5</v>
      </c>
      <c r="N95" s="396" t="s">
        <v>5</v>
      </c>
      <c r="O95" s="396" t="s">
        <v>5</v>
      </c>
      <c r="P95" s="396" t="s">
        <v>5</v>
      </c>
      <c r="Q95" s="396" t="s">
        <v>5</v>
      </c>
      <c r="R95" s="396" t="s">
        <v>5</v>
      </c>
      <c r="S95" s="396" t="s">
        <v>5</v>
      </c>
      <c r="T95" s="396" t="s">
        <v>5</v>
      </c>
      <c r="U95" s="396" t="s">
        <v>5</v>
      </c>
      <c r="V95" s="396" t="s">
        <v>5</v>
      </c>
      <c r="W95" s="396" t="s">
        <v>5</v>
      </c>
      <c r="X95" s="396" t="s">
        <v>5</v>
      </c>
      <c r="Y95" s="396">
        <v>4237.9028378653511</v>
      </c>
      <c r="Z95" s="396" t="s">
        <v>5</v>
      </c>
      <c r="AA95" s="396" t="s">
        <v>5</v>
      </c>
      <c r="AB95" s="396">
        <v>72.599999999999994</v>
      </c>
      <c r="AC95" s="396">
        <v>119.82300000000001</v>
      </c>
      <c r="AD95" s="396" t="s">
        <v>5</v>
      </c>
      <c r="AE95" s="396" t="s">
        <v>5</v>
      </c>
      <c r="AF95" s="396" t="s">
        <v>5</v>
      </c>
      <c r="AG95" s="396" t="s">
        <v>5</v>
      </c>
      <c r="AH95" s="396" t="s">
        <v>5</v>
      </c>
      <c r="AI95" s="396" t="s">
        <v>5</v>
      </c>
      <c r="AJ95" s="396" t="s">
        <v>5</v>
      </c>
      <c r="AK95" s="396" t="s">
        <v>5</v>
      </c>
      <c r="AL95" s="396">
        <v>39.204000000000001</v>
      </c>
      <c r="AM95" s="396" t="s">
        <v>5</v>
      </c>
      <c r="AN95" s="396" t="s">
        <v>5</v>
      </c>
      <c r="AO95" s="396" t="s">
        <v>5</v>
      </c>
      <c r="AP95" s="396" t="s">
        <v>5</v>
      </c>
      <c r="AQ95" s="396" t="s">
        <v>5</v>
      </c>
      <c r="AR95" s="396" t="s">
        <v>5</v>
      </c>
      <c r="AS95" s="396" t="s">
        <v>5</v>
      </c>
      <c r="AT95" s="396" t="s">
        <v>5</v>
      </c>
      <c r="AU95" s="396" t="s">
        <v>5</v>
      </c>
      <c r="AV95" s="396" t="s">
        <v>5</v>
      </c>
      <c r="AW95" s="396" t="s">
        <v>5</v>
      </c>
      <c r="AX95" s="396">
        <v>116.76050000000001</v>
      </c>
      <c r="AY95" s="396">
        <v>119.82300000000001</v>
      </c>
      <c r="AZ95" s="396" t="s">
        <v>5</v>
      </c>
      <c r="BA95" s="396" t="s">
        <v>5</v>
      </c>
      <c r="BB95" s="396" t="s">
        <v>5</v>
      </c>
      <c r="BC95" s="396" t="s">
        <v>5</v>
      </c>
      <c r="BD95" s="396" t="s">
        <v>5</v>
      </c>
      <c r="BE95" s="396" t="s">
        <v>5</v>
      </c>
      <c r="BF95" s="396" t="s">
        <v>5</v>
      </c>
      <c r="BG95" s="396" t="s">
        <v>5</v>
      </c>
      <c r="BH95" s="396" t="s">
        <v>5</v>
      </c>
      <c r="BI95" s="396">
        <v>4114.4687746265545</v>
      </c>
      <c r="BJ95" s="396" t="s">
        <v>5</v>
      </c>
      <c r="BK95" s="396" t="s">
        <v>5</v>
      </c>
      <c r="BL95" s="396" t="s">
        <v>5</v>
      </c>
      <c r="BM95" s="396" t="s">
        <v>5</v>
      </c>
      <c r="BN95" s="396" t="s">
        <v>5</v>
      </c>
      <c r="BO95" s="396" t="s">
        <v>5</v>
      </c>
      <c r="BP95" s="396" t="s">
        <v>5</v>
      </c>
      <c r="BQ95" s="396">
        <v>196.07400000000001</v>
      </c>
      <c r="BR95" s="396" t="s">
        <v>5</v>
      </c>
      <c r="BS95" s="396" t="s">
        <v>5</v>
      </c>
      <c r="BT95" s="396" t="s">
        <v>5</v>
      </c>
    </row>
    <row r="96" spans="1:72" outlineLevel="1">
      <c r="A96" s="398"/>
      <c r="B96" s="398" t="s">
        <v>1178</v>
      </c>
      <c r="C96" s="398" t="s">
        <v>1177</v>
      </c>
      <c r="D96" s="398">
        <v>2</v>
      </c>
      <c r="E96" s="398" t="s">
        <v>1182</v>
      </c>
      <c r="F96" s="398" t="s">
        <v>1183</v>
      </c>
      <c r="G96" s="398" t="s">
        <v>1184</v>
      </c>
      <c r="H96" s="398"/>
      <c r="I96" s="398"/>
      <c r="J96" s="399" t="s">
        <v>5</v>
      </c>
      <c r="K96" s="399" t="s">
        <v>5</v>
      </c>
      <c r="L96" s="399" t="s">
        <v>5</v>
      </c>
      <c r="M96" s="399" t="s">
        <v>5</v>
      </c>
      <c r="N96" s="399" t="s">
        <v>5</v>
      </c>
      <c r="O96" s="399" t="s">
        <v>5</v>
      </c>
      <c r="P96" s="399" t="s">
        <v>5</v>
      </c>
      <c r="Q96" s="399" t="s">
        <v>5</v>
      </c>
      <c r="R96" s="399" t="s">
        <v>5</v>
      </c>
      <c r="S96" s="399" t="s">
        <v>5</v>
      </c>
      <c r="T96" s="399" t="s">
        <v>5</v>
      </c>
      <c r="U96" s="399" t="s">
        <v>5</v>
      </c>
      <c r="V96" s="399" t="s">
        <v>5</v>
      </c>
      <c r="W96" s="399" t="s">
        <v>5</v>
      </c>
      <c r="X96" s="399" t="s">
        <v>5</v>
      </c>
      <c r="Y96" s="399">
        <v>42191.578493770474</v>
      </c>
      <c r="Z96" s="399" t="s">
        <v>5</v>
      </c>
      <c r="AA96" s="399" t="s">
        <v>5</v>
      </c>
      <c r="AB96" s="399" t="s">
        <v>5</v>
      </c>
      <c r="AC96" s="399" t="s">
        <v>5</v>
      </c>
      <c r="AD96" s="399" t="s">
        <v>5</v>
      </c>
      <c r="AE96" s="399" t="s">
        <v>5</v>
      </c>
      <c r="AF96" s="399" t="s">
        <v>5</v>
      </c>
      <c r="AG96" s="399" t="s">
        <v>5</v>
      </c>
      <c r="AH96" s="399" t="s">
        <v>5</v>
      </c>
      <c r="AI96" s="399" t="s">
        <v>5</v>
      </c>
      <c r="AJ96" s="399" t="s">
        <v>5</v>
      </c>
      <c r="AK96" s="399" t="s">
        <v>5</v>
      </c>
      <c r="AL96" s="399" t="s">
        <v>5</v>
      </c>
      <c r="AM96" s="399">
        <v>125.42400000000002</v>
      </c>
      <c r="AN96" s="399" t="s">
        <v>5</v>
      </c>
      <c r="AO96" s="399" t="s">
        <v>5</v>
      </c>
      <c r="AP96" s="399" t="s">
        <v>5</v>
      </c>
      <c r="AQ96" s="399" t="s">
        <v>5</v>
      </c>
      <c r="AR96" s="399" t="s">
        <v>5</v>
      </c>
      <c r="AS96" s="399" t="s">
        <v>5</v>
      </c>
      <c r="AT96" s="399" t="s">
        <v>5</v>
      </c>
      <c r="AU96" s="399" t="s">
        <v>5</v>
      </c>
      <c r="AV96" s="399" t="s">
        <v>5</v>
      </c>
      <c r="AW96" s="399" t="s">
        <v>5</v>
      </c>
      <c r="AX96" s="399" t="s">
        <v>5</v>
      </c>
      <c r="AY96" s="399" t="s">
        <v>5</v>
      </c>
      <c r="AZ96" s="399" t="s">
        <v>5</v>
      </c>
      <c r="BA96" s="399" t="s">
        <v>5</v>
      </c>
      <c r="BB96" s="399" t="s">
        <v>5</v>
      </c>
      <c r="BC96" s="399" t="s">
        <v>5</v>
      </c>
      <c r="BD96" s="399" t="s">
        <v>5</v>
      </c>
      <c r="BE96" s="399" t="s">
        <v>5</v>
      </c>
      <c r="BF96" s="399" t="s">
        <v>5</v>
      </c>
      <c r="BG96" s="399" t="s">
        <v>5</v>
      </c>
      <c r="BH96" s="399" t="s">
        <v>5</v>
      </c>
      <c r="BI96" s="399" t="s">
        <v>5</v>
      </c>
      <c r="BJ96" s="399">
        <v>40962.697566767449</v>
      </c>
      <c r="BK96" s="399" t="s">
        <v>5</v>
      </c>
      <c r="BL96" s="399" t="s">
        <v>5</v>
      </c>
      <c r="BM96" s="399" t="s">
        <v>5</v>
      </c>
      <c r="BN96" s="399" t="s">
        <v>5</v>
      </c>
      <c r="BO96" s="399" t="s">
        <v>5</v>
      </c>
      <c r="BP96" s="399" t="s">
        <v>5</v>
      </c>
      <c r="BQ96" s="399" t="s">
        <v>5</v>
      </c>
      <c r="BR96" s="399">
        <v>629.14999999999986</v>
      </c>
      <c r="BS96" s="399" t="s">
        <v>5</v>
      </c>
      <c r="BT96" s="399" t="s">
        <v>5</v>
      </c>
    </row>
    <row r="97" spans="1:72" outlineLevel="1">
      <c r="A97" s="398"/>
      <c r="B97" s="398" t="s">
        <v>1178</v>
      </c>
      <c r="C97" s="398" t="s">
        <v>1177</v>
      </c>
      <c r="D97" s="398">
        <v>3</v>
      </c>
      <c r="E97" s="398" t="s">
        <v>1185</v>
      </c>
      <c r="F97" s="398" t="s">
        <v>1186</v>
      </c>
      <c r="G97" s="398" t="s">
        <v>1187</v>
      </c>
      <c r="H97" s="398"/>
      <c r="I97" s="398"/>
      <c r="J97" s="399" t="s">
        <v>5</v>
      </c>
      <c r="K97" s="399" t="s">
        <v>5</v>
      </c>
      <c r="L97" s="399" t="s">
        <v>5</v>
      </c>
      <c r="M97" s="399" t="s">
        <v>5</v>
      </c>
      <c r="N97" s="399" t="s">
        <v>5</v>
      </c>
      <c r="O97" s="399" t="s">
        <v>5</v>
      </c>
      <c r="P97" s="399" t="s">
        <v>5</v>
      </c>
      <c r="Q97" s="399" t="s">
        <v>5</v>
      </c>
      <c r="R97" s="399" t="s">
        <v>5</v>
      </c>
      <c r="S97" s="399" t="s">
        <v>5</v>
      </c>
      <c r="T97" s="399" t="s">
        <v>5</v>
      </c>
      <c r="U97" s="399" t="s">
        <v>5</v>
      </c>
      <c r="V97" s="399" t="s">
        <v>5</v>
      </c>
      <c r="W97" s="399" t="s">
        <v>5</v>
      </c>
      <c r="X97" s="399" t="s">
        <v>5</v>
      </c>
      <c r="Y97" s="399">
        <v>80450.714953295595</v>
      </c>
      <c r="Z97" s="399" t="s">
        <v>5</v>
      </c>
      <c r="AA97" s="399" t="s">
        <v>5</v>
      </c>
      <c r="AB97" s="399" t="s">
        <v>5</v>
      </c>
      <c r="AC97" s="399" t="s">
        <v>5</v>
      </c>
      <c r="AD97" s="399">
        <v>161.39429999999999</v>
      </c>
      <c r="AE97" s="399" t="s">
        <v>5</v>
      </c>
      <c r="AF97" s="399" t="s">
        <v>5</v>
      </c>
      <c r="AG97" s="399" t="s">
        <v>5</v>
      </c>
      <c r="AH97" s="399" t="s">
        <v>5</v>
      </c>
      <c r="AI97" s="399" t="s">
        <v>5</v>
      </c>
      <c r="AJ97" s="399" t="s">
        <v>5</v>
      </c>
      <c r="AK97" s="399" t="s">
        <v>5</v>
      </c>
      <c r="AL97" s="399" t="s">
        <v>5</v>
      </c>
      <c r="AM97" s="399">
        <v>69.893000000000001</v>
      </c>
      <c r="AN97" s="399">
        <v>119.11480000000003</v>
      </c>
      <c r="AO97" s="399">
        <v>311.41900000000004</v>
      </c>
      <c r="AP97" s="399" t="s">
        <v>5</v>
      </c>
      <c r="AQ97" s="399" t="s">
        <v>5</v>
      </c>
      <c r="AR97" s="399" t="s">
        <v>5</v>
      </c>
      <c r="AS97" s="399" t="s">
        <v>5</v>
      </c>
      <c r="AT97" s="399" t="s">
        <v>5</v>
      </c>
      <c r="AU97" s="399" t="s">
        <v>5</v>
      </c>
      <c r="AV97" s="399" t="s">
        <v>5</v>
      </c>
      <c r="AW97" s="399" t="s">
        <v>5</v>
      </c>
      <c r="AX97" s="399" t="s">
        <v>5</v>
      </c>
      <c r="AY97" s="399" t="s">
        <v>5</v>
      </c>
      <c r="AZ97" s="399" t="s">
        <v>5</v>
      </c>
      <c r="BA97" s="399" t="s">
        <v>5</v>
      </c>
      <c r="BB97" s="399" t="s">
        <v>5</v>
      </c>
      <c r="BC97" s="399" t="s">
        <v>5</v>
      </c>
      <c r="BD97" s="399" t="s">
        <v>5</v>
      </c>
      <c r="BE97" s="399" t="s">
        <v>5</v>
      </c>
      <c r="BF97" s="399" t="s">
        <v>5</v>
      </c>
      <c r="BG97" s="399" t="s">
        <v>5</v>
      </c>
      <c r="BH97" s="399" t="s">
        <v>5</v>
      </c>
      <c r="BI97" s="399" t="s">
        <v>5</v>
      </c>
      <c r="BJ97" s="399" t="s">
        <v>5</v>
      </c>
      <c r="BK97" s="399">
        <v>78107.490245918045</v>
      </c>
      <c r="BL97" s="399" t="s">
        <v>5</v>
      </c>
      <c r="BM97" s="399" t="s">
        <v>5</v>
      </c>
      <c r="BN97" s="399" t="s">
        <v>5</v>
      </c>
      <c r="BO97" s="399" t="s">
        <v>5</v>
      </c>
      <c r="BP97" s="399" t="s">
        <v>5</v>
      </c>
      <c r="BQ97" s="399" t="s">
        <v>5</v>
      </c>
      <c r="BR97" s="399" t="s">
        <v>5</v>
      </c>
      <c r="BS97" s="399">
        <v>2497.6632</v>
      </c>
      <c r="BT97" s="399" t="s">
        <v>5</v>
      </c>
    </row>
    <row r="98" spans="1:72" outlineLevel="1">
      <c r="A98" s="398"/>
      <c r="B98" s="398" t="s">
        <v>1178</v>
      </c>
      <c r="C98" s="398" t="s">
        <v>1177</v>
      </c>
      <c r="D98" s="398">
        <v>4</v>
      </c>
      <c r="E98" s="398" t="s">
        <v>1188</v>
      </c>
      <c r="F98" s="398" t="s">
        <v>1189</v>
      </c>
      <c r="G98" s="398" t="s">
        <v>1190</v>
      </c>
      <c r="H98" s="398"/>
      <c r="I98" s="398"/>
      <c r="J98" s="399" t="s">
        <v>5</v>
      </c>
      <c r="K98" s="399" t="s">
        <v>5</v>
      </c>
      <c r="L98" s="399" t="s">
        <v>5</v>
      </c>
      <c r="M98" s="399" t="s">
        <v>5</v>
      </c>
      <c r="N98" s="399" t="s">
        <v>5</v>
      </c>
      <c r="O98" s="399" t="s">
        <v>5</v>
      </c>
      <c r="P98" s="399" t="s">
        <v>5</v>
      </c>
      <c r="Q98" s="399" t="s">
        <v>5</v>
      </c>
      <c r="R98" s="399" t="s">
        <v>5</v>
      </c>
      <c r="S98" s="399" t="s">
        <v>5</v>
      </c>
      <c r="T98" s="399" t="s">
        <v>5</v>
      </c>
      <c r="U98" s="399" t="s">
        <v>5</v>
      </c>
      <c r="V98" s="399" t="s">
        <v>5</v>
      </c>
      <c r="W98" s="399" t="s">
        <v>5</v>
      </c>
      <c r="X98" s="399" t="s">
        <v>5</v>
      </c>
      <c r="Y98" s="399">
        <v>174141.19952737802</v>
      </c>
      <c r="Z98" s="399" t="s">
        <v>5</v>
      </c>
      <c r="AA98" s="399" t="s">
        <v>5</v>
      </c>
      <c r="AB98" s="399" t="s">
        <v>5</v>
      </c>
      <c r="AC98" s="399" t="s">
        <v>5</v>
      </c>
      <c r="AD98" s="399" t="s">
        <v>5</v>
      </c>
      <c r="AE98" s="399" t="s">
        <v>5</v>
      </c>
      <c r="AF98" s="399" t="s">
        <v>5</v>
      </c>
      <c r="AG98" s="399" t="s">
        <v>5</v>
      </c>
      <c r="AH98" s="399" t="s">
        <v>5</v>
      </c>
      <c r="AI98" s="399" t="s">
        <v>5</v>
      </c>
      <c r="AJ98" s="399" t="s">
        <v>5</v>
      </c>
      <c r="AK98" s="399" t="s">
        <v>5</v>
      </c>
      <c r="AL98" s="399" t="s">
        <v>5</v>
      </c>
      <c r="AM98" s="399" t="s">
        <v>5</v>
      </c>
      <c r="AN98" s="399">
        <v>180.77549999999999</v>
      </c>
      <c r="AO98" s="399">
        <v>831.51499999999999</v>
      </c>
      <c r="AP98" s="399" t="s">
        <v>5</v>
      </c>
      <c r="AQ98" s="399" t="s">
        <v>5</v>
      </c>
      <c r="AR98" s="399" t="s">
        <v>5</v>
      </c>
      <c r="AS98" s="399" t="s">
        <v>5</v>
      </c>
      <c r="AT98" s="399" t="s">
        <v>5</v>
      </c>
      <c r="AU98" s="399" t="s">
        <v>5</v>
      </c>
      <c r="AV98" s="399" t="s">
        <v>5</v>
      </c>
      <c r="AW98" s="399" t="s">
        <v>5</v>
      </c>
      <c r="AX98" s="399" t="s">
        <v>5</v>
      </c>
      <c r="AY98" s="399" t="s">
        <v>5</v>
      </c>
      <c r="AZ98" s="399" t="s">
        <v>5</v>
      </c>
      <c r="BA98" s="399" t="s">
        <v>5</v>
      </c>
      <c r="BB98" s="399" t="s">
        <v>5</v>
      </c>
      <c r="BC98" s="399" t="s">
        <v>5</v>
      </c>
      <c r="BD98" s="399" t="s">
        <v>5</v>
      </c>
      <c r="BE98" s="399" t="s">
        <v>5</v>
      </c>
      <c r="BF98" s="399" t="s">
        <v>5</v>
      </c>
      <c r="BG98" s="399" t="s">
        <v>5</v>
      </c>
      <c r="BH98" s="399" t="s">
        <v>5</v>
      </c>
      <c r="BI98" s="399" t="s">
        <v>5</v>
      </c>
      <c r="BJ98" s="399" t="s">
        <v>5</v>
      </c>
      <c r="BK98" s="399">
        <v>169069.12575473593</v>
      </c>
      <c r="BL98" s="399" t="s">
        <v>5</v>
      </c>
      <c r="BM98" s="399" t="s">
        <v>5</v>
      </c>
      <c r="BN98" s="399" t="s">
        <v>5</v>
      </c>
      <c r="BO98" s="399" t="s">
        <v>5</v>
      </c>
      <c r="BP98" s="399" t="s">
        <v>5</v>
      </c>
      <c r="BQ98" s="399" t="s">
        <v>5</v>
      </c>
      <c r="BR98" s="399" t="s">
        <v>5</v>
      </c>
      <c r="BS98" s="399">
        <v>3894.6125000000002</v>
      </c>
      <c r="BT98" s="399" t="s">
        <v>5</v>
      </c>
    </row>
    <row r="99" spans="1:72" outlineLevel="1">
      <c r="A99" s="403"/>
      <c r="B99" s="403" t="s">
        <v>1178</v>
      </c>
      <c r="C99" s="403" t="s">
        <v>1177</v>
      </c>
      <c r="D99" s="403">
        <v>5</v>
      </c>
      <c r="E99" s="403" t="s">
        <v>1191</v>
      </c>
      <c r="F99" s="403" t="s">
        <v>1192</v>
      </c>
      <c r="G99" s="403" t="s">
        <v>1193</v>
      </c>
      <c r="H99" s="403"/>
      <c r="I99" s="403"/>
      <c r="J99" s="397" t="s">
        <v>5</v>
      </c>
      <c r="K99" s="397" t="s">
        <v>5</v>
      </c>
      <c r="L99" s="397" t="s">
        <v>5</v>
      </c>
      <c r="M99" s="397" t="s">
        <v>5</v>
      </c>
      <c r="N99" s="397" t="s">
        <v>5</v>
      </c>
      <c r="O99" s="397" t="s">
        <v>5</v>
      </c>
      <c r="P99" s="397" t="s">
        <v>5</v>
      </c>
      <c r="Q99" s="397" t="s">
        <v>5</v>
      </c>
      <c r="R99" s="397" t="s">
        <v>5</v>
      </c>
      <c r="S99" s="397" t="s">
        <v>5</v>
      </c>
      <c r="T99" s="397" t="s">
        <v>5</v>
      </c>
      <c r="U99" s="397" t="s">
        <v>5</v>
      </c>
      <c r="V99" s="397" t="s">
        <v>5</v>
      </c>
      <c r="W99" s="397" t="s">
        <v>5</v>
      </c>
      <c r="X99" s="397" t="s">
        <v>5</v>
      </c>
      <c r="Y99" s="397">
        <v>862.2490499999999</v>
      </c>
      <c r="Z99" s="397" t="s">
        <v>5</v>
      </c>
      <c r="AA99" s="397" t="s">
        <v>5</v>
      </c>
      <c r="AB99" s="397" t="s">
        <v>5</v>
      </c>
      <c r="AC99" s="397" t="s">
        <v>5</v>
      </c>
      <c r="AD99" s="397" t="s">
        <v>5</v>
      </c>
      <c r="AE99" s="397" t="s">
        <v>5</v>
      </c>
      <c r="AF99" s="397" t="s">
        <v>5</v>
      </c>
      <c r="AG99" s="397" t="s">
        <v>5</v>
      </c>
      <c r="AH99" s="397" t="s">
        <v>5</v>
      </c>
      <c r="AI99" s="397" t="s">
        <v>5</v>
      </c>
      <c r="AJ99" s="397">
        <v>6.2009999999999996</v>
      </c>
      <c r="AK99" s="397" t="s">
        <v>5</v>
      </c>
      <c r="AL99" s="397" t="s">
        <v>5</v>
      </c>
      <c r="AM99" s="397" t="s">
        <v>5</v>
      </c>
      <c r="AN99" s="397" t="s">
        <v>5</v>
      </c>
      <c r="AO99" s="397" t="s">
        <v>5</v>
      </c>
      <c r="AP99" s="397" t="s">
        <v>5</v>
      </c>
      <c r="AQ99" s="397" t="s">
        <v>5</v>
      </c>
      <c r="AR99" s="397" t="s">
        <v>5</v>
      </c>
      <c r="AS99" s="397" t="s">
        <v>5</v>
      </c>
      <c r="AT99" s="397" t="s">
        <v>5</v>
      </c>
      <c r="AU99" s="397" t="s">
        <v>5</v>
      </c>
      <c r="AV99" s="397" t="s">
        <v>5</v>
      </c>
      <c r="AW99" s="397" t="s">
        <v>5</v>
      </c>
      <c r="AX99" s="397" t="s">
        <v>5</v>
      </c>
      <c r="AY99" s="397" t="s">
        <v>5</v>
      </c>
      <c r="AZ99" s="397" t="s">
        <v>5</v>
      </c>
      <c r="BA99" s="397" t="s">
        <v>5</v>
      </c>
      <c r="BB99" s="397" t="s">
        <v>5</v>
      </c>
      <c r="BC99" s="397" t="s">
        <v>5</v>
      </c>
      <c r="BD99" s="397" t="s">
        <v>5</v>
      </c>
      <c r="BE99" s="397" t="s">
        <v>5</v>
      </c>
      <c r="BF99" s="397" t="s">
        <v>5</v>
      </c>
      <c r="BG99" s="397">
        <v>837.13499999999988</v>
      </c>
      <c r="BH99" s="397" t="s">
        <v>5</v>
      </c>
      <c r="BI99" s="397" t="s">
        <v>5</v>
      </c>
      <c r="BJ99" s="397" t="s">
        <v>5</v>
      </c>
      <c r="BK99" s="397" t="s">
        <v>5</v>
      </c>
      <c r="BL99" s="397" t="s">
        <v>5</v>
      </c>
      <c r="BM99" s="397" t="s">
        <v>5</v>
      </c>
      <c r="BN99" s="397" t="s">
        <v>5</v>
      </c>
      <c r="BO99" s="397">
        <v>34.365000000000002</v>
      </c>
      <c r="BP99" s="397" t="s">
        <v>5</v>
      </c>
      <c r="BQ99" s="397" t="s">
        <v>5</v>
      </c>
      <c r="BR99" s="397" t="s">
        <v>5</v>
      </c>
      <c r="BS99" s="397" t="s">
        <v>5</v>
      </c>
      <c r="BT99" s="397" t="s">
        <v>5</v>
      </c>
    </row>
    <row r="100" spans="1:72">
      <c r="A100" s="418">
        <v>24</v>
      </c>
      <c r="B100" s="418" t="s">
        <v>1194</v>
      </c>
      <c r="C100" s="418"/>
      <c r="D100" s="418"/>
      <c r="E100" s="418" t="s">
        <v>1195</v>
      </c>
      <c r="F100" s="418"/>
      <c r="G100" s="418" t="s">
        <v>1196</v>
      </c>
      <c r="H100" s="418"/>
      <c r="I100" s="418"/>
      <c r="J100" s="419">
        <v>0</v>
      </c>
      <c r="K100" s="419">
        <v>0</v>
      </c>
      <c r="L100" s="419">
        <v>0</v>
      </c>
      <c r="M100" s="419">
        <v>0</v>
      </c>
      <c r="N100" s="419">
        <v>0</v>
      </c>
      <c r="O100" s="419">
        <v>0</v>
      </c>
      <c r="P100" s="419">
        <v>0</v>
      </c>
      <c r="Q100" s="419">
        <v>0</v>
      </c>
      <c r="R100" s="419">
        <v>0</v>
      </c>
      <c r="S100" s="419">
        <v>0</v>
      </c>
      <c r="T100" s="419">
        <v>0</v>
      </c>
      <c r="U100" s="419">
        <v>0</v>
      </c>
      <c r="V100" s="419">
        <v>0</v>
      </c>
      <c r="W100" s="419">
        <v>0</v>
      </c>
      <c r="X100" s="419">
        <v>0</v>
      </c>
      <c r="Y100" s="419">
        <v>134628.98158330002</v>
      </c>
      <c r="Z100" s="419">
        <v>0</v>
      </c>
      <c r="AA100" s="419">
        <v>0</v>
      </c>
      <c r="AB100" s="419">
        <v>0</v>
      </c>
      <c r="AC100" s="419">
        <v>0</v>
      </c>
      <c r="AD100" s="419">
        <v>0</v>
      </c>
      <c r="AE100" s="419">
        <v>922.1</v>
      </c>
      <c r="AF100" s="419">
        <v>0</v>
      </c>
      <c r="AG100" s="419">
        <v>0</v>
      </c>
      <c r="AH100" s="419">
        <v>0</v>
      </c>
      <c r="AI100" s="419">
        <v>823.59999999999991</v>
      </c>
      <c r="AJ100" s="419">
        <v>0</v>
      </c>
      <c r="AK100" s="419">
        <v>0</v>
      </c>
      <c r="AL100" s="419">
        <v>0</v>
      </c>
      <c r="AM100" s="419">
        <v>0</v>
      </c>
      <c r="AN100" s="419">
        <v>0</v>
      </c>
      <c r="AO100" s="419">
        <v>0</v>
      </c>
      <c r="AP100" s="419">
        <v>496.7709999999999</v>
      </c>
      <c r="AQ100" s="419">
        <v>0</v>
      </c>
      <c r="AR100" s="419">
        <v>0</v>
      </c>
      <c r="AS100" s="419">
        <v>0</v>
      </c>
      <c r="AT100" s="419">
        <v>0</v>
      </c>
      <c r="AU100" s="419">
        <v>0</v>
      </c>
      <c r="AV100" s="419">
        <v>0</v>
      </c>
      <c r="AW100" s="419">
        <v>0</v>
      </c>
      <c r="AX100" s="419">
        <v>0</v>
      </c>
      <c r="AY100" s="419">
        <v>0</v>
      </c>
      <c r="AZ100" s="419">
        <v>0</v>
      </c>
      <c r="BA100" s="419">
        <v>0</v>
      </c>
      <c r="BB100" s="419">
        <v>0</v>
      </c>
      <c r="BC100" s="419">
        <v>0</v>
      </c>
      <c r="BD100" s="419">
        <v>0</v>
      </c>
      <c r="BE100" s="419">
        <v>0</v>
      </c>
      <c r="BF100" s="419">
        <v>0</v>
      </c>
      <c r="BG100" s="419">
        <v>0</v>
      </c>
      <c r="BH100" s="419">
        <v>0</v>
      </c>
      <c r="BI100" s="419">
        <v>0</v>
      </c>
      <c r="BJ100" s="419">
        <v>0</v>
      </c>
      <c r="BK100" s="419">
        <v>0</v>
      </c>
      <c r="BL100" s="419">
        <v>130707.74911</v>
      </c>
      <c r="BM100" s="419">
        <v>0</v>
      </c>
      <c r="BN100" s="419">
        <v>0</v>
      </c>
      <c r="BO100" s="419">
        <v>0</v>
      </c>
      <c r="BP100" s="419">
        <v>0</v>
      </c>
      <c r="BQ100" s="419">
        <v>0</v>
      </c>
      <c r="BR100" s="419">
        <v>0</v>
      </c>
      <c r="BS100" s="419">
        <v>0</v>
      </c>
      <c r="BT100" s="419">
        <v>2967.3829999999994</v>
      </c>
    </row>
    <row r="101" spans="1:72" outlineLevel="1">
      <c r="A101" s="404"/>
      <c r="B101" s="404" t="s">
        <v>1196</v>
      </c>
      <c r="C101" s="404" t="s">
        <v>1195</v>
      </c>
      <c r="D101" s="404">
        <v>1</v>
      </c>
      <c r="E101" s="404" t="s">
        <v>1195</v>
      </c>
      <c r="F101" s="404" t="s">
        <v>1197</v>
      </c>
      <c r="G101" s="404" t="s">
        <v>1198</v>
      </c>
      <c r="H101" s="404"/>
      <c r="I101" s="404"/>
      <c r="J101" s="400" t="s">
        <v>5</v>
      </c>
      <c r="K101" s="400" t="s">
        <v>5</v>
      </c>
      <c r="L101" s="400" t="s">
        <v>5</v>
      </c>
      <c r="M101" s="400" t="s">
        <v>5</v>
      </c>
      <c r="N101" s="400" t="s">
        <v>5</v>
      </c>
      <c r="O101" s="400" t="s">
        <v>5</v>
      </c>
      <c r="P101" s="400" t="s">
        <v>5</v>
      </c>
      <c r="Q101" s="400" t="s">
        <v>5</v>
      </c>
      <c r="R101" s="400" t="s">
        <v>5</v>
      </c>
      <c r="S101" s="400" t="s">
        <v>5</v>
      </c>
      <c r="T101" s="400" t="s">
        <v>5</v>
      </c>
      <c r="U101" s="400" t="s">
        <v>5</v>
      </c>
      <c r="V101" s="400" t="s">
        <v>5</v>
      </c>
      <c r="W101" s="400" t="s">
        <v>5</v>
      </c>
      <c r="X101" s="400" t="s">
        <v>5</v>
      </c>
      <c r="Y101" s="400">
        <v>134628.98158330002</v>
      </c>
      <c r="Z101" s="400" t="s">
        <v>5</v>
      </c>
      <c r="AA101" s="400" t="s">
        <v>5</v>
      </c>
      <c r="AB101" s="400" t="s">
        <v>5</v>
      </c>
      <c r="AC101" s="400" t="s">
        <v>5</v>
      </c>
      <c r="AD101" s="400" t="s">
        <v>5</v>
      </c>
      <c r="AE101" s="400">
        <v>922.1</v>
      </c>
      <c r="AF101" s="400" t="s">
        <v>5</v>
      </c>
      <c r="AG101" s="400" t="s">
        <v>5</v>
      </c>
      <c r="AH101" s="400" t="s">
        <v>5</v>
      </c>
      <c r="AI101" s="400">
        <v>823.59999999999991</v>
      </c>
      <c r="AJ101" s="400" t="s">
        <v>5</v>
      </c>
      <c r="AK101" s="400" t="s">
        <v>5</v>
      </c>
      <c r="AL101" s="400" t="s">
        <v>5</v>
      </c>
      <c r="AM101" s="400" t="s">
        <v>5</v>
      </c>
      <c r="AN101" s="400" t="s">
        <v>5</v>
      </c>
      <c r="AO101" s="400" t="s">
        <v>5</v>
      </c>
      <c r="AP101" s="400">
        <v>496.7709999999999</v>
      </c>
      <c r="AQ101" s="400" t="s">
        <v>5</v>
      </c>
      <c r="AR101" s="400" t="s">
        <v>5</v>
      </c>
      <c r="AS101" s="400" t="s">
        <v>5</v>
      </c>
      <c r="AT101" s="400" t="s">
        <v>5</v>
      </c>
      <c r="AU101" s="400" t="s">
        <v>5</v>
      </c>
      <c r="AV101" s="400" t="s">
        <v>5</v>
      </c>
      <c r="AW101" s="400" t="s">
        <v>5</v>
      </c>
      <c r="AX101" s="400" t="s">
        <v>5</v>
      </c>
      <c r="AY101" s="400" t="s">
        <v>5</v>
      </c>
      <c r="AZ101" s="400" t="s">
        <v>5</v>
      </c>
      <c r="BA101" s="400" t="s">
        <v>5</v>
      </c>
      <c r="BB101" s="400" t="s">
        <v>5</v>
      </c>
      <c r="BC101" s="400" t="s">
        <v>5</v>
      </c>
      <c r="BD101" s="400" t="s">
        <v>5</v>
      </c>
      <c r="BE101" s="400" t="s">
        <v>5</v>
      </c>
      <c r="BF101" s="400" t="s">
        <v>5</v>
      </c>
      <c r="BG101" s="400" t="s">
        <v>5</v>
      </c>
      <c r="BH101" s="400" t="s">
        <v>5</v>
      </c>
      <c r="BI101" s="400" t="s">
        <v>5</v>
      </c>
      <c r="BJ101" s="400" t="s">
        <v>5</v>
      </c>
      <c r="BK101" s="400" t="s">
        <v>5</v>
      </c>
      <c r="BL101" s="400">
        <v>130707.74911</v>
      </c>
      <c r="BM101" s="400" t="s">
        <v>5</v>
      </c>
      <c r="BN101" s="400" t="s">
        <v>5</v>
      </c>
      <c r="BO101" s="400" t="s">
        <v>5</v>
      </c>
      <c r="BP101" s="400" t="s">
        <v>5</v>
      </c>
      <c r="BQ101" s="400" t="s">
        <v>5</v>
      </c>
      <c r="BR101" s="400" t="s">
        <v>5</v>
      </c>
      <c r="BS101" s="400" t="s">
        <v>5</v>
      </c>
      <c r="BT101" s="400">
        <v>2967.3829999999994</v>
      </c>
    </row>
    <row r="102" spans="1:72">
      <c r="A102" s="418">
        <v>25</v>
      </c>
      <c r="B102" s="418" t="s">
        <v>1194</v>
      </c>
      <c r="C102" s="418"/>
      <c r="D102" s="418"/>
      <c r="E102" s="418" t="s">
        <v>1199</v>
      </c>
      <c r="F102" s="418"/>
      <c r="G102" s="418" t="s">
        <v>1200</v>
      </c>
      <c r="H102" s="418"/>
      <c r="I102" s="418"/>
      <c r="J102" s="419">
        <v>0</v>
      </c>
      <c r="K102" s="419">
        <v>0</v>
      </c>
      <c r="L102" s="419">
        <v>0</v>
      </c>
      <c r="M102" s="419">
        <v>0</v>
      </c>
      <c r="N102" s="419">
        <v>0</v>
      </c>
      <c r="O102" s="419">
        <v>0</v>
      </c>
      <c r="P102" s="419">
        <v>0</v>
      </c>
      <c r="Q102" s="419">
        <v>0</v>
      </c>
      <c r="R102" s="419">
        <v>0</v>
      </c>
      <c r="S102" s="419">
        <v>0</v>
      </c>
      <c r="T102" s="419">
        <v>0</v>
      </c>
      <c r="U102" s="419">
        <v>0</v>
      </c>
      <c r="V102" s="419">
        <v>0</v>
      </c>
      <c r="W102" s="419">
        <v>0</v>
      </c>
      <c r="X102" s="419">
        <v>0</v>
      </c>
      <c r="Y102" s="419">
        <v>10846.944790800002</v>
      </c>
      <c r="Z102" s="419">
        <v>0</v>
      </c>
      <c r="AA102" s="419">
        <v>0</v>
      </c>
      <c r="AB102" s="419">
        <v>0</v>
      </c>
      <c r="AC102" s="419">
        <v>0</v>
      </c>
      <c r="AD102" s="419">
        <v>0</v>
      </c>
      <c r="AE102" s="419">
        <v>146.26</v>
      </c>
      <c r="AF102" s="419">
        <v>0</v>
      </c>
      <c r="AG102" s="419">
        <v>0</v>
      </c>
      <c r="AH102" s="419">
        <v>0</v>
      </c>
      <c r="AI102" s="419">
        <v>0</v>
      </c>
      <c r="AJ102" s="419">
        <v>0</v>
      </c>
      <c r="AK102" s="419">
        <v>0</v>
      </c>
      <c r="AL102" s="419">
        <v>0</v>
      </c>
      <c r="AM102" s="419">
        <v>0</v>
      </c>
      <c r="AN102" s="419">
        <v>0</v>
      </c>
      <c r="AO102" s="419">
        <v>0</v>
      </c>
      <c r="AP102" s="419">
        <v>93.027424999999994</v>
      </c>
      <c r="AQ102" s="419">
        <v>0</v>
      </c>
      <c r="AR102" s="419">
        <v>0</v>
      </c>
      <c r="AS102" s="419">
        <v>0</v>
      </c>
      <c r="AT102" s="419">
        <v>0</v>
      </c>
      <c r="AU102" s="419">
        <v>0</v>
      </c>
      <c r="AV102" s="419">
        <v>0</v>
      </c>
      <c r="AW102" s="419">
        <v>0</v>
      </c>
      <c r="AX102" s="419">
        <v>0</v>
      </c>
      <c r="AY102" s="419">
        <v>0</v>
      </c>
      <c r="AZ102" s="419">
        <v>0</v>
      </c>
      <c r="BA102" s="419">
        <v>0</v>
      </c>
      <c r="BB102" s="419">
        <v>0</v>
      </c>
      <c r="BC102" s="419">
        <v>0</v>
      </c>
      <c r="BD102" s="419">
        <v>0</v>
      </c>
      <c r="BE102" s="419">
        <v>0</v>
      </c>
      <c r="BF102" s="419">
        <v>0</v>
      </c>
      <c r="BG102" s="419">
        <v>0</v>
      </c>
      <c r="BH102" s="419">
        <v>0</v>
      </c>
      <c r="BI102" s="419">
        <v>0</v>
      </c>
      <c r="BJ102" s="419">
        <v>0</v>
      </c>
      <c r="BK102" s="419">
        <v>0</v>
      </c>
      <c r="BL102" s="419">
        <v>10531.014360000001</v>
      </c>
      <c r="BM102" s="419">
        <v>0</v>
      </c>
      <c r="BN102" s="419">
        <v>0</v>
      </c>
      <c r="BO102" s="419">
        <v>0</v>
      </c>
      <c r="BP102" s="419">
        <v>0</v>
      </c>
      <c r="BQ102" s="419">
        <v>0</v>
      </c>
      <c r="BR102" s="419">
        <v>0</v>
      </c>
      <c r="BS102" s="419">
        <v>0</v>
      </c>
      <c r="BT102" s="419">
        <v>464.57504008220866</v>
      </c>
    </row>
    <row r="103" spans="1:72" outlineLevel="1">
      <c r="A103" s="404"/>
      <c r="B103" s="404" t="s">
        <v>1200</v>
      </c>
      <c r="C103" s="404" t="s">
        <v>1199</v>
      </c>
      <c r="D103" s="404">
        <v>1</v>
      </c>
      <c r="E103" s="404" t="s">
        <v>1199</v>
      </c>
      <c r="F103" s="404" t="s">
        <v>1201</v>
      </c>
      <c r="G103" s="404" t="s">
        <v>1202</v>
      </c>
      <c r="H103" s="404"/>
      <c r="I103" s="404"/>
      <c r="J103" s="400" t="s">
        <v>5</v>
      </c>
      <c r="K103" s="400" t="s">
        <v>5</v>
      </c>
      <c r="L103" s="400" t="s">
        <v>5</v>
      </c>
      <c r="M103" s="400" t="s">
        <v>5</v>
      </c>
      <c r="N103" s="400" t="s">
        <v>5</v>
      </c>
      <c r="O103" s="400" t="s">
        <v>5</v>
      </c>
      <c r="P103" s="400" t="s">
        <v>5</v>
      </c>
      <c r="Q103" s="400" t="s">
        <v>5</v>
      </c>
      <c r="R103" s="400" t="s">
        <v>5</v>
      </c>
      <c r="S103" s="400" t="s">
        <v>5</v>
      </c>
      <c r="T103" s="400" t="s">
        <v>5</v>
      </c>
      <c r="U103" s="400" t="s">
        <v>5</v>
      </c>
      <c r="V103" s="400" t="s">
        <v>5</v>
      </c>
      <c r="W103" s="400" t="s">
        <v>5</v>
      </c>
      <c r="X103" s="400" t="s">
        <v>5</v>
      </c>
      <c r="Y103" s="400">
        <v>10846.944790800002</v>
      </c>
      <c r="Z103" s="400" t="s">
        <v>5</v>
      </c>
      <c r="AA103" s="400" t="s">
        <v>5</v>
      </c>
      <c r="AB103" s="400" t="s">
        <v>5</v>
      </c>
      <c r="AC103" s="400" t="s">
        <v>5</v>
      </c>
      <c r="AD103" s="400" t="s">
        <v>5</v>
      </c>
      <c r="AE103" s="400">
        <v>146.26</v>
      </c>
      <c r="AF103" s="400" t="s">
        <v>5</v>
      </c>
      <c r="AG103" s="400" t="s">
        <v>5</v>
      </c>
      <c r="AH103" s="400" t="s">
        <v>5</v>
      </c>
      <c r="AI103" s="400" t="s">
        <v>5</v>
      </c>
      <c r="AJ103" s="400" t="s">
        <v>5</v>
      </c>
      <c r="AK103" s="400" t="s">
        <v>5</v>
      </c>
      <c r="AL103" s="400" t="s">
        <v>5</v>
      </c>
      <c r="AM103" s="400" t="s">
        <v>5</v>
      </c>
      <c r="AN103" s="400" t="s">
        <v>5</v>
      </c>
      <c r="AO103" s="400" t="s">
        <v>5</v>
      </c>
      <c r="AP103" s="400">
        <v>93.027424999999994</v>
      </c>
      <c r="AQ103" s="400" t="s">
        <v>5</v>
      </c>
      <c r="AR103" s="400" t="s">
        <v>5</v>
      </c>
      <c r="AS103" s="400" t="s">
        <v>5</v>
      </c>
      <c r="AT103" s="400" t="s">
        <v>5</v>
      </c>
      <c r="AU103" s="400" t="s">
        <v>5</v>
      </c>
      <c r="AV103" s="400" t="s">
        <v>5</v>
      </c>
      <c r="AW103" s="400" t="s">
        <v>5</v>
      </c>
      <c r="AX103" s="400" t="s">
        <v>5</v>
      </c>
      <c r="AY103" s="400" t="s">
        <v>5</v>
      </c>
      <c r="AZ103" s="400" t="s">
        <v>5</v>
      </c>
      <c r="BA103" s="400" t="s">
        <v>5</v>
      </c>
      <c r="BB103" s="400" t="s">
        <v>5</v>
      </c>
      <c r="BC103" s="400" t="s">
        <v>5</v>
      </c>
      <c r="BD103" s="400" t="s">
        <v>5</v>
      </c>
      <c r="BE103" s="400" t="s">
        <v>5</v>
      </c>
      <c r="BF103" s="400" t="s">
        <v>5</v>
      </c>
      <c r="BG103" s="400" t="s">
        <v>5</v>
      </c>
      <c r="BH103" s="400" t="s">
        <v>5</v>
      </c>
      <c r="BI103" s="400" t="s">
        <v>5</v>
      </c>
      <c r="BJ103" s="400" t="s">
        <v>5</v>
      </c>
      <c r="BK103" s="400" t="s">
        <v>5</v>
      </c>
      <c r="BL103" s="400">
        <v>10531.014360000001</v>
      </c>
      <c r="BM103" s="400" t="s">
        <v>5</v>
      </c>
      <c r="BN103" s="400" t="s">
        <v>5</v>
      </c>
      <c r="BO103" s="400" t="s">
        <v>5</v>
      </c>
      <c r="BP103" s="400" t="s">
        <v>5</v>
      </c>
      <c r="BQ103" s="400" t="s">
        <v>5</v>
      </c>
      <c r="BR103" s="400" t="s">
        <v>5</v>
      </c>
      <c r="BS103" s="400" t="s">
        <v>5</v>
      </c>
      <c r="BT103" s="400">
        <v>464.57504008220866</v>
      </c>
    </row>
    <row r="104" spans="1:72">
      <c r="A104" s="418">
        <v>26</v>
      </c>
      <c r="B104" s="418" t="s">
        <v>1194</v>
      </c>
      <c r="C104" s="418"/>
      <c r="D104" s="418"/>
      <c r="E104" s="418" t="s">
        <v>1203</v>
      </c>
      <c r="F104" s="418"/>
      <c r="G104" s="418" t="s">
        <v>1204</v>
      </c>
      <c r="H104" s="418"/>
      <c r="I104" s="418"/>
      <c r="J104" s="419">
        <v>0</v>
      </c>
      <c r="K104" s="419">
        <v>0</v>
      </c>
      <c r="L104" s="419">
        <v>0</v>
      </c>
      <c r="M104" s="419">
        <v>0</v>
      </c>
      <c r="N104" s="419">
        <v>0</v>
      </c>
      <c r="O104" s="419">
        <v>0</v>
      </c>
      <c r="P104" s="419">
        <v>0</v>
      </c>
      <c r="Q104" s="419">
        <v>0</v>
      </c>
      <c r="R104" s="419">
        <v>0</v>
      </c>
      <c r="S104" s="419">
        <v>0</v>
      </c>
      <c r="T104" s="419">
        <v>0</v>
      </c>
      <c r="U104" s="419">
        <v>0</v>
      </c>
      <c r="V104" s="419">
        <v>0</v>
      </c>
      <c r="W104" s="419">
        <v>0</v>
      </c>
      <c r="X104" s="419">
        <v>0</v>
      </c>
      <c r="Y104" s="419">
        <v>12271.884262199999</v>
      </c>
      <c r="Z104" s="419">
        <v>0</v>
      </c>
      <c r="AA104" s="419">
        <v>0</v>
      </c>
      <c r="AB104" s="419">
        <v>0</v>
      </c>
      <c r="AC104" s="419">
        <v>0</v>
      </c>
      <c r="AD104" s="419">
        <v>0</v>
      </c>
      <c r="AE104" s="419">
        <v>154.97999999999999</v>
      </c>
      <c r="AF104" s="419">
        <v>0</v>
      </c>
      <c r="AG104" s="419">
        <v>0</v>
      </c>
      <c r="AH104" s="419">
        <v>0</v>
      </c>
      <c r="AI104" s="419">
        <v>0</v>
      </c>
      <c r="AJ104" s="419">
        <v>0</v>
      </c>
      <c r="AK104" s="419">
        <v>0</v>
      </c>
      <c r="AL104" s="419">
        <v>0</v>
      </c>
      <c r="AM104" s="419">
        <v>0</v>
      </c>
      <c r="AN104" s="419">
        <v>0</v>
      </c>
      <c r="AO104" s="419">
        <v>0</v>
      </c>
      <c r="AP104" s="419">
        <v>100.48039999999999</v>
      </c>
      <c r="AQ104" s="419">
        <v>0</v>
      </c>
      <c r="AR104" s="419">
        <v>0</v>
      </c>
      <c r="AS104" s="419">
        <v>0</v>
      </c>
      <c r="AT104" s="419">
        <v>0</v>
      </c>
      <c r="AU104" s="419">
        <v>0</v>
      </c>
      <c r="AV104" s="419">
        <v>0</v>
      </c>
      <c r="AW104" s="419">
        <v>0</v>
      </c>
      <c r="AX104" s="419">
        <v>0</v>
      </c>
      <c r="AY104" s="419">
        <v>0</v>
      </c>
      <c r="AZ104" s="419">
        <v>0</v>
      </c>
      <c r="BA104" s="419">
        <v>0</v>
      </c>
      <c r="BB104" s="419">
        <v>0</v>
      </c>
      <c r="BC104" s="419">
        <v>0</v>
      </c>
      <c r="BD104" s="419">
        <v>0</v>
      </c>
      <c r="BE104" s="419">
        <v>0</v>
      </c>
      <c r="BF104" s="419">
        <v>0</v>
      </c>
      <c r="BG104" s="419">
        <v>0</v>
      </c>
      <c r="BH104" s="419">
        <v>0</v>
      </c>
      <c r="BI104" s="419">
        <v>0</v>
      </c>
      <c r="BJ104" s="419">
        <v>0</v>
      </c>
      <c r="BK104" s="419">
        <v>0</v>
      </c>
      <c r="BL104" s="419">
        <v>11914.450739999998</v>
      </c>
      <c r="BM104" s="419">
        <v>0</v>
      </c>
      <c r="BN104" s="419">
        <v>0</v>
      </c>
      <c r="BO104" s="419">
        <v>0</v>
      </c>
      <c r="BP104" s="419">
        <v>0</v>
      </c>
      <c r="BQ104" s="419">
        <v>0</v>
      </c>
      <c r="BR104" s="419">
        <v>0</v>
      </c>
      <c r="BS104" s="419">
        <v>0</v>
      </c>
      <c r="BT104" s="419">
        <v>800.48609560091779</v>
      </c>
    </row>
    <row r="105" spans="1:72" outlineLevel="1">
      <c r="A105" s="404"/>
      <c r="B105" s="404" t="s">
        <v>1204</v>
      </c>
      <c r="C105" s="404" t="s">
        <v>1203</v>
      </c>
      <c r="D105" s="404">
        <v>1</v>
      </c>
      <c r="E105" s="404" t="s">
        <v>1203</v>
      </c>
      <c r="F105" s="404" t="s">
        <v>1205</v>
      </c>
      <c r="G105" s="404" t="s">
        <v>1206</v>
      </c>
      <c r="H105" s="404"/>
      <c r="I105" s="404"/>
      <c r="J105" s="400" t="s">
        <v>5</v>
      </c>
      <c r="K105" s="400" t="s">
        <v>5</v>
      </c>
      <c r="L105" s="400" t="s">
        <v>5</v>
      </c>
      <c r="M105" s="400" t="s">
        <v>5</v>
      </c>
      <c r="N105" s="400" t="s">
        <v>5</v>
      </c>
      <c r="O105" s="400" t="s">
        <v>5</v>
      </c>
      <c r="P105" s="400" t="s">
        <v>5</v>
      </c>
      <c r="Q105" s="400" t="s">
        <v>5</v>
      </c>
      <c r="R105" s="400" t="s">
        <v>5</v>
      </c>
      <c r="S105" s="400" t="s">
        <v>5</v>
      </c>
      <c r="T105" s="400" t="s">
        <v>5</v>
      </c>
      <c r="U105" s="400" t="s">
        <v>5</v>
      </c>
      <c r="V105" s="400" t="s">
        <v>5</v>
      </c>
      <c r="W105" s="400" t="s">
        <v>5</v>
      </c>
      <c r="X105" s="400" t="s">
        <v>5</v>
      </c>
      <c r="Y105" s="400">
        <v>12271.884262199999</v>
      </c>
      <c r="Z105" s="400" t="s">
        <v>5</v>
      </c>
      <c r="AA105" s="400" t="s">
        <v>5</v>
      </c>
      <c r="AB105" s="400" t="s">
        <v>5</v>
      </c>
      <c r="AC105" s="400" t="s">
        <v>5</v>
      </c>
      <c r="AD105" s="400" t="s">
        <v>5</v>
      </c>
      <c r="AE105" s="400">
        <v>154.97999999999999</v>
      </c>
      <c r="AF105" s="400" t="s">
        <v>5</v>
      </c>
      <c r="AG105" s="400" t="s">
        <v>5</v>
      </c>
      <c r="AH105" s="400" t="s">
        <v>5</v>
      </c>
      <c r="AI105" s="400" t="s">
        <v>5</v>
      </c>
      <c r="AJ105" s="400" t="s">
        <v>5</v>
      </c>
      <c r="AK105" s="400" t="s">
        <v>5</v>
      </c>
      <c r="AL105" s="400" t="s">
        <v>5</v>
      </c>
      <c r="AM105" s="400" t="s">
        <v>5</v>
      </c>
      <c r="AN105" s="400" t="s">
        <v>5</v>
      </c>
      <c r="AO105" s="400" t="s">
        <v>5</v>
      </c>
      <c r="AP105" s="400">
        <v>100.48039999999999</v>
      </c>
      <c r="AQ105" s="400" t="s">
        <v>5</v>
      </c>
      <c r="AR105" s="400" t="s">
        <v>5</v>
      </c>
      <c r="AS105" s="400" t="s">
        <v>5</v>
      </c>
      <c r="AT105" s="400" t="s">
        <v>5</v>
      </c>
      <c r="AU105" s="400" t="s">
        <v>5</v>
      </c>
      <c r="AV105" s="400" t="s">
        <v>5</v>
      </c>
      <c r="AW105" s="400" t="s">
        <v>5</v>
      </c>
      <c r="AX105" s="400" t="s">
        <v>5</v>
      </c>
      <c r="AY105" s="400" t="s">
        <v>5</v>
      </c>
      <c r="AZ105" s="400" t="s">
        <v>5</v>
      </c>
      <c r="BA105" s="400" t="s">
        <v>5</v>
      </c>
      <c r="BB105" s="400" t="s">
        <v>5</v>
      </c>
      <c r="BC105" s="400" t="s">
        <v>5</v>
      </c>
      <c r="BD105" s="400" t="s">
        <v>5</v>
      </c>
      <c r="BE105" s="400" t="s">
        <v>5</v>
      </c>
      <c r="BF105" s="400" t="s">
        <v>5</v>
      </c>
      <c r="BG105" s="400" t="s">
        <v>5</v>
      </c>
      <c r="BH105" s="400" t="s">
        <v>5</v>
      </c>
      <c r="BI105" s="400" t="s">
        <v>5</v>
      </c>
      <c r="BJ105" s="400" t="s">
        <v>5</v>
      </c>
      <c r="BK105" s="400" t="s">
        <v>5</v>
      </c>
      <c r="BL105" s="400">
        <v>11914.450739999998</v>
      </c>
      <c r="BM105" s="400" t="s">
        <v>5</v>
      </c>
      <c r="BN105" s="400" t="s">
        <v>5</v>
      </c>
      <c r="BO105" s="400" t="s">
        <v>5</v>
      </c>
      <c r="BP105" s="400" t="s">
        <v>5</v>
      </c>
      <c r="BQ105" s="400" t="s">
        <v>5</v>
      </c>
      <c r="BR105" s="400" t="s">
        <v>5</v>
      </c>
      <c r="BS105" s="400" t="s">
        <v>5</v>
      </c>
      <c r="BT105" s="400">
        <v>800.48609560091779</v>
      </c>
    </row>
    <row r="106" spans="1:72">
      <c r="A106" s="418">
        <v>27</v>
      </c>
      <c r="B106" s="418" t="s">
        <v>1194</v>
      </c>
      <c r="C106" s="418"/>
      <c r="D106" s="418"/>
      <c r="E106" s="418" t="s">
        <v>1207</v>
      </c>
      <c r="F106" s="418"/>
      <c r="G106" s="418" t="s">
        <v>1208</v>
      </c>
      <c r="H106" s="418"/>
      <c r="I106" s="418"/>
      <c r="J106" s="419">
        <v>0</v>
      </c>
      <c r="K106" s="419">
        <v>0</v>
      </c>
      <c r="L106" s="419">
        <v>0</v>
      </c>
      <c r="M106" s="419">
        <v>0</v>
      </c>
      <c r="N106" s="419">
        <v>0</v>
      </c>
      <c r="O106" s="419">
        <v>0</v>
      </c>
      <c r="P106" s="419">
        <v>0</v>
      </c>
      <c r="Q106" s="419">
        <v>0</v>
      </c>
      <c r="R106" s="419">
        <v>0</v>
      </c>
      <c r="S106" s="419">
        <v>0</v>
      </c>
      <c r="T106" s="419">
        <v>0</v>
      </c>
      <c r="U106" s="419">
        <v>0</v>
      </c>
      <c r="V106" s="419">
        <v>0</v>
      </c>
      <c r="W106" s="419">
        <v>0</v>
      </c>
      <c r="X106" s="419">
        <v>0</v>
      </c>
      <c r="Y106" s="419">
        <v>10935.60882644</v>
      </c>
      <c r="Z106" s="419">
        <v>0</v>
      </c>
      <c r="AA106" s="419">
        <v>0</v>
      </c>
      <c r="AB106" s="419">
        <v>0</v>
      </c>
      <c r="AC106" s="419">
        <v>0</v>
      </c>
      <c r="AD106" s="419">
        <v>0</v>
      </c>
      <c r="AE106" s="419">
        <v>164.57999999999998</v>
      </c>
      <c r="AF106" s="419">
        <v>0</v>
      </c>
      <c r="AG106" s="419">
        <v>0</v>
      </c>
      <c r="AH106" s="419">
        <v>0</v>
      </c>
      <c r="AI106" s="419">
        <v>0</v>
      </c>
      <c r="AJ106" s="419">
        <v>0</v>
      </c>
      <c r="AK106" s="419">
        <v>0</v>
      </c>
      <c r="AL106" s="419">
        <v>0</v>
      </c>
      <c r="AM106" s="419">
        <v>0</v>
      </c>
      <c r="AN106" s="419">
        <v>0</v>
      </c>
      <c r="AO106" s="419">
        <v>0</v>
      </c>
      <c r="AP106" s="419">
        <v>95.622299999999996</v>
      </c>
      <c r="AQ106" s="419">
        <v>0</v>
      </c>
      <c r="AR106" s="419">
        <v>0</v>
      </c>
      <c r="AS106" s="419">
        <v>0</v>
      </c>
      <c r="AT106" s="419">
        <v>0</v>
      </c>
      <c r="AU106" s="419">
        <v>0</v>
      </c>
      <c r="AV106" s="419">
        <v>0</v>
      </c>
      <c r="AW106" s="419">
        <v>0</v>
      </c>
      <c r="AX106" s="419">
        <v>0</v>
      </c>
      <c r="AY106" s="419">
        <v>0</v>
      </c>
      <c r="AZ106" s="419">
        <v>0</v>
      </c>
      <c r="BA106" s="419">
        <v>0</v>
      </c>
      <c r="BB106" s="419">
        <v>0</v>
      </c>
      <c r="BC106" s="419">
        <v>0</v>
      </c>
      <c r="BD106" s="419">
        <v>0</v>
      </c>
      <c r="BE106" s="419">
        <v>0</v>
      </c>
      <c r="BF106" s="419">
        <v>0</v>
      </c>
      <c r="BG106" s="419">
        <v>0</v>
      </c>
      <c r="BH106" s="419">
        <v>0</v>
      </c>
      <c r="BI106" s="419">
        <v>0</v>
      </c>
      <c r="BJ106" s="419">
        <v>0</v>
      </c>
      <c r="BK106" s="419">
        <v>0</v>
      </c>
      <c r="BL106" s="419">
        <v>10617.095948</v>
      </c>
      <c r="BM106" s="419">
        <v>0</v>
      </c>
      <c r="BN106" s="419">
        <v>0</v>
      </c>
      <c r="BO106" s="419">
        <v>0</v>
      </c>
      <c r="BP106" s="419">
        <v>0</v>
      </c>
      <c r="BQ106" s="419">
        <v>0</v>
      </c>
      <c r="BR106" s="419">
        <v>0</v>
      </c>
      <c r="BS106" s="419">
        <v>0</v>
      </c>
      <c r="BT106" s="419">
        <v>875.98530049777332</v>
      </c>
    </row>
    <row r="107" spans="1:72" outlineLevel="1">
      <c r="A107" s="404"/>
      <c r="B107" s="404" t="s">
        <v>1208</v>
      </c>
      <c r="C107" s="404" t="s">
        <v>1207</v>
      </c>
      <c r="D107" s="404">
        <v>1</v>
      </c>
      <c r="E107" s="404" t="s">
        <v>1207</v>
      </c>
      <c r="F107" s="404" t="s">
        <v>1209</v>
      </c>
      <c r="G107" s="404" t="s">
        <v>1210</v>
      </c>
      <c r="H107" s="404"/>
      <c r="I107" s="404"/>
      <c r="J107" s="400" t="s">
        <v>5</v>
      </c>
      <c r="K107" s="400" t="s">
        <v>5</v>
      </c>
      <c r="L107" s="400" t="s">
        <v>5</v>
      </c>
      <c r="M107" s="400" t="s">
        <v>5</v>
      </c>
      <c r="N107" s="400" t="s">
        <v>5</v>
      </c>
      <c r="O107" s="400" t="s">
        <v>5</v>
      </c>
      <c r="P107" s="400" t="s">
        <v>5</v>
      </c>
      <c r="Q107" s="400" t="s">
        <v>5</v>
      </c>
      <c r="R107" s="400" t="s">
        <v>5</v>
      </c>
      <c r="S107" s="400" t="s">
        <v>5</v>
      </c>
      <c r="T107" s="400" t="s">
        <v>5</v>
      </c>
      <c r="U107" s="400" t="s">
        <v>5</v>
      </c>
      <c r="V107" s="400" t="s">
        <v>5</v>
      </c>
      <c r="W107" s="400" t="s">
        <v>5</v>
      </c>
      <c r="X107" s="400" t="s">
        <v>5</v>
      </c>
      <c r="Y107" s="400">
        <v>10935.60882644</v>
      </c>
      <c r="Z107" s="400" t="s">
        <v>5</v>
      </c>
      <c r="AA107" s="400" t="s">
        <v>5</v>
      </c>
      <c r="AB107" s="400" t="s">
        <v>5</v>
      </c>
      <c r="AC107" s="400" t="s">
        <v>5</v>
      </c>
      <c r="AD107" s="400" t="s">
        <v>5</v>
      </c>
      <c r="AE107" s="400">
        <v>164.57999999999998</v>
      </c>
      <c r="AF107" s="400" t="s">
        <v>5</v>
      </c>
      <c r="AG107" s="400" t="s">
        <v>5</v>
      </c>
      <c r="AH107" s="400" t="s">
        <v>5</v>
      </c>
      <c r="AI107" s="400" t="s">
        <v>5</v>
      </c>
      <c r="AJ107" s="400" t="s">
        <v>5</v>
      </c>
      <c r="AK107" s="400" t="s">
        <v>5</v>
      </c>
      <c r="AL107" s="400" t="s">
        <v>5</v>
      </c>
      <c r="AM107" s="400" t="s">
        <v>5</v>
      </c>
      <c r="AN107" s="400" t="s">
        <v>5</v>
      </c>
      <c r="AO107" s="400" t="s">
        <v>5</v>
      </c>
      <c r="AP107" s="400">
        <v>95.622299999999996</v>
      </c>
      <c r="AQ107" s="400" t="s">
        <v>5</v>
      </c>
      <c r="AR107" s="400" t="s">
        <v>5</v>
      </c>
      <c r="AS107" s="400" t="s">
        <v>5</v>
      </c>
      <c r="AT107" s="400" t="s">
        <v>5</v>
      </c>
      <c r="AU107" s="400" t="s">
        <v>5</v>
      </c>
      <c r="AV107" s="400" t="s">
        <v>5</v>
      </c>
      <c r="AW107" s="400" t="s">
        <v>5</v>
      </c>
      <c r="AX107" s="400" t="s">
        <v>5</v>
      </c>
      <c r="AY107" s="400" t="s">
        <v>5</v>
      </c>
      <c r="AZ107" s="400" t="s">
        <v>5</v>
      </c>
      <c r="BA107" s="400" t="s">
        <v>5</v>
      </c>
      <c r="BB107" s="400" t="s">
        <v>5</v>
      </c>
      <c r="BC107" s="400" t="s">
        <v>5</v>
      </c>
      <c r="BD107" s="400" t="s">
        <v>5</v>
      </c>
      <c r="BE107" s="400" t="s">
        <v>5</v>
      </c>
      <c r="BF107" s="400" t="s">
        <v>5</v>
      </c>
      <c r="BG107" s="400" t="s">
        <v>5</v>
      </c>
      <c r="BH107" s="400" t="s">
        <v>5</v>
      </c>
      <c r="BI107" s="400" t="s">
        <v>5</v>
      </c>
      <c r="BJ107" s="400" t="s">
        <v>5</v>
      </c>
      <c r="BK107" s="400" t="s">
        <v>5</v>
      </c>
      <c r="BL107" s="400">
        <v>10617.095948</v>
      </c>
      <c r="BM107" s="400" t="s">
        <v>5</v>
      </c>
      <c r="BN107" s="400" t="s">
        <v>5</v>
      </c>
      <c r="BO107" s="400" t="s">
        <v>5</v>
      </c>
      <c r="BP107" s="400" t="s">
        <v>5</v>
      </c>
      <c r="BQ107" s="400" t="s">
        <v>5</v>
      </c>
      <c r="BR107" s="400" t="s">
        <v>5</v>
      </c>
      <c r="BS107" s="400" t="s">
        <v>5</v>
      </c>
      <c r="BT107" s="400">
        <v>875.98530049777332</v>
      </c>
    </row>
    <row r="108" spans="1:72">
      <c r="A108" s="418">
        <v>28</v>
      </c>
      <c r="B108" s="418" t="s">
        <v>1194</v>
      </c>
      <c r="C108" s="418"/>
      <c r="D108" s="418"/>
      <c r="E108" s="418" t="s">
        <v>1211</v>
      </c>
      <c r="F108" s="418"/>
      <c r="G108" s="418" t="s">
        <v>1212</v>
      </c>
      <c r="H108" s="418"/>
      <c r="I108" s="418"/>
      <c r="J108" s="419">
        <v>0</v>
      </c>
      <c r="K108" s="419">
        <v>0</v>
      </c>
      <c r="L108" s="419">
        <v>0</v>
      </c>
      <c r="M108" s="419">
        <v>0</v>
      </c>
      <c r="N108" s="419">
        <v>0</v>
      </c>
      <c r="O108" s="419">
        <v>0</v>
      </c>
      <c r="P108" s="419">
        <v>0</v>
      </c>
      <c r="Q108" s="419">
        <v>0</v>
      </c>
      <c r="R108" s="419">
        <v>0</v>
      </c>
      <c r="S108" s="419">
        <v>0</v>
      </c>
      <c r="T108" s="419">
        <v>0</v>
      </c>
      <c r="U108" s="419">
        <v>0</v>
      </c>
      <c r="V108" s="419">
        <v>0</v>
      </c>
      <c r="W108" s="419">
        <v>0</v>
      </c>
      <c r="X108" s="419">
        <v>0</v>
      </c>
      <c r="Y108" s="419">
        <v>3131.6381414000016</v>
      </c>
      <c r="Z108" s="419">
        <v>0</v>
      </c>
      <c r="AA108" s="419">
        <v>0</v>
      </c>
      <c r="AB108" s="419">
        <v>0</v>
      </c>
      <c r="AC108" s="419">
        <v>0</v>
      </c>
      <c r="AD108" s="419">
        <v>0</v>
      </c>
      <c r="AE108" s="419">
        <v>13.8</v>
      </c>
      <c r="AF108" s="419">
        <v>0</v>
      </c>
      <c r="AG108" s="419">
        <v>0</v>
      </c>
      <c r="AH108" s="419">
        <v>0</v>
      </c>
      <c r="AI108" s="419">
        <v>0</v>
      </c>
      <c r="AJ108" s="419">
        <v>0</v>
      </c>
      <c r="AK108" s="419">
        <v>0</v>
      </c>
      <c r="AL108" s="419">
        <v>0</v>
      </c>
      <c r="AM108" s="419">
        <v>0</v>
      </c>
      <c r="AN108" s="419">
        <v>0</v>
      </c>
      <c r="AO108" s="419">
        <v>0</v>
      </c>
      <c r="AP108" s="419">
        <v>4.3900000000000006</v>
      </c>
      <c r="AQ108" s="419">
        <v>0</v>
      </c>
      <c r="AR108" s="419">
        <v>0</v>
      </c>
      <c r="AS108" s="419">
        <v>0</v>
      </c>
      <c r="AT108" s="419">
        <v>0</v>
      </c>
      <c r="AU108" s="419">
        <v>0</v>
      </c>
      <c r="AV108" s="419">
        <v>0</v>
      </c>
      <c r="AW108" s="419">
        <v>0</v>
      </c>
      <c r="AX108" s="419">
        <v>0</v>
      </c>
      <c r="AY108" s="419">
        <v>0</v>
      </c>
      <c r="AZ108" s="419">
        <v>0</v>
      </c>
      <c r="BA108" s="419">
        <v>0</v>
      </c>
      <c r="BB108" s="419">
        <v>0</v>
      </c>
      <c r="BC108" s="419">
        <v>0</v>
      </c>
      <c r="BD108" s="419">
        <v>0</v>
      </c>
      <c r="BE108" s="419">
        <v>0</v>
      </c>
      <c r="BF108" s="419">
        <v>0</v>
      </c>
      <c r="BG108" s="419">
        <v>0</v>
      </c>
      <c r="BH108" s="419">
        <v>0</v>
      </c>
      <c r="BI108" s="419">
        <v>0</v>
      </c>
      <c r="BJ108" s="419">
        <v>0</v>
      </c>
      <c r="BK108" s="419">
        <v>0</v>
      </c>
      <c r="BL108" s="419">
        <v>3040.4253800000015</v>
      </c>
      <c r="BM108" s="419">
        <v>0</v>
      </c>
      <c r="BN108" s="419">
        <v>0</v>
      </c>
      <c r="BO108" s="419">
        <v>0</v>
      </c>
      <c r="BP108" s="419">
        <v>0</v>
      </c>
      <c r="BQ108" s="419">
        <v>0</v>
      </c>
      <c r="BR108" s="419">
        <v>0</v>
      </c>
      <c r="BS108" s="419">
        <v>0</v>
      </c>
      <c r="BT108" s="419">
        <v>43.550000000000004</v>
      </c>
    </row>
    <row r="109" spans="1:72" outlineLevel="1">
      <c r="A109" s="404"/>
      <c r="B109" s="404" t="s">
        <v>1212</v>
      </c>
      <c r="C109" s="404" t="s">
        <v>1211</v>
      </c>
      <c r="D109" s="404">
        <v>1</v>
      </c>
      <c r="E109" s="404" t="s">
        <v>1211</v>
      </c>
      <c r="F109" s="404" t="s">
        <v>1213</v>
      </c>
      <c r="G109" s="404" t="s">
        <v>1214</v>
      </c>
      <c r="H109" s="404"/>
      <c r="I109" s="404"/>
      <c r="J109" s="400" t="s">
        <v>5</v>
      </c>
      <c r="K109" s="400" t="s">
        <v>5</v>
      </c>
      <c r="L109" s="400" t="s">
        <v>5</v>
      </c>
      <c r="M109" s="400" t="s">
        <v>5</v>
      </c>
      <c r="N109" s="400" t="s">
        <v>5</v>
      </c>
      <c r="O109" s="400" t="s">
        <v>5</v>
      </c>
      <c r="P109" s="400" t="s">
        <v>5</v>
      </c>
      <c r="Q109" s="400" t="s">
        <v>5</v>
      </c>
      <c r="R109" s="400" t="s">
        <v>5</v>
      </c>
      <c r="S109" s="400" t="s">
        <v>5</v>
      </c>
      <c r="T109" s="400" t="s">
        <v>5</v>
      </c>
      <c r="U109" s="400" t="s">
        <v>5</v>
      </c>
      <c r="V109" s="400" t="s">
        <v>5</v>
      </c>
      <c r="W109" s="400" t="s">
        <v>5</v>
      </c>
      <c r="X109" s="400" t="s">
        <v>5</v>
      </c>
      <c r="Y109" s="400">
        <v>3131.6381414000016</v>
      </c>
      <c r="Z109" s="400" t="s">
        <v>5</v>
      </c>
      <c r="AA109" s="400" t="s">
        <v>5</v>
      </c>
      <c r="AB109" s="400" t="s">
        <v>5</v>
      </c>
      <c r="AC109" s="400" t="s">
        <v>5</v>
      </c>
      <c r="AD109" s="400" t="s">
        <v>5</v>
      </c>
      <c r="AE109" s="400">
        <v>13.8</v>
      </c>
      <c r="AF109" s="400" t="s">
        <v>5</v>
      </c>
      <c r="AG109" s="400" t="s">
        <v>5</v>
      </c>
      <c r="AH109" s="400" t="s">
        <v>5</v>
      </c>
      <c r="AI109" s="400" t="s">
        <v>5</v>
      </c>
      <c r="AJ109" s="400" t="s">
        <v>5</v>
      </c>
      <c r="AK109" s="400" t="s">
        <v>5</v>
      </c>
      <c r="AL109" s="400" t="s">
        <v>5</v>
      </c>
      <c r="AM109" s="400" t="s">
        <v>5</v>
      </c>
      <c r="AN109" s="400" t="s">
        <v>5</v>
      </c>
      <c r="AO109" s="400" t="s">
        <v>5</v>
      </c>
      <c r="AP109" s="400">
        <v>4.3900000000000006</v>
      </c>
      <c r="AQ109" s="400" t="s">
        <v>5</v>
      </c>
      <c r="AR109" s="400" t="s">
        <v>5</v>
      </c>
      <c r="AS109" s="400" t="s">
        <v>5</v>
      </c>
      <c r="AT109" s="400" t="s">
        <v>5</v>
      </c>
      <c r="AU109" s="400" t="s">
        <v>5</v>
      </c>
      <c r="AV109" s="400" t="s">
        <v>5</v>
      </c>
      <c r="AW109" s="400" t="s">
        <v>5</v>
      </c>
      <c r="AX109" s="400" t="s">
        <v>5</v>
      </c>
      <c r="AY109" s="400" t="s">
        <v>5</v>
      </c>
      <c r="AZ109" s="400" t="s">
        <v>5</v>
      </c>
      <c r="BA109" s="400" t="s">
        <v>5</v>
      </c>
      <c r="BB109" s="400" t="s">
        <v>5</v>
      </c>
      <c r="BC109" s="400" t="s">
        <v>5</v>
      </c>
      <c r="BD109" s="400" t="s">
        <v>5</v>
      </c>
      <c r="BE109" s="400" t="s">
        <v>5</v>
      </c>
      <c r="BF109" s="400" t="s">
        <v>5</v>
      </c>
      <c r="BG109" s="400" t="s">
        <v>5</v>
      </c>
      <c r="BH109" s="400" t="s">
        <v>5</v>
      </c>
      <c r="BI109" s="400" t="s">
        <v>5</v>
      </c>
      <c r="BJ109" s="400" t="s">
        <v>5</v>
      </c>
      <c r="BK109" s="400" t="s">
        <v>5</v>
      </c>
      <c r="BL109" s="400">
        <v>3040.4253800000015</v>
      </c>
      <c r="BM109" s="400" t="s">
        <v>5</v>
      </c>
      <c r="BN109" s="400" t="s">
        <v>5</v>
      </c>
      <c r="BO109" s="400" t="s">
        <v>5</v>
      </c>
      <c r="BP109" s="400" t="s">
        <v>5</v>
      </c>
      <c r="BQ109" s="400" t="s">
        <v>5</v>
      </c>
      <c r="BR109" s="400" t="s">
        <v>5</v>
      </c>
      <c r="BS109" s="400" t="s">
        <v>5</v>
      </c>
      <c r="BT109" s="400">
        <v>43.550000000000004</v>
      </c>
    </row>
    <row r="110" spans="1:72">
      <c r="A110" s="418">
        <v>29</v>
      </c>
      <c r="B110" s="418" t="s">
        <v>1194</v>
      </c>
      <c r="C110" s="418"/>
      <c r="D110" s="418"/>
      <c r="E110" s="418" t="s">
        <v>1215</v>
      </c>
      <c r="F110" s="418"/>
      <c r="G110" s="418" t="s">
        <v>1216</v>
      </c>
      <c r="H110" s="418"/>
      <c r="I110" s="418"/>
      <c r="J110" s="419">
        <v>0</v>
      </c>
      <c r="K110" s="419">
        <v>0</v>
      </c>
      <c r="L110" s="419">
        <v>0</v>
      </c>
      <c r="M110" s="419">
        <v>0</v>
      </c>
      <c r="N110" s="419">
        <v>0</v>
      </c>
      <c r="O110" s="419">
        <v>0</v>
      </c>
      <c r="P110" s="419">
        <v>0</v>
      </c>
      <c r="Q110" s="419">
        <v>0</v>
      </c>
      <c r="R110" s="419">
        <v>0</v>
      </c>
      <c r="S110" s="419">
        <v>0</v>
      </c>
      <c r="T110" s="419">
        <v>0</v>
      </c>
      <c r="U110" s="419">
        <v>0</v>
      </c>
      <c r="V110" s="419">
        <v>0</v>
      </c>
      <c r="W110" s="419">
        <v>0</v>
      </c>
      <c r="X110" s="419">
        <v>0</v>
      </c>
      <c r="Y110" s="419">
        <v>3131.6381414000016</v>
      </c>
      <c r="Z110" s="419">
        <v>0</v>
      </c>
      <c r="AA110" s="419">
        <v>0</v>
      </c>
      <c r="AB110" s="419">
        <v>0</v>
      </c>
      <c r="AC110" s="419">
        <v>0</v>
      </c>
      <c r="AD110" s="419">
        <v>0</v>
      </c>
      <c r="AE110" s="419">
        <v>13.8</v>
      </c>
      <c r="AF110" s="419">
        <v>0</v>
      </c>
      <c r="AG110" s="419">
        <v>0</v>
      </c>
      <c r="AH110" s="419">
        <v>0</v>
      </c>
      <c r="AI110" s="419">
        <v>0</v>
      </c>
      <c r="AJ110" s="419">
        <v>0</v>
      </c>
      <c r="AK110" s="419">
        <v>0</v>
      </c>
      <c r="AL110" s="419">
        <v>0</v>
      </c>
      <c r="AM110" s="419">
        <v>0</v>
      </c>
      <c r="AN110" s="419">
        <v>0</v>
      </c>
      <c r="AO110" s="419">
        <v>0</v>
      </c>
      <c r="AP110" s="419">
        <v>4.3900000000000006</v>
      </c>
      <c r="AQ110" s="419">
        <v>0</v>
      </c>
      <c r="AR110" s="419">
        <v>0</v>
      </c>
      <c r="AS110" s="419">
        <v>0</v>
      </c>
      <c r="AT110" s="419">
        <v>0</v>
      </c>
      <c r="AU110" s="419">
        <v>0</v>
      </c>
      <c r="AV110" s="419">
        <v>0</v>
      </c>
      <c r="AW110" s="419">
        <v>0</v>
      </c>
      <c r="AX110" s="419">
        <v>0</v>
      </c>
      <c r="AY110" s="419">
        <v>0</v>
      </c>
      <c r="AZ110" s="419">
        <v>0</v>
      </c>
      <c r="BA110" s="419">
        <v>0</v>
      </c>
      <c r="BB110" s="419">
        <v>0</v>
      </c>
      <c r="BC110" s="419">
        <v>0</v>
      </c>
      <c r="BD110" s="419">
        <v>0</v>
      </c>
      <c r="BE110" s="419">
        <v>0</v>
      </c>
      <c r="BF110" s="419">
        <v>0</v>
      </c>
      <c r="BG110" s="419">
        <v>0</v>
      </c>
      <c r="BH110" s="419">
        <v>0</v>
      </c>
      <c r="BI110" s="419">
        <v>0</v>
      </c>
      <c r="BJ110" s="419">
        <v>0</v>
      </c>
      <c r="BK110" s="419">
        <v>0</v>
      </c>
      <c r="BL110" s="419">
        <v>3040.4253800000015</v>
      </c>
      <c r="BM110" s="419">
        <v>0</v>
      </c>
      <c r="BN110" s="419">
        <v>0</v>
      </c>
      <c r="BO110" s="419">
        <v>0</v>
      </c>
      <c r="BP110" s="419">
        <v>0</v>
      </c>
      <c r="BQ110" s="419">
        <v>0</v>
      </c>
      <c r="BR110" s="419">
        <v>0</v>
      </c>
      <c r="BS110" s="419">
        <v>0</v>
      </c>
      <c r="BT110" s="419">
        <v>43.550000000000004</v>
      </c>
    </row>
    <row r="111" spans="1:72" outlineLevel="1">
      <c r="A111" s="404"/>
      <c r="B111" s="404" t="s">
        <v>1216</v>
      </c>
      <c r="C111" s="404" t="s">
        <v>1215</v>
      </c>
      <c r="D111" s="404">
        <v>1</v>
      </c>
      <c r="E111" s="404" t="s">
        <v>1215</v>
      </c>
      <c r="F111" s="404" t="s">
        <v>1213</v>
      </c>
      <c r="G111" s="404" t="s">
        <v>1217</v>
      </c>
      <c r="H111" s="404"/>
      <c r="I111" s="404"/>
      <c r="J111" s="400" t="s">
        <v>5</v>
      </c>
      <c r="K111" s="400" t="s">
        <v>5</v>
      </c>
      <c r="L111" s="400" t="s">
        <v>5</v>
      </c>
      <c r="M111" s="400" t="s">
        <v>5</v>
      </c>
      <c r="N111" s="400" t="s">
        <v>5</v>
      </c>
      <c r="O111" s="400" t="s">
        <v>5</v>
      </c>
      <c r="P111" s="400" t="s">
        <v>5</v>
      </c>
      <c r="Q111" s="400" t="s">
        <v>5</v>
      </c>
      <c r="R111" s="400" t="s">
        <v>5</v>
      </c>
      <c r="S111" s="400" t="s">
        <v>5</v>
      </c>
      <c r="T111" s="400" t="s">
        <v>5</v>
      </c>
      <c r="U111" s="400" t="s">
        <v>5</v>
      </c>
      <c r="V111" s="400" t="s">
        <v>5</v>
      </c>
      <c r="W111" s="400" t="s">
        <v>5</v>
      </c>
      <c r="X111" s="400" t="s">
        <v>5</v>
      </c>
      <c r="Y111" s="400">
        <v>3131.6381414000016</v>
      </c>
      <c r="Z111" s="400" t="s">
        <v>5</v>
      </c>
      <c r="AA111" s="400" t="s">
        <v>5</v>
      </c>
      <c r="AB111" s="400" t="s">
        <v>5</v>
      </c>
      <c r="AC111" s="400" t="s">
        <v>5</v>
      </c>
      <c r="AD111" s="400" t="s">
        <v>5</v>
      </c>
      <c r="AE111" s="400">
        <v>13.8</v>
      </c>
      <c r="AF111" s="400" t="s">
        <v>5</v>
      </c>
      <c r="AG111" s="400" t="s">
        <v>5</v>
      </c>
      <c r="AH111" s="400" t="s">
        <v>5</v>
      </c>
      <c r="AI111" s="400" t="s">
        <v>5</v>
      </c>
      <c r="AJ111" s="400" t="s">
        <v>5</v>
      </c>
      <c r="AK111" s="400" t="s">
        <v>5</v>
      </c>
      <c r="AL111" s="400" t="s">
        <v>5</v>
      </c>
      <c r="AM111" s="400" t="s">
        <v>5</v>
      </c>
      <c r="AN111" s="400" t="s">
        <v>5</v>
      </c>
      <c r="AO111" s="400" t="s">
        <v>5</v>
      </c>
      <c r="AP111" s="400">
        <v>4.3900000000000006</v>
      </c>
      <c r="AQ111" s="400" t="s">
        <v>5</v>
      </c>
      <c r="AR111" s="400" t="s">
        <v>5</v>
      </c>
      <c r="AS111" s="400" t="s">
        <v>5</v>
      </c>
      <c r="AT111" s="400" t="s">
        <v>5</v>
      </c>
      <c r="AU111" s="400" t="s">
        <v>5</v>
      </c>
      <c r="AV111" s="400" t="s">
        <v>5</v>
      </c>
      <c r="AW111" s="400" t="s">
        <v>5</v>
      </c>
      <c r="AX111" s="400" t="s">
        <v>5</v>
      </c>
      <c r="AY111" s="400" t="s">
        <v>5</v>
      </c>
      <c r="AZ111" s="400" t="s">
        <v>5</v>
      </c>
      <c r="BA111" s="400" t="s">
        <v>5</v>
      </c>
      <c r="BB111" s="400" t="s">
        <v>5</v>
      </c>
      <c r="BC111" s="400" t="s">
        <v>5</v>
      </c>
      <c r="BD111" s="400" t="s">
        <v>5</v>
      </c>
      <c r="BE111" s="400" t="s">
        <v>5</v>
      </c>
      <c r="BF111" s="400" t="s">
        <v>5</v>
      </c>
      <c r="BG111" s="400" t="s">
        <v>5</v>
      </c>
      <c r="BH111" s="400" t="s">
        <v>5</v>
      </c>
      <c r="BI111" s="400" t="s">
        <v>5</v>
      </c>
      <c r="BJ111" s="400" t="s">
        <v>5</v>
      </c>
      <c r="BK111" s="400" t="s">
        <v>5</v>
      </c>
      <c r="BL111" s="400">
        <v>3040.4253800000015</v>
      </c>
      <c r="BM111" s="400" t="s">
        <v>5</v>
      </c>
      <c r="BN111" s="400" t="s">
        <v>5</v>
      </c>
      <c r="BO111" s="400" t="s">
        <v>5</v>
      </c>
      <c r="BP111" s="400" t="s">
        <v>5</v>
      </c>
      <c r="BQ111" s="400" t="s">
        <v>5</v>
      </c>
      <c r="BR111" s="400" t="s">
        <v>5</v>
      </c>
      <c r="BS111" s="400" t="s">
        <v>5</v>
      </c>
      <c r="BT111" s="400">
        <v>43.550000000000004</v>
      </c>
    </row>
    <row r="112" spans="1:72">
      <c r="A112" s="418">
        <v>30</v>
      </c>
      <c r="B112" s="418" t="s">
        <v>1194</v>
      </c>
      <c r="C112" s="418"/>
      <c r="D112" s="418"/>
      <c r="E112" s="418" t="s">
        <v>1218</v>
      </c>
      <c r="F112" s="418"/>
      <c r="G112" s="418" t="s">
        <v>1219</v>
      </c>
      <c r="H112" s="418"/>
      <c r="I112" s="418"/>
      <c r="J112" s="419">
        <v>0</v>
      </c>
      <c r="K112" s="419">
        <v>0</v>
      </c>
      <c r="L112" s="419">
        <v>0</v>
      </c>
      <c r="M112" s="419">
        <v>0</v>
      </c>
      <c r="N112" s="419">
        <v>0</v>
      </c>
      <c r="O112" s="419">
        <v>0</v>
      </c>
      <c r="P112" s="419">
        <v>0</v>
      </c>
      <c r="Q112" s="419">
        <v>0</v>
      </c>
      <c r="R112" s="419">
        <v>0</v>
      </c>
      <c r="S112" s="419">
        <v>0</v>
      </c>
      <c r="T112" s="419">
        <v>0</v>
      </c>
      <c r="U112" s="419">
        <v>0</v>
      </c>
      <c r="V112" s="419">
        <v>0</v>
      </c>
      <c r="W112" s="419">
        <v>0</v>
      </c>
      <c r="X112" s="419">
        <v>0</v>
      </c>
      <c r="Y112" s="419">
        <v>3131.6381414000016</v>
      </c>
      <c r="Z112" s="419">
        <v>0</v>
      </c>
      <c r="AA112" s="419">
        <v>0</v>
      </c>
      <c r="AB112" s="419">
        <v>0</v>
      </c>
      <c r="AC112" s="419">
        <v>0</v>
      </c>
      <c r="AD112" s="419">
        <v>0</v>
      </c>
      <c r="AE112" s="419">
        <v>13.8</v>
      </c>
      <c r="AF112" s="419">
        <v>0</v>
      </c>
      <c r="AG112" s="419">
        <v>0</v>
      </c>
      <c r="AH112" s="419">
        <v>0</v>
      </c>
      <c r="AI112" s="419">
        <v>0</v>
      </c>
      <c r="AJ112" s="419">
        <v>0</v>
      </c>
      <c r="AK112" s="419">
        <v>0</v>
      </c>
      <c r="AL112" s="419">
        <v>0</v>
      </c>
      <c r="AM112" s="419">
        <v>0</v>
      </c>
      <c r="AN112" s="419">
        <v>0</v>
      </c>
      <c r="AO112" s="419">
        <v>0</v>
      </c>
      <c r="AP112" s="419">
        <v>4.3900000000000006</v>
      </c>
      <c r="AQ112" s="419">
        <v>0</v>
      </c>
      <c r="AR112" s="419">
        <v>0</v>
      </c>
      <c r="AS112" s="419">
        <v>0</v>
      </c>
      <c r="AT112" s="419">
        <v>0</v>
      </c>
      <c r="AU112" s="419">
        <v>0</v>
      </c>
      <c r="AV112" s="419">
        <v>0</v>
      </c>
      <c r="AW112" s="419">
        <v>0</v>
      </c>
      <c r="AX112" s="419">
        <v>0</v>
      </c>
      <c r="AY112" s="419">
        <v>0</v>
      </c>
      <c r="AZ112" s="419">
        <v>0</v>
      </c>
      <c r="BA112" s="419">
        <v>0</v>
      </c>
      <c r="BB112" s="419">
        <v>0</v>
      </c>
      <c r="BC112" s="419">
        <v>0</v>
      </c>
      <c r="BD112" s="419">
        <v>0</v>
      </c>
      <c r="BE112" s="419">
        <v>0</v>
      </c>
      <c r="BF112" s="419">
        <v>0</v>
      </c>
      <c r="BG112" s="419">
        <v>0</v>
      </c>
      <c r="BH112" s="419">
        <v>0</v>
      </c>
      <c r="BI112" s="419">
        <v>0</v>
      </c>
      <c r="BJ112" s="419">
        <v>0</v>
      </c>
      <c r="BK112" s="419">
        <v>0</v>
      </c>
      <c r="BL112" s="419">
        <v>3040.4253800000015</v>
      </c>
      <c r="BM112" s="419">
        <v>0</v>
      </c>
      <c r="BN112" s="419">
        <v>0</v>
      </c>
      <c r="BO112" s="419">
        <v>0</v>
      </c>
      <c r="BP112" s="419">
        <v>0</v>
      </c>
      <c r="BQ112" s="419">
        <v>0</v>
      </c>
      <c r="BR112" s="419">
        <v>0</v>
      </c>
      <c r="BS112" s="419">
        <v>0</v>
      </c>
      <c r="BT112" s="419">
        <v>43.550000000000004</v>
      </c>
    </row>
    <row r="113" spans="1:72" outlineLevel="1">
      <c r="A113" s="404"/>
      <c r="B113" s="404" t="s">
        <v>1219</v>
      </c>
      <c r="C113" s="404" t="s">
        <v>1218</v>
      </c>
      <c r="D113" s="404">
        <v>1</v>
      </c>
      <c r="E113" s="404" t="s">
        <v>1218</v>
      </c>
      <c r="F113" s="404" t="s">
        <v>1213</v>
      </c>
      <c r="G113" s="404" t="s">
        <v>1220</v>
      </c>
      <c r="H113" s="404"/>
      <c r="I113" s="404"/>
      <c r="J113" s="400" t="s">
        <v>5</v>
      </c>
      <c r="K113" s="400" t="s">
        <v>5</v>
      </c>
      <c r="L113" s="400" t="s">
        <v>5</v>
      </c>
      <c r="M113" s="400" t="s">
        <v>5</v>
      </c>
      <c r="N113" s="400" t="s">
        <v>5</v>
      </c>
      <c r="O113" s="400" t="s">
        <v>5</v>
      </c>
      <c r="P113" s="400" t="s">
        <v>5</v>
      </c>
      <c r="Q113" s="400" t="s">
        <v>5</v>
      </c>
      <c r="R113" s="400" t="s">
        <v>5</v>
      </c>
      <c r="S113" s="400" t="s">
        <v>5</v>
      </c>
      <c r="T113" s="400" t="s">
        <v>5</v>
      </c>
      <c r="U113" s="400" t="s">
        <v>5</v>
      </c>
      <c r="V113" s="400" t="s">
        <v>5</v>
      </c>
      <c r="W113" s="400" t="s">
        <v>5</v>
      </c>
      <c r="X113" s="400" t="s">
        <v>5</v>
      </c>
      <c r="Y113" s="400">
        <v>3131.6381414000016</v>
      </c>
      <c r="Z113" s="400" t="s">
        <v>5</v>
      </c>
      <c r="AA113" s="400" t="s">
        <v>5</v>
      </c>
      <c r="AB113" s="400" t="s">
        <v>5</v>
      </c>
      <c r="AC113" s="400" t="s">
        <v>5</v>
      </c>
      <c r="AD113" s="400" t="s">
        <v>5</v>
      </c>
      <c r="AE113" s="400">
        <v>13.8</v>
      </c>
      <c r="AF113" s="400" t="s">
        <v>5</v>
      </c>
      <c r="AG113" s="400" t="s">
        <v>5</v>
      </c>
      <c r="AH113" s="400" t="s">
        <v>5</v>
      </c>
      <c r="AI113" s="400" t="s">
        <v>5</v>
      </c>
      <c r="AJ113" s="400" t="s">
        <v>5</v>
      </c>
      <c r="AK113" s="400" t="s">
        <v>5</v>
      </c>
      <c r="AL113" s="400" t="s">
        <v>5</v>
      </c>
      <c r="AM113" s="400" t="s">
        <v>5</v>
      </c>
      <c r="AN113" s="400" t="s">
        <v>5</v>
      </c>
      <c r="AO113" s="400" t="s">
        <v>5</v>
      </c>
      <c r="AP113" s="400">
        <v>4.3900000000000006</v>
      </c>
      <c r="AQ113" s="400" t="s">
        <v>5</v>
      </c>
      <c r="AR113" s="400" t="s">
        <v>5</v>
      </c>
      <c r="AS113" s="400" t="s">
        <v>5</v>
      </c>
      <c r="AT113" s="400" t="s">
        <v>5</v>
      </c>
      <c r="AU113" s="400" t="s">
        <v>5</v>
      </c>
      <c r="AV113" s="400" t="s">
        <v>5</v>
      </c>
      <c r="AW113" s="400" t="s">
        <v>5</v>
      </c>
      <c r="AX113" s="400" t="s">
        <v>5</v>
      </c>
      <c r="AY113" s="400" t="s">
        <v>5</v>
      </c>
      <c r="AZ113" s="400" t="s">
        <v>5</v>
      </c>
      <c r="BA113" s="400" t="s">
        <v>5</v>
      </c>
      <c r="BB113" s="400" t="s">
        <v>5</v>
      </c>
      <c r="BC113" s="400" t="s">
        <v>5</v>
      </c>
      <c r="BD113" s="400" t="s">
        <v>5</v>
      </c>
      <c r="BE113" s="400" t="s">
        <v>5</v>
      </c>
      <c r="BF113" s="400" t="s">
        <v>5</v>
      </c>
      <c r="BG113" s="400" t="s">
        <v>5</v>
      </c>
      <c r="BH113" s="400" t="s">
        <v>5</v>
      </c>
      <c r="BI113" s="400" t="s">
        <v>5</v>
      </c>
      <c r="BJ113" s="400" t="s">
        <v>5</v>
      </c>
      <c r="BK113" s="400" t="s">
        <v>5</v>
      </c>
      <c r="BL113" s="400">
        <v>3040.4253800000015</v>
      </c>
      <c r="BM113" s="400" t="s">
        <v>5</v>
      </c>
      <c r="BN113" s="400" t="s">
        <v>5</v>
      </c>
      <c r="BO113" s="400" t="s">
        <v>5</v>
      </c>
      <c r="BP113" s="400" t="s">
        <v>5</v>
      </c>
      <c r="BQ113" s="400" t="s">
        <v>5</v>
      </c>
      <c r="BR113" s="400" t="s">
        <v>5</v>
      </c>
      <c r="BS113" s="400" t="s">
        <v>5</v>
      </c>
      <c r="BT113" s="400">
        <v>43.550000000000004</v>
      </c>
    </row>
    <row r="114" spans="1:72">
      <c r="A114" s="418">
        <v>31</v>
      </c>
      <c r="B114" s="418" t="s">
        <v>1194</v>
      </c>
      <c r="C114" s="418"/>
      <c r="D114" s="418"/>
      <c r="E114" s="418" t="s">
        <v>1221</v>
      </c>
      <c r="F114" s="418"/>
      <c r="G114" s="418" t="s">
        <v>1222</v>
      </c>
      <c r="H114" s="418"/>
      <c r="I114" s="418"/>
      <c r="J114" s="419">
        <v>0</v>
      </c>
      <c r="K114" s="419">
        <v>0</v>
      </c>
      <c r="L114" s="419">
        <v>0</v>
      </c>
      <c r="M114" s="419">
        <v>0</v>
      </c>
      <c r="N114" s="419">
        <v>0</v>
      </c>
      <c r="O114" s="419">
        <v>0</v>
      </c>
      <c r="P114" s="419">
        <v>0</v>
      </c>
      <c r="Q114" s="419">
        <v>0</v>
      </c>
      <c r="R114" s="419">
        <v>0</v>
      </c>
      <c r="S114" s="419">
        <v>0</v>
      </c>
      <c r="T114" s="419">
        <v>0</v>
      </c>
      <c r="U114" s="419">
        <v>0</v>
      </c>
      <c r="V114" s="419">
        <v>0</v>
      </c>
      <c r="W114" s="419">
        <v>0</v>
      </c>
      <c r="X114" s="419">
        <v>0</v>
      </c>
      <c r="Y114" s="419">
        <v>3796.4931092000002</v>
      </c>
      <c r="Z114" s="419">
        <v>0</v>
      </c>
      <c r="AA114" s="419">
        <v>0</v>
      </c>
      <c r="AB114" s="419">
        <v>0</v>
      </c>
      <c r="AC114" s="419">
        <v>0</v>
      </c>
      <c r="AD114" s="419">
        <v>0</v>
      </c>
      <c r="AE114" s="419">
        <v>22.54</v>
      </c>
      <c r="AF114" s="419">
        <v>0</v>
      </c>
      <c r="AG114" s="419">
        <v>0</v>
      </c>
      <c r="AH114" s="419">
        <v>0</v>
      </c>
      <c r="AI114" s="419">
        <v>0</v>
      </c>
      <c r="AJ114" s="419">
        <v>0</v>
      </c>
      <c r="AK114" s="419">
        <v>0</v>
      </c>
      <c r="AL114" s="419">
        <v>0</v>
      </c>
      <c r="AM114" s="419">
        <v>0</v>
      </c>
      <c r="AN114" s="419">
        <v>0</v>
      </c>
      <c r="AO114" s="419">
        <v>0</v>
      </c>
      <c r="AP114" s="419">
        <v>30.895799999999998</v>
      </c>
      <c r="AQ114" s="419">
        <v>0</v>
      </c>
      <c r="AR114" s="419">
        <v>0</v>
      </c>
      <c r="AS114" s="419">
        <v>0</v>
      </c>
      <c r="AT114" s="419">
        <v>0</v>
      </c>
      <c r="AU114" s="419">
        <v>0</v>
      </c>
      <c r="AV114" s="419">
        <v>0</v>
      </c>
      <c r="AW114" s="419">
        <v>0</v>
      </c>
      <c r="AX114" s="419">
        <v>0</v>
      </c>
      <c r="AY114" s="419">
        <v>0</v>
      </c>
      <c r="AZ114" s="419">
        <v>0</v>
      </c>
      <c r="BA114" s="419">
        <v>0</v>
      </c>
      <c r="BB114" s="419">
        <v>0</v>
      </c>
      <c r="BC114" s="419">
        <v>0</v>
      </c>
      <c r="BD114" s="419">
        <v>0</v>
      </c>
      <c r="BE114" s="419">
        <v>0</v>
      </c>
      <c r="BF114" s="419">
        <v>0</v>
      </c>
      <c r="BG114" s="419">
        <v>0</v>
      </c>
      <c r="BH114" s="419">
        <v>0</v>
      </c>
      <c r="BI114" s="419">
        <v>0</v>
      </c>
      <c r="BJ114" s="419">
        <v>0</v>
      </c>
      <c r="BK114" s="419">
        <v>0</v>
      </c>
      <c r="BL114" s="419">
        <v>3685.9156400000002</v>
      </c>
      <c r="BM114" s="419">
        <v>0</v>
      </c>
      <c r="BN114" s="419">
        <v>0</v>
      </c>
      <c r="BO114" s="419">
        <v>0</v>
      </c>
      <c r="BP114" s="419">
        <v>0</v>
      </c>
      <c r="BQ114" s="419">
        <v>0</v>
      </c>
      <c r="BR114" s="419">
        <v>0</v>
      </c>
      <c r="BS114" s="419">
        <v>0</v>
      </c>
      <c r="BT114" s="419">
        <v>185.125</v>
      </c>
    </row>
    <row r="115" spans="1:72" outlineLevel="1">
      <c r="A115" s="404"/>
      <c r="B115" s="404" t="s">
        <v>1222</v>
      </c>
      <c r="C115" s="404" t="s">
        <v>1221</v>
      </c>
      <c r="D115" s="404">
        <v>1</v>
      </c>
      <c r="E115" s="404" t="s">
        <v>1221</v>
      </c>
      <c r="F115" s="404" t="s">
        <v>1223</v>
      </c>
      <c r="G115" s="404" t="s">
        <v>1224</v>
      </c>
      <c r="H115" s="404"/>
      <c r="I115" s="404"/>
      <c r="J115" s="400" t="s">
        <v>5</v>
      </c>
      <c r="K115" s="400" t="s">
        <v>5</v>
      </c>
      <c r="L115" s="400" t="s">
        <v>5</v>
      </c>
      <c r="M115" s="400" t="s">
        <v>5</v>
      </c>
      <c r="N115" s="400" t="s">
        <v>5</v>
      </c>
      <c r="O115" s="400" t="s">
        <v>5</v>
      </c>
      <c r="P115" s="400" t="s">
        <v>5</v>
      </c>
      <c r="Q115" s="400" t="s">
        <v>5</v>
      </c>
      <c r="R115" s="400" t="s">
        <v>5</v>
      </c>
      <c r="S115" s="400" t="s">
        <v>5</v>
      </c>
      <c r="T115" s="400" t="s">
        <v>5</v>
      </c>
      <c r="U115" s="400" t="s">
        <v>5</v>
      </c>
      <c r="V115" s="400" t="s">
        <v>5</v>
      </c>
      <c r="W115" s="400" t="s">
        <v>5</v>
      </c>
      <c r="X115" s="400" t="s">
        <v>5</v>
      </c>
      <c r="Y115" s="400">
        <v>3796.4931092000002</v>
      </c>
      <c r="Z115" s="400" t="s">
        <v>5</v>
      </c>
      <c r="AA115" s="400" t="s">
        <v>5</v>
      </c>
      <c r="AB115" s="400" t="s">
        <v>5</v>
      </c>
      <c r="AC115" s="400" t="s">
        <v>5</v>
      </c>
      <c r="AD115" s="400" t="s">
        <v>5</v>
      </c>
      <c r="AE115" s="400">
        <v>22.54</v>
      </c>
      <c r="AF115" s="400" t="s">
        <v>5</v>
      </c>
      <c r="AG115" s="400" t="s">
        <v>5</v>
      </c>
      <c r="AH115" s="400" t="s">
        <v>5</v>
      </c>
      <c r="AI115" s="400" t="s">
        <v>5</v>
      </c>
      <c r="AJ115" s="400" t="s">
        <v>5</v>
      </c>
      <c r="AK115" s="400" t="s">
        <v>5</v>
      </c>
      <c r="AL115" s="400" t="s">
        <v>5</v>
      </c>
      <c r="AM115" s="400" t="s">
        <v>5</v>
      </c>
      <c r="AN115" s="400" t="s">
        <v>5</v>
      </c>
      <c r="AO115" s="400" t="s">
        <v>5</v>
      </c>
      <c r="AP115" s="400">
        <v>30.895799999999998</v>
      </c>
      <c r="AQ115" s="400" t="s">
        <v>5</v>
      </c>
      <c r="AR115" s="400" t="s">
        <v>5</v>
      </c>
      <c r="AS115" s="400" t="s">
        <v>5</v>
      </c>
      <c r="AT115" s="400" t="s">
        <v>5</v>
      </c>
      <c r="AU115" s="400" t="s">
        <v>5</v>
      </c>
      <c r="AV115" s="400" t="s">
        <v>5</v>
      </c>
      <c r="AW115" s="400" t="s">
        <v>5</v>
      </c>
      <c r="AX115" s="400" t="s">
        <v>5</v>
      </c>
      <c r="AY115" s="400" t="s">
        <v>5</v>
      </c>
      <c r="AZ115" s="400" t="s">
        <v>5</v>
      </c>
      <c r="BA115" s="400" t="s">
        <v>5</v>
      </c>
      <c r="BB115" s="400" t="s">
        <v>5</v>
      </c>
      <c r="BC115" s="400" t="s">
        <v>5</v>
      </c>
      <c r="BD115" s="400" t="s">
        <v>5</v>
      </c>
      <c r="BE115" s="400" t="s">
        <v>5</v>
      </c>
      <c r="BF115" s="400" t="s">
        <v>5</v>
      </c>
      <c r="BG115" s="400" t="s">
        <v>5</v>
      </c>
      <c r="BH115" s="400" t="s">
        <v>5</v>
      </c>
      <c r="BI115" s="400" t="s">
        <v>5</v>
      </c>
      <c r="BJ115" s="400" t="s">
        <v>5</v>
      </c>
      <c r="BK115" s="400" t="s">
        <v>5</v>
      </c>
      <c r="BL115" s="400">
        <v>3685.9156400000002</v>
      </c>
      <c r="BM115" s="400" t="s">
        <v>5</v>
      </c>
      <c r="BN115" s="400" t="s">
        <v>5</v>
      </c>
      <c r="BO115" s="400" t="s">
        <v>5</v>
      </c>
      <c r="BP115" s="400" t="s">
        <v>5</v>
      </c>
      <c r="BQ115" s="400" t="s">
        <v>5</v>
      </c>
      <c r="BR115" s="400" t="s">
        <v>5</v>
      </c>
      <c r="BS115" s="400" t="s">
        <v>5</v>
      </c>
      <c r="BT115" s="400">
        <v>185.125</v>
      </c>
    </row>
    <row r="116" spans="1:72">
      <c r="A116" s="418">
        <v>32</v>
      </c>
      <c r="B116" s="418" t="s">
        <v>1194</v>
      </c>
      <c r="C116" s="418"/>
      <c r="D116" s="418"/>
      <c r="E116" s="418" t="s">
        <v>1225</v>
      </c>
      <c r="F116" s="418"/>
      <c r="G116" s="418" t="s">
        <v>1226</v>
      </c>
      <c r="H116" s="418"/>
      <c r="I116" s="418"/>
      <c r="J116" s="419">
        <v>0</v>
      </c>
      <c r="K116" s="419">
        <v>0</v>
      </c>
      <c r="L116" s="419">
        <v>0</v>
      </c>
      <c r="M116" s="419">
        <v>0</v>
      </c>
      <c r="N116" s="419">
        <v>0</v>
      </c>
      <c r="O116" s="419">
        <v>0</v>
      </c>
      <c r="P116" s="419">
        <v>0</v>
      </c>
      <c r="Q116" s="419">
        <v>0</v>
      </c>
      <c r="R116" s="419">
        <v>0</v>
      </c>
      <c r="S116" s="419">
        <v>0</v>
      </c>
      <c r="T116" s="419">
        <v>0</v>
      </c>
      <c r="U116" s="419">
        <v>0</v>
      </c>
      <c r="V116" s="419">
        <v>0</v>
      </c>
      <c r="W116" s="419">
        <v>0</v>
      </c>
      <c r="X116" s="419">
        <v>0</v>
      </c>
      <c r="Y116" s="419">
        <v>3589.6145810000007</v>
      </c>
      <c r="Z116" s="419">
        <v>0</v>
      </c>
      <c r="AA116" s="419">
        <v>0</v>
      </c>
      <c r="AB116" s="419">
        <v>0</v>
      </c>
      <c r="AC116" s="419">
        <v>0</v>
      </c>
      <c r="AD116" s="419">
        <v>0</v>
      </c>
      <c r="AE116" s="419">
        <v>21.78</v>
      </c>
      <c r="AF116" s="419">
        <v>0</v>
      </c>
      <c r="AG116" s="419">
        <v>0</v>
      </c>
      <c r="AH116" s="419">
        <v>0</v>
      </c>
      <c r="AI116" s="419">
        <v>0</v>
      </c>
      <c r="AJ116" s="419">
        <v>0</v>
      </c>
      <c r="AK116" s="419">
        <v>0</v>
      </c>
      <c r="AL116" s="419">
        <v>0</v>
      </c>
      <c r="AM116" s="419">
        <v>0</v>
      </c>
      <c r="AN116" s="419">
        <v>0</v>
      </c>
      <c r="AO116" s="419">
        <v>0</v>
      </c>
      <c r="AP116" s="419">
        <v>30.081050000000001</v>
      </c>
      <c r="AQ116" s="419">
        <v>0</v>
      </c>
      <c r="AR116" s="419">
        <v>0</v>
      </c>
      <c r="AS116" s="419">
        <v>0</v>
      </c>
      <c r="AT116" s="419">
        <v>0</v>
      </c>
      <c r="AU116" s="419">
        <v>0</v>
      </c>
      <c r="AV116" s="419">
        <v>0</v>
      </c>
      <c r="AW116" s="419">
        <v>0</v>
      </c>
      <c r="AX116" s="419">
        <v>0</v>
      </c>
      <c r="AY116" s="419">
        <v>0</v>
      </c>
      <c r="AZ116" s="419">
        <v>0</v>
      </c>
      <c r="BA116" s="419">
        <v>0</v>
      </c>
      <c r="BB116" s="419">
        <v>0</v>
      </c>
      <c r="BC116" s="419">
        <v>0</v>
      </c>
      <c r="BD116" s="419">
        <v>0</v>
      </c>
      <c r="BE116" s="419">
        <v>0</v>
      </c>
      <c r="BF116" s="419">
        <v>0</v>
      </c>
      <c r="BG116" s="419">
        <v>0</v>
      </c>
      <c r="BH116" s="419">
        <v>0</v>
      </c>
      <c r="BI116" s="419">
        <v>0</v>
      </c>
      <c r="BJ116" s="419">
        <v>0</v>
      </c>
      <c r="BK116" s="419">
        <v>0</v>
      </c>
      <c r="BL116" s="419">
        <v>3485.0627000000004</v>
      </c>
      <c r="BM116" s="419">
        <v>0</v>
      </c>
      <c r="BN116" s="419">
        <v>0</v>
      </c>
      <c r="BO116" s="419">
        <v>0</v>
      </c>
      <c r="BP116" s="419">
        <v>0</v>
      </c>
      <c r="BQ116" s="419">
        <v>0</v>
      </c>
      <c r="BR116" s="419">
        <v>0</v>
      </c>
      <c r="BS116" s="419">
        <v>0</v>
      </c>
      <c r="BT116" s="419">
        <v>173.82300000000001</v>
      </c>
    </row>
    <row r="117" spans="1:72" outlineLevel="1">
      <c r="A117" s="404"/>
      <c r="B117" s="404" t="s">
        <v>1226</v>
      </c>
      <c r="C117" s="404" t="s">
        <v>1225</v>
      </c>
      <c r="D117" s="404">
        <v>1</v>
      </c>
      <c r="E117" s="404" t="s">
        <v>1225</v>
      </c>
      <c r="F117" s="404" t="s">
        <v>1227</v>
      </c>
      <c r="G117" s="404" t="s">
        <v>1228</v>
      </c>
      <c r="H117" s="404"/>
      <c r="I117" s="404"/>
      <c r="J117" s="400" t="s">
        <v>5</v>
      </c>
      <c r="K117" s="400" t="s">
        <v>5</v>
      </c>
      <c r="L117" s="400" t="s">
        <v>5</v>
      </c>
      <c r="M117" s="400" t="s">
        <v>5</v>
      </c>
      <c r="N117" s="400" t="s">
        <v>5</v>
      </c>
      <c r="O117" s="400" t="s">
        <v>5</v>
      </c>
      <c r="P117" s="400" t="s">
        <v>5</v>
      </c>
      <c r="Q117" s="400" t="s">
        <v>5</v>
      </c>
      <c r="R117" s="400" t="s">
        <v>5</v>
      </c>
      <c r="S117" s="400" t="s">
        <v>5</v>
      </c>
      <c r="T117" s="400" t="s">
        <v>5</v>
      </c>
      <c r="U117" s="400" t="s">
        <v>5</v>
      </c>
      <c r="V117" s="400" t="s">
        <v>5</v>
      </c>
      <c r="W117" s="400" t="s">
        <v>5</v>
      </c>
      <c r="X117" s="400" t="s">
        <v>5</v>
      </c>
      <c r="Y117" s="400">
        <v>3589.6145810000007</v>
      </c>
      <c r="Z117" s="400" t="s">
        <v>5</v>
      </c>
      <c r="AA117" s="400" t="s">
        <v>5</v>
      </c>
      <c r="AB117" s="400" t="s">
        <v>5</v>
      </c>
      <c r="AC117" s="400" t="s">
        <v>5</v>
      </c>
      <c r="AD117" s="400" t="s">
        <v>5</v>
      </c>
      <c r="AE117" s="400">
        <v>21.78</v>
      </c>
      <c r="AF117" s="400" t="s">
        <v>5</v>
      </c>
      <c r="AG117" s="400" t="s">
        <v>5</v>
      </c>
      <c r="AH117" s="400" t="s">
        <v>5</v>
      </c>
      <c r="AI117" s="400" t="s">
        <v>5</v>
      </c>
      <c r="AJ117" s="400" t="s">
        <v>5</v>
      </c>
      <c r="AK117" s="400" t="s">
        <v>5</v>
      </c>
      <c r="AL117" s="400" t="s">
        <v>5</v>
      </c>
      <c r="AM117" s="400" t="s">
        <v>5</v>
      </c>
      <c r="AN117" s="400" t="s">
        <v>5</v>
      </c>
      <c r="AO117" s="400" t="s">
        <v>5</v>
      </c>
      <c r="AP117" s="400">
        <v>30.081050000000001</v>
      </c>
      <c r="AQ117" s="400" t="s">
        <v>5</v>
      </c>
      <c r="AR117" s="400" t="s">
        <v>5</v>
      </c>
      <c r="AS117" s="400" t="s">
        <v>5</v>
      </c>
      <c r="AT117" s="400" t="s">
        <v>5</v>
      </c>
      <c r="AU117" s="400" t="s">
        <v>5</v>
      </c>
      <c r="AV117" s="400" t="s">
        <v>5</v>
      </c>
      <c r="AW117" s="400" t="s">
        <v>5</v>
      </c>
      <c r="AX117" s="400" t="s">
        <v>5</v>
      </c>
      <c r="AY117" s="400" t="s">
        <v>5</v>
      </c>
      <c r="AZ117" s="400" t="s">
        <v>5</v>
      </c>
      <c r="BA117" s="400" t="s">
        <v>5</v>
      </c>
      <c r="BB117" s="400" t="s">
        <v>5</v>
      </c>
      <c r="BC117" s="400" t="s">
        <v>5</v>
      </c>
      <c r="BD117" s="400" t="s">
        <v>5</v>
      </c>
      <c r="BE117" s="400" t="s">
        <v>5</v>
      </c>
      <c r="BF117" s="400" t="s">
        <v>5</v>
      </c>
      <c r="BG117" s="400" t="s">
        <v>5</v>
      </c>
      <c r="BH117" s="400" t="s">
        <v>5</v>
      </c>
      <c r="BI117" s="400" t="s">
        <v>5</v>
      </c>
      <c r="BJ117" s="400" t="s">
        <v>5</v>
      </c>
      <c r="BK117" s="400" t="s">
        <v>5</v>
      </c>
      <c r="BL117" s="400">
        <v>3485.0627000000004</v>
      </c>
      <c r="BM117" s="400" t="s">
        <v>5</v>
      </c>
      <c r="BN117" s="400" t="s">
        <v>5</v>
      </c>
      <c r="BO117" s="400" t="s">
        <v>5</v>
      </c>
      <c r="BP117" s="400" t="s">
        <v>5</v>
      </c>
      <c r="BQ117" s="400" t="s">
        <v>5</v>
      </c>
      <c r="BR117" s="400" t="s">
        <v>5</v>
      </c>
      <c r="BS117" s="400" t="s">
        <v>5</v>
      </c>
      <c r="BT117" s="400">
        <v>173.82300000000001</v>
      </c>
    </row>
    <row r="118" spans="1:72">
      <c r="A118" s="418">
        <v>33</v>
      </c>
      <c r="B118" s="418" t="s">
        <v>1194</v>
      </c>
      <c r="C118" s="418"/>
      <c r="D118" s="418"/>
      <c r="E118" s="418" t="s">
        <v>1229</v>
      </c>
      <c r="F118" s="418"/>
      <c r="G118" s="418" t="s">
        <v>1230</v>
      </c>
      <c r="H118" s="418"/>
      <c r="I118" s="418"/>
      <c r="J118" s="419">
        <v>0</v>
      </c>
      <c r="K118" s="419">
        <v>0</v>
      </c>
      <c r="L118" s="419">
        <v>0</v>
      </c>
      <c r="M118" s="419">
        <v>0</v>
      </c>
      <c r="N118" s="419">
        <v>0</v>
      </c>
      <c r="O118" s="419">
        <v>0</v>
      </c>
      <c r="P118" s="419">
        <v>0</v>
      </c>
      <c r="Q118" s="419">
        <v>0</v>
      </c>
      <c r="R118" s="419">
        <v>0</v>
      </c>
      <c r="S118" s="419">
        <v>0</v>
      </c>
      <c r="T118" s="419">
        <v>0</v>
      </c>
      <c r="U118" s="419">
        <v>0</v>
      </c>
      <c r="V118" s="419">
        <v>0</v>
      </c>
      <c r="W118" s="419">
        <v>0</v>
      </c>
      <c r="X118" s="419">
        <v>0</v>
      </c>
      <c r="Y118" s="419">
        <v>3695.3928308999998</v>
      </c>
      <c r="Z118" s="419">
        <v>0</v>
      </c>
      <c r="AA118" s="419">
        <v>0</v>
      </c>
      <c r="AB118" s="419">
        <v>0</v>
      </c>
      <c r="AC118" s="419">
        <v>0</v>
      </c>
      <c r="AD118" s="419">
        <v>0</v>
      </c>
      <c r="AE118" s="419">
        <v>21.950000000000003</v>
      </c>
      <c r="AF118" s="419">
        <v>0</v>
      </c>
      <c r="AG118" s="419">
        <v>0</v>
      </c>
      <c r="AH118" s="419">
        <v>0</v>
      </c>
      <c r="AI118" s="419">
        <v>0</v>
      </c>
      <c r="AJ118" s="419">
        <v>0</v>
      </c>
      <c r="AK118" s="419">
        <v>0</v>
      </c>
      <c r="AL118" s="419">
        <v>0</v>
      </c>
      <c r="AM118" s="419">
        <v>0</v>
      </c>
      <c r="AN118" s="419">
        <v>0</v>
      </c>
      <c r="AO118" s="419">
        <v>0</v>
      </c>
      <c r="AP118" s="419">
        <v>27.572475000000004</v>
      </c>
      <c r="AQ118" s="419">
        <v>0</v>
      </c>
      <c r="AR118" s="419">
        <v>0</v>
      </c>
      <c r="AS118" s="419">
        <v>0</v>
      </c>
      <c r="AT118" s="419">
        <v>0</v>
      </c>
      <c r="AU118" s="419">
        <v>0</v>
      </c>
      <c r="AV118" s="419">
        <v>0</v>
      </c>
      <c r="AW118" s="419">
        <v>0</v>
      </c>
      <c r="AX118" s="419">
        <v>0</v>
      </c>
      <c r="AY118" s="419">
        <v>0</v>
      </c>
      <c r="AZ118" s="419">
        <v>0</v>
      </c>
      <c r="BA118" s="419">
        <v>0</v>
      </c>
      <c r="BB118" s="419">
        <v>0</v>
      </c>
      <c r="BC118" s="419">
        <v>0</v>
      </c>
      <c r="BD118" s="419">
        <v>0</v>
      </c>
      <c r="BE118" s="419">
        <v>0</v>
      </c>
      <c r="BF118" s="419">
        <v>0</v>
      </c>
      <c r="BG118" s="419">
        <v>0</v>
      </c>
      <c r="BH118" s="419">
        <v>0</v>
      </c>
      <c r="BI118" s="419">
        <v>0</v>
      </c>
      <c r="BJ118" s="419">
        <v>0</v>
      </c>
      <c r="BK118" s="419">
        <v>0</v>
      </c>
      <c r="BL118" s="419">
        <v>3587.7600299999999</v>
      </c>
      <c r="BM118" s="419">
        <v>0</v>
      </c>
      <c r="BN118" s="419">
        <v>0</v>
      </c>
      <c r="BO118" s="419">
        <v>0</v>
      </c>
      <c r="BP118" s="419">
        <v>0</v>
      </c>
      <c r="BQ118" s="419">
        <v>0</v>
      </c>
      <c r="BR118" s="419">
        <v>0</v>
      </c>
      <c r="BS118" s="419">
        <v>0</v>
      </c>
      <c r="BT118" s="419">
        <v>167.31100000000001</v>
      </c>
    </row>
    <row r="119" spans="1:72" outlineLevel="1">
      <c r="A119" s="404"/>
      <c r="B119" s="404" t="s">
        <v>1230</v>
      </c>
      <c r="C119" s="404" t="s">
        <v>1229</v>
      </c>
      <c r="D119" s="404">
        <v>1</v>
      </c>
      <c r="E119" s="404" t="s">
        <v>1229</v>
      </c>
      <c r="F119" s="404" t="s">
        <v>1231</v>
      </c>
      <c r="G119" s="404" t="s">
        <v>1232</v>
      </c>
      <c r="H119" s="404"/>
      <c r="I119" s="404"/>
      <c r="J119" s="400" t="s">
        <v>5</v>
      </c>
      <c r="K119" s="400" t="s">
        <v>5</v>
      </c>
      <c r="L119" s="400" t="s">
        <v>5</v>
      </c>
      <c r="M119" s="400" t="s">
        <v>5</v>
      </c>
      <c r="N119" s="400" t="s">
        <v>5</v>
      </c>
      <c r="O119" s="400" t="s">
        <v>5</v>
      </c>
      <c r="P119" s="400" t="s">
        <v>5</v>
      </c>
      <c r="Q119" s="400" t="s">
        <v>5</v>
      </c>
      <c r="R119" s="400" t="s">
        <v>5</v>
      </c>
      <c r="S119" s="400" t="s">
        <v>5</v>
      </c>
      <c r="T119" s="400" t="s">
        <v>5</v>
      </c>
      <c r="U119" s="400" t="s">
        <v>5</v>
      </c>
      <c r="V119" s="400" t="s">
        <v>5</v>
      </c>
      <c r="W119" s="400" t="s">
        <v>5</v>
      </c>
      <c r="X119" s="400" t="s">
        <v>5</v>
      </c>
      <c r="Y119" s="400">
        <v>3695.3928308999998</v>
      </c>
      <c r="Z119" s="400" t="s">
        <v>5</v>
      </c>
      <c r="AA119" s="400" t="s">
        <v>5</v>
      </c>
      <c r="AB119" s="400" t="s">
        <v>5</v>
      </c>
      <c r="AC119" s="400" t="s">
        <v>5</v>
      </c>
      <c r="AD119" s="400" t="s">
        <v>5</v>
      </c>
      <c r="AE119" s="400">
        <v>21.950000000000003</v>
      </c>
      <c r="AF119" s="400" t="s">
        <v>5</v>
      </c>
      <c r="AG119" s="400" t="s">
        <v>5</v>
      </c>
      <c r="AH119" s="400" t="s">
        <v>5</v>
      </c>
      <c r="AI119" s="400" t="s">
        <v>5</v>
      </c>
      <c r="AJ119" s="400" t="s">
        <v>5</v>
      </c>
      <c r="AK119" s="400" t="s">
        <v>5</v>
      </c>
      <c r="AL119" s="400" t="s">
        <v>5</v>
      </c>
      <c r="AM119" s="400" t="s">
        <v>5</v>
      </c>
      <c r="AN119" s="400" t="s">
        <v>5</v>
      </c>
      <c r="AO119" s="400" t="s">
        <v>5</v>
      </c>
      <c r="AP119" s="400">
        <v>27.572475000000004</v>
      </c>
      <c r="AQ119" s="400" t="s">
        <v>5</v>
      </c>
      <c r="AR119" s="400" t="s">
        <v>5</v>
      </c>
      <c r="AS119" s="400" t="s">
        <v>5</v>
      </c>
      <c r="AT119" s="400" t="s">
        <v>5</v>
      </c>
      <c r="AU119" s="400" t="s">
        <v>5</v>
      </c>
      <c r="AV119" s="400" t="s">
        <v>5</v>
      </c>
      <c r="AW119" s="400" t="s">
        <v>5</v>
      </c>
      <c r="AX119" s="400" t="s">
        <v>5</v>
      </c>
      <c r="AY119" s="400" t="s">
        <v>5</v>
      </c>
      <c r="AZ119" s="400" t="s">
        <v>5</v>
      </c>
      <c r="BA119" s="400" t="s">
        <v>5</v>
      </c>
      <c r="BB119" s="400" t="s">
        <v>5</v>
      </c>
      <c r="BC119" s="400" t="s">
        <v>5</v>
      </c>
      <c r="BD119" s="400" t="s">
        <v>5</v>
      </c>
      <c r="BE119" s="400" t="s">
        <v>5</v>
      </c>
      <c r="BF119" s="400" t="s">
        <v>5</v>
      </c>
      <c r="BG119" s="400" t="s">
        <v>5</v>
      </c>
      <c r="BH119" s="400" t="s">
        <v>5</v>
      </c>
      <c r="BI119" s="400" t="s">
        <v>5</v>
      </c>
      <c r="BJ119" s="400" t="s">
        <v>5</v>
      </c>
      <c r="BK119" s="400" t="s">
        <v>5</v>
      </c>
      <c r="BL119" s="400">
        <v>3587.7600299999999</v>
      </c>
      <c r="BM119" s="400" t="s">
        <v>5</v>
      </c>
      <c r="BN119" s="400" t="s">
        <v>5</v>
      </c>
      <c r="BO119" s="400" t="s">
        <v>5</v>
      </c>
      <c r="BP119" s="400" t="s">
        <v>5</v>
      </c>
      <c r="BQ119" s="400" t="s">
        <v>5</v>
      </c>
      <c r="BR119" s="400" t="s">
        <v>5</v>
      </c>
      <c r="BS119" s="400" t="s">
        <v>5</v>
      </c>
      <c r="BT119" s="400">
        <v>167.31100000000001</v>
      </c>
    </row>
    <row r="120" spans="1:72">
      <c r="A120" s="418">
        <v>34</v>
      </c>
      <c r="B120" s="418" t="s">
        <v>1194</v>
      </c>
      <c r="C120" s="418"/>
      <c r="D120" s="418"/>
      <c r="E120" s="418" t="s">
        <v>1233</v>
      </c>
      <c r="F120" s="418"/>
      <c r="G120" s="418" t="s">
        <v>1234</v>
      </c>
      <c r="H120" s="418"/>
      <c r="I120" s="418"/>
      <c r="J120" s="419">
        <v>0</v>
      </c>
      <c r="K120" s="419">
        <v>0</v>
      </c>
      <c r="L120" s="419">
        <v>0</v>
      </c>
      <c r="M120" s="419">
        <v>0</v>
      </c>
      <c r="N120" s="419">
        <v>0</v>
      </c>
      <c r="O120" s="419">
        <v>0</v>
      </c>
      <c r="P120" s="419">
        <v>0</v>
      </c>
      <c r="Q120" s="419">
        <v>0</v>
      </c>
      <c r="R120" s="419">
        <v>0</v>
      </c>
      <c r="S120" s="419">
        <v>0</v>
      </c>
      <c r="T120" s="419">
        <v>0</v>
      </c>
      <c r="U120" s="419">
        <v>0</v>
      </c>
      <c r="V120" s="419">
        <v>0</v>
      </c>
      <c r="W120" s="419">
        <v>0</v>
      </c>
      <c r="X120" s="419">
        <v>0</v>
      </c>
      <c r="Y120" s="419">
        <v>24449.195777629586</v>
      </c>
      <c r="Z120" s="419">
        <v>0</v>
      </c>
      <c r="AA120" s="419">
        <v>0</v>
      </c>
      <c r="AB120" s="419">
        <v>0</v>
      </c>
      <c r="AC120" s="419">
        <v>0</v>
      </c>
      <c r="AD120" s="419">
        <v>0</v>
      </c>
      <c r="AE120" s="419">
        <v>185.28</v>
      </c>
      <c r="AF120" s="419">
        <v>0</v>
      </c>
      <c r="AG120" s="419">
        <v>0</v>
      </c>
      <c r="AH120" s="419">
        <v>0</v>
      </c>
      <c r="AI120" s="419">
        <v>0</v>
      </c>
      <c r="AJ120" s="419">
        <v>0</v>
      </c>
      <c r="AK120" s="419">
        <v>0</v>
      </c>
      <c r="AL120" s="419">
        <v>0</v>
      </c>
      <c r="AM120" s="419">
        <v>0</v>
      </c>
      <c r="AN120" s="419">
        <v>0</v>
      </c>
      <c r="AO120" s="419">
        <v>0</v>
      </c>
      <c r="AP120" s="419">
        <v>187.01123750000002</v>
      </c>
      <c r="AQ120" s="419">
        <v>0</v>
      </c>
      <c r="AR120" s="419">
        <v>0</v>
      </c>
      <c r="AS120" s="419">
        <v>0</v>
      </c>
      <c r="AT120" s="419">
        <v>0</v>
      </c>
      <c r="AU120" s="419">
        <v>0</v>
      </c>
      <c r="AV120" s="419">
        <v>0</v>
      </c>
      <c r="AW120" s="419">
        <v>0</v>
      </c>
      <c r="AX120" s="419">
        <v>0</v>
      </c>
      <c r="AY120" s="419">
        <v>0</v>
      </c>
      <c r="AZ120" s="419">
        <v>0</v>
      </c>
      <c r="BA120" s="419">
        <v>0</v>
      </c>
      <c r="BB120" s="419">
        <v>0</v>
      </c>
      <c r="BC120" s="419">
        <v>0</v>
      </c>
      <c r="BD120" s="419">
        <v>0</v>
      </c>
      <c r="BE120" s="419">
        <v>0</v>
      </c>
      <c r="BF120" s="419">
        <v>0</v>
      </c>
      <c r="BG120" s="419">
        <v>0</v>
      </c>
      <c r="BH120" s="419">
        <v>0</v>
      </c>
      <c r="BI120" s="419">
        <v>0</v>
      </c>
      <c r="BJ120" s="419">
        <v>0</v>
      </c>
      <c r="BK120" s="419">
        <v>0</v>
      </c>
      <c r="BL120" s="419">
        <v>23737.083279252023</v>
      </c>
      <c r="BM120" s="419">
        <v>0</v>
      </c>
      <c r="BN120" s="419">
        <v>0</v>
      </c>
      <c r="BO120" s="419">
        <v>0</v>
      </c>
      <c r="BP120" s="419">
        <v>0</v>
      </c>
      <c r="BQ120" s="419">
        <v>0</v>
      </c>
      <c r="BR120" s="419">
        <v>0</v>
      </c>
      <c r="BS120" s="419">
        <v>0</v>
      </c>
      <c r="BT120" s="419">
        <v>620.66790000000015</v>
      </c>
    </row>
    <row r="121" spans="1:72" outlineLevel="1">
      <c r="A121" s="404"/>
      <c r="B121" s="404" t="s">
        <v>1234</v>
      </c>
      <c r="C121" s="404" t="s">
        <v>1233</v>
      </c>
      <c r="D121" s="404">
        <v>1</v>
      </c>
      <c r="E121" s="404" t="s">
        <v>1233</v>
      </c>
      <c r="F121" s="404" t="s">
        <v>1235</v>
      </c>
      <c r="G121" s="404" t="s">
        <v>1236</v>
      </c>
      <c r="H121" s="404"/>
      <c r="I121" s="404"/>
      <c r="J121" s="400" t="s">
        <v>5</v>
      </c>
      <c r="K121" s="400" t="s">
        <v>5</v>
      </c>
      <c r="L121" s="400" t="s">
        <v>5</v>
      </c>
      <c r="M121" s="400" t="s">
        <v>5</v>
      </c>
      <c r="N121" s="400" t="s">
        <v>5</v>
      </c>
      <c r="O121" s="400" t="s">
        <v>5</v>
      </c>
      <c r="P121" s="400" t="s">
        <v>5</v>
      </c>
      <c r="Q121" s="400" t="s">
        <v>5</v>
      </c>
      <c r="R121" s="400" t="s">
        <v>5</v>
      </c>
      <c r="S121" s="400" t="s">
        <v>5</v>
      </c>
      <c r="T121" s="400" t="s">
        <v>5</v>
      </c>
      <c r="U121" s="400" t="s">
        <v>5</v>
      </c>
      <c r="V121" s="400" t="s">
        <v>5</v>
      </c>
      <c r="W121" s="400" t="s">
        <v>5</v>
      </c>
      <c r="X121" s="400" t="s">
        <v>5</v>
      </c>
      <c r="Y121" s="400">
        <v>24449.195777629586</v>
      </c>
      <c r="Z121" s="400" t="s">
        <v>5</v>
      </c>
      <c r="AA121" s="400" t="s">
        <v>5</v>
      </c>
      <c r="AB121" s="400" t="s">
        <v>5</v>
      </c>
      <c r="AC121" s="400" t="s">
        <v>5</v>
      </c>
      <c r="AD121" s="400" t="s">
        <v>5</v>
      </c>
      <c r="AE121" s="400">
        <v>185.28</v>
      </c>
      <c r="AF121" s="400" t="s">
        <v>5</v>
      </c>
      <c r="AG121" s="400" t="s">
        <v>5</v>
      </c>
      <c r="AH121" s="400" t="s">
        <v>5</v>
      </c>
      <c r="AI121" s="400" t="s">
        <v>5</v>
      </c>
      <c r="AJ121" s="400" t="s">
        <v>5</v>
      </c>
      <c r="AK121" s="400" t="s">
        <v>5</v>
      </c>
      <c r="AL121" s="400" t="s">
        <v>5</v>
      </c>
      <c r="AM121" s="400" t="s">
        <v>5</v>
      </c>
      <c r="AN121" s="400" t="s">
        <v>5</v>
      </c>
      <c r="AO121" s="400" t="s">
        <v>5</v>
      </c>
      <c r="AP121" s="400">
        <v>187.01123750000002</v>
      </c>
      <c r="AQ121" s="400" t="s">
        <v>5</v>
      </c>
      <c r="AR121" s="400" t="s">
        <v>5</v>
      </c>
      <c r="AS121" s="400" t="s">
        <v>5</v>
      </c>
      <c r="AT121" s="400" t="s">
        <v>5</v>
      </c>
      <c r="AU121" s="400" t="s">
        <v>5</v>
      </c>
      <c r="AV121" s="400" t="s">
        <v>5</v>
      </c>
      <c r="AW121" s="400" t="s">
        <v>5</v>
      </c>
      <c r="AX121" s="400" t="s">
        <v>5</v>
      </c>
      <c r="AY121" s="400" t="s">
        <v>5</v>
      </c>
      <c r="AZ121" s="400" t="s">
        <v>5</v>
      </c>
      <c r="BA121" s="400" t="s">
        <v>5</v>
      </c>
      <c r="BB121" s="400" t="s">
        <v>5</v>
      </c>
      <c r="BC121" s="400" t="s">
        <v>5</v>
      </c>
      <c r="BD121" s="400" t="s">
        <v>5</v>
      </c>
      <c r="BE121" s="400" t="s">
        <v>5</v>
      </c>
      <c r="BF121" s="400" t="s">
        <v>5</v>
      </c>
      <c r="BG121" s="400" t="s">
        <v>5</v>
      </c>
      <c r="BH121" s="400" t="s">
        <v>5</v>
      </c>
      <c r="BI121" s="400" t="s">
        <v>5</v>
      </c>
      <c r="BJ121" s="400" t="s">
        <v>5</v>
      </c>
      <c r="BK121" s="400" t="s">
        <v>5</v>
      </c>
      <c r="BL121" s="400">
        <v>23737.083279252023</v>
      </c>
      <c r="BM121" s="400" t="s">
        <v>5</v>
      </c>
      <c r="BN121" s="400" t="s">
        <v>5</v>
      </c>
      <c r="BO121" s="400" t="s">
        <v>5</v>
      </c>
      <c r="BP121" s="400" t="s">
        <v>5</v>
      </c>
      <c r="BQ121" s="400" t="s">
        <v>5</v>
      </c>
      <c r="BR121" s="400" t="s">
        <v>5</v>
      </c>
      <c r="BS121" s="400" t="s">
        <v>5</v>
      </c>
      <c r="BT121" s="400">
        <v>620.66790000000015</v>
      </c>
    </row>
    <row r="122" spans="1:72">
      <c r="A122" s="418">
        <v>35</v>
      </c>
      <c r="B122" s="418" t="s">
        <v>1194</v>
      </c>
      <c r="C122" s="418"/>
      <c r="D122" s="418"/>
      <c r="E122" s="418" t="s">
        <v>1237</v>
      </c>
      <c r="F122" s="418"/>
      <c r="G122" s="418" t="s">
        <v>1238</v>
      </c>
      <c r="H122" s="418"/>
      <c r="I122" s="418"/>
      <c r="J122" s="419">
        <v>0</v>
      </c>
      <c r="K122" s="419">
        <v>0</v>
      </c>
      <c r="L122" s="419">
        <v>0</v>
      </c>
      <c r="M122" s="419">
        <v>0</v>
      </c>
      <c r="N122" s="419">
        <v>0</v>
      </c>
      <c r="O122" s="419">
        <v>0</v>
      </c>
      <c r="P122" s="419">
        <v>0</v>
      </c>
      <c r="Q122" s="419">
        <v>0</v>
      </c>
      <c r="R122" s="419">
        <v>0</v>
      </c>
      <c r="S122" s="419">
        <v>0</v>
      </c>
      <c r="T122" s="419">
        <v>0</v>
      </c>
      <c r="U122" s="419">
        <v>0</v>
      </c>
      <c r="V122" s="419">
        <v>0</v>
      </c>
      <c r="W122" s="419">
        <v>0</v>
      </c>
      <c r="X122" s="419">
        <v>0</v>
      </c>
      <c r="Y122" s="419">
        <v>6026.5921862499999</v>
      </c>
      <c r="Z122" s="419">
        <v>0</v>
      </c>
      <c r="AA122" s="419">
        <v>0</v>
      </c>
      <c r="AB122" s="419">
        <v>0</v>
      </c>
      <c r="AC122" s="419">
        <v>0</v>
      </c>
      <c r="AD122" s="419">
        <v>0</v>
      </c>
      <c r="AE122" s="419">
        <v>26</v>
      </c>
      <c r="AF122" s="419">
        <v>0</v>
      </c>
      <c r="AG122" s="419">
        <v>0</v>
      </c>
      <c r="AH122" s="419">
        <v>0</v>
      </c>
      <c r="AI122" s="419">
        <v>0</v>
      </c>
      <c r="AJ122" s="419">
        <v>0</v>
      </c>
      <c r="AK122" s="419">
        <v>0</v>
      </c>
      <c r="AL122" s="419">
        <v>0</v>
      </c>
      <c r="AM122" s="419">
        <v>0</v>
      </c>
      <c r="AN122" s="419">
        <v>0</v>
      </c>
      <c r="AO122" s="419">
        <v>0</v>
      </c>
      <c r="AP122" s="419">
        <v>31.382809999999999</v>
      </c>
      <c r="AQ122" s="419">
        <v>0</v>
      </c>
      <c r="AR122" s="419">
        <v>0</v>
      </c>
      <c r="AS122" s="419">
        <v>0</v>
      </c>
      <c r="AT122" s="419">
        <v>0</v>
      </c>
      <c r="AU122" s="419">
        <v>0</v>
      </c>
      <c r="AV122" s="419">
        <v>0</v>
      </c>
      <c r="AW122" s="419">
        <v>0</v>
      </c>
      <c r="AX122" s="419">
        <v>0</v>
      </c>
      <c r="AY122" s="419">
        <v>0</v>
      </c>
      <c r="AZ122" s="419">
        <v>0</v>
      </c>
      <c r="BA122" s="419">
        <v>0</v>
      </c>
      <c r="BB122" s="419">
        <v>0</v>
      </c>
      <c r="BC122" s="419">
        <v>0</v>
      </c>
      <c r="BD122" s="419">
        <v>0</v>
      </c>
      <c r="BE122" s="419">
        <v>0</v>
      </c>
      <c r="BF122" s="419">
        <v>0</v>
      </c>
      <c r="BG122" s="419">
        <v>0</v>
      </c>
      <c r="BH122" s="419">
        <v>0</v>
      </c>
      <c r="BI122" s="419">
        <v>0</v>
      </c>
      <c r="BJ122" s="419">
        <v>0</v>
      </c>
      <c r="BK122" s="419">
        <v>0</v>
      </c>
      <c r="BL122" s="419">
        <v>5851.060375</v>
      </c>
      <c r="BM122" s="419">
        <v>0</v>
      </c>
      <c r="BN122" s="419">
        <v>0</v>
      </c>
      <c r="BO122" s="419">
        <v>0</v>
      </c>
      <c r="BP122" s="419">
        <v>0</v>
      </c>
      <c r="BQ122" s="419">
        <v>0</v>
      </c>
      <c r="BR122" s="419">
        <v>0</v>
      </c>
      <c r="BS122" s="419">
        <v>0</v>
      </c>
      <c r="BT122" s="419">
        <v>149.47200000000001</v>
      </c>
    </row>
    <row r="123" spans="1:72" outlineLevel="1">
      <c r="A123" s="404"/>
      <c r="B123" s="404" t="s">
        <v>1238</v>
      </c>
      <c r="C123" s="404" t="s">
        <v>1237</v>
      </c>
      <c r="D123" s="404">
        <v>1</v>
      </c>
      <c r="E123" s="404" t="s">
        <v>1237</v>
      </c>
      <c r="F123" s="404" t="s">
        <v>1239</v>
      </c>
      <c r="G123" s="404" t="s">
        <v>1240</v>
      </c>
      <c r="H123" s="404"/>
      <c r="I123" s="404"/>
      <c r="J123" s="400" t="s">
        <v>5</v>
      </c>
      <c r="K123" s="400" t="s">
        <v>5</v>
      </c>
      <c r="L123" s="400" t="s">
        <v>5</v>
      </c>
      <c r="M123" s="400" t="s">
        <v>5</v>
      </c>
      <c r="N123" s="400" t="s">
        <v>5</v>
      </c>
      <c r="O123" s="400" t="s">
        <v>5</v>
      </c>
      <c r="P123" s="400" t="s">
        <v>5</v>
      </c>
      <c r="Q123" s="400" t="s">
        <v>5</v>
      </c>
      <c r="R123" s="400" t="s">
        <v>5</v>
      </c>
      <c r="S123" s="400" t="s">
        <v>5</v>
      </c>
      <c r="T123" s="400" t="s">
        <v>5</v>
      </c>
      <c r="U123" s="400" t="s">
        <v>5</v>
      </c>
      <c r="V123" s="400" t="s">
        <v>5</v>
      </c>
      <c r="W123" s="400" t="s">
        <v>5</v>
      </c>
      <c r="X123" s="400" t="s">
        <v>5</v>
      </c>
      <c r="Y123" s="400">
        <v>6026.5921862499999</v>
      </c>
      <c r="Z123" s="400" t="s">
        <v>5</v>
      </c>
      <c r="AA123" s="400" t="s">
        <v>5</v>
      </c>
      <c r="AB123" s="400" t="s">
        <v>5</v>
      </c>
      <c r="AC123" s="400" t="s">
        <v>5</v>
      </c>
      <c r="AD123" s="400" t="s">
        <v>5</v>
      </c>
      <c r="AE123" s="400">
        <v>26</v>
      </c>
      <c r="AF123" s="400" t="s">
        <v>5</v>
      </c>
      <c r="AG123" s="400" t="s">
        <v>5</v>
      </c>
      <c r="AH123" s="400" t="s">
        <v>5</v>
      </c>
      <c r="AI123" s="400" t="s">
        <v>5</v>
      </c>
      <c r="AJ123" s="400" t="s">
        <v>5</v>
      </c>
      <c r="AK123" s="400" t="s">
        <v>5</v>
      </c>
      <c r="AL123" s="400" t="s">
        <v>5</v>
      </c>
      <c r="AM123" s="400" t="s">
        <v>5</v>
      </c>
      <c r="AN123" s="400" t="s">
        <v>5</v>
      </c>
      <c r="AO123" s="400" t="s">
        <v>5</v>
      </c>
      <c r="AP123" s="400">
        <v>31.382809999999999</v>
      </c>
      <c r="AQ123" s="400" t="s">
        <v>5</v>
      </c>
      <c r="AR123" s="400" t="s">
        <v>5</v>
      </c>
      <c r="AS123" s="400" t="s">
        <v>5</v>
      </c>
      <c r="AT123" s="400" t="s">
        <v>5</v>
      </c>
      <c r="AU123" s="400" t="s">
        <v>5</v>
      </c>
      <c r="AV123" s="400" t="s">
        <v>5</v>
      </c>
      <c r="AW123" s="400" t="s">
        <v>5</v>
      </c>
      <c r="AX123" s="400" t="s">
        <v>5</v>
      </c>
      <c r="AY123" s="400" t="s">
        <v>5</v>
      </c>
      <c r="AZ123" s="400" t="s">
        <v>5</v>
      </c>
      <c r="BA123" s="400" t="s">
        <v>5</v>
      </c>
      <c r="BB123" s="400" t="s">
        <v>5</v>
      </c>
      <c r="BC123" s="400" t="s">
        <v>5</v>
      </c>
      <c r="BD123" s="400" t="s">
        <v>5</v>
      </c>
      <c r="BE123" s="400" t="s">
        <v>5</v>
      </c>
      <c r="BF123" s="400" t="s">
        <v>5</v>
      </c>
      <c r="BG123" s="400" t="s">
        <v>5</v>
      </c>
      <c r="BH123" s="400" t="s">
        <v>5</v>
      </c>
      <c r="BI123" s="400" t="s">
        <v>5</v>
      </c>
      <c r="BJ123" s="400" t="s">
        <v>5</v>
      </c>
      <c r="BK123" s="400" t="s">
        <v>5</v>
      </c>
      <c r="BL123" s="400">
        <v>5851.060375</v>
      </c>
      <c r="BM123" s="400" t="s">
        <v>5</v>
      </c>
      <c r="BN123" s="400" t="s">
        <v>5</v>
      </c>
      <c r="BO123" s="400" t="s">
        <v>5</v>
      </c>
      <c r="BP123" s="400" t="s">
        <v>5</v>
      </c>
      <c r="BQ123" s="400" t="s">
        <v>5</v>
      </c>
      <c r="BR123" s="400" t="s">
        <v>5</v>
      </c>
      <c r="BS123" s="400" t="s">
        <v>5</v>
      </c>
      <c r="BT123" s="400">
        <v>149.47200000000001</v>
      </c>
    </row>
    <row r="124" spans="1:72">
      <c r="A124" s="418">
        <v>36</v>
      </c>
      <c r="B124" s="418" t="s">
        <v>1194</v>
      </c>
      <c r="C124" s="418"/>
      <c r="D124" s="418"/>
      <c r="E124" s="418" t="s">
        <v>1241</v>
      </c>
      <c r="F124" s="418"/>
      <c r="G124" s="418" t="s">
        <v>1242</v>
      </c>
      <c r="H124" s="418"/>
      <c r="I124" s="418"/>
      <c r="J124" s="419">
        <v>0</v>
      </c>
      <c r="K124" s="419">
        <v>0</v>
      </c>
      <c r="L124" s="419">
        <v>0</v>
      </c>
      <c r="M124" s="419">
        <v>0</v>
      </c>
      <c r="N124" s="419">
        <v>0</v>
      </c>
      <c r="O124" s="419">
        <v>0</v>
      </c>
      <c r="P124" s="419">
        <v>0</v>
      </c>
      <c r="Q124" s="419">
        <v>0</v>
      </c>
      <c r="R124" s="419">
        <v>0</v>
      </c>
      <c r="S124" s="419">
        <v>0</v>
      </c>
      <c r="T124" s="419">
        <v>0</v>
      </c>
      <c r="U124" s="419">
        <v>0</v>
      </c>
      <c r="V124" s="419">
        <v>0</v>
      </c>
      <c r="W124" s="419">
        <v>0</v>
      </c>
      <c r="X124" s="419">
        <v>0</v>
      </c>
      <c r="Y124" s="419">
        <v>6026.5921862499999</v>
      </c>
      <c r="Z124" s="419">
        <v>0</v>
      </c>
      <c r="AA124" s="419">
        <v>0</v>
      </c>
      <c r="AB124" s="419">
        <v>0</v>
      </c>
      <c r="AC124" s="419">
        <v>0</v>
      </c>
      <c r="AD124" s="419">
        <v>0</v>
      </c>
      <c r="AE124" s="419">
        <v>26</v>
      </c>
      <c r="AF124" s="419">
        <v>0</v>
      </c>
      <c r="AG124" s="419">
        <v>0</v>
      </c>
      <c r="AH124" s="419">
        <v>0</v>
      </c>
      <c r="AI124" s="419">
        <v>0</v>
      </c>
      <c r="AJ124" s="419">
        <v>0</v>
      </c>
      <c r="AK124" s="419">
        <v>0</v>
      </c>
      <c r="AL124" s="419">
        <v>0</v>
      </c>
      <c r="AM124" s="419">
        <v>0</v>
      </c>
      <c r="AN124" s="419">
        <v>0</v>
      </c>
      <c r="AO124" s="419">
        <v>0</v>
      </c>
      <c r="AP124" s="419">
        <v>31.382809999999999</v>
      </c>
      <c r="AQ124" s="419">
        <v>0</v>
      </c>
      <c r="AR124" s="419">
        <v>0</v>
      </c>
      <c r="AS124" s="419">
        <v>0</v>
      </c>
      <c r="AT124" s="419">
        <v>0</v>
      </c>
      <c r="AU124" s="419">
        <v>0</v>
      </c>
      <c r="AV124" s="419">
        <v>0</v>
      </c>
      <c r="AW124" s="419">
        <v>0</v>
      </c>
      <c r="AX124" s="419">
        <v>0</v>
      </c>
      <c r="AY124" s="419">
        <v>0</v>
      </c>
      <c r="AZ124" s="419">
        <v>0</v>
      </c>
      <c r="BA124" s="419">
        <v>0</v>
      </c>
      <c r="BB124" s="419">
        <v>0</v>
      </c>
      <c r="BC124" s="419">
        <v>0</v>
      </c>
      <c r="BD124" s="419">
        <v>0</v>
      </c>
      <c r="BE124" s="419">
        <v>0</v>
      </c>
      <c r="BF124" s="419">
        <v>0</v>
      </c>
      <c r="BG124" s="419">
        <v>0</v>
      </c>
      <c r="BH124" s="419">
        <v>0</v>
      </c>
      <c r="BI124" s="419">
        <v>0</v>
      </c>
      <c r="BJ124" s="419">
        <v>0</v>
      </c>
      <c r="BK124" s="419">
        <v>0</v>
      </c>
      <c r="BL124" s="419">
        <v>5851.060375</v>
      </c>
      <c r="BM124" s="419">
        <v>0</v>
      </c>
      <c r="BN124" s="419">
        <v>0</v>
      </c>
      <c r="BO124" s="419">
        <v>0</v>
      </c>
      <c r="BP124" s="419">
        <v>0</v>
      </c>
      <c r="BQ124" s="419">
        <v>0</v>
      </c>
      <c r="BR124" s="419">
        <v>0</v>
      </c>
      <c r="BS124" s="419">
        <v>0</v>
      </c>
      <c r="BT124" s="419">
        <v>149.47200000000001</v>
      </c>
    </row>
    <row r="125" spans="1:72" outlineLevel="1">
      <c r="A125" s="404"/>
      <c r="B125" s="404" t="s">
        <v>1242</v>
      </c>
      <c r="C125" s="404" t="s">
        <v>1241</v>
      </c>
      <c r="D125" s="404">
        <v>1</v>
      </c>
      <c r="E125" s="404" t="s">
        <v>1241</v>
      </c>
      <c r="F125" s="404" t="s">
        <v>1239</v>
      </c>
      <c r="G125" s="404" t="s">
        <v>1243</v>
      </c>
      <c r="H125" s="404"/>
      <c r="I125" s="404"/>
      <c r="J125" s="400" t="s">
        <v>5</v>
      </c>
      <c r="K125" s="400" t="s">
        <v>5</v>
      </c>
      <c r="L125" s="400" t="s">
        <v>5</v>
      </c>
      <c r="M125" s="400" t="s">
        <v>5</v>
      </c>
      <c r="N125" s="400" t="s">
        <v>5</v>
      </c>
      <c r="O125" s="400" t="s">
        <v>5</v>
      </c>
      <c r="P125" s="400" t="s">
        <v>5</v>
      </c>
      <c r="Q125" s="400" t="s">
        <v>5</v>
      </c>
      <c r="R125" s="400" t="s">
        <v>5</v>
      </c>
      <c r="S125" s="400" t="s">
        <v>5</v>
      </c>
      <c r="T125" s="400" t="s">
        <v>5</v>
      </c>
      <c r="U125" s="400" t="s">
        <v>5</v>
      </c>
      <c r="V125" s="400" t="s">
        <v>5</v>
      </c>
      <c r="W125" s="400" t="s">
        <v>5</v>
      </c>
      <c r="X125" s="400" t="s">
        <v>5</v>
      </c>
      <c r="Y125" s="400">
        <v>6026.5921862499999</v>
      </c>
      <c r="Z125" s="400" t="s">
        <v>5</v>
      </c>
      <c r="AA125" s="400" t="s">
        <v>5</v>
      </c>
      <c r="AB125" s="400" t="s">
        <v>5</v>
      </c>
      <c r="AC125" s="400" t="s">
        <v>5</v>
      </c>
      <c r="AD125" s="400" t="s">
        <v>5</v>
      </c>
      <c r="AE125" s="400">
        <v>26</v>
      </c>
      <c r="AF125" s="400" t="s">
        <v>5</v>
      </c>
      <c r="AG125" s="400" t="s">
        <v>5</v>
      </c>
      <c r="AH125" s="400" t="s">
        <v>5</v>
      </c>
      <c r="AI125" s="400" t="s">
        <v>5</v>
      </c>
      <c r="AJ125" s="400" t="s">
        <v>5</v>
      </c>
      <c r="AK125" s="400" t="s">
        <v>5</v>
      </c>
      <c r="AL125" s="400" t="s">
        <v>5</v>
      </c>
      <c r="AM125" s="400" t="s">
        <v>5</v>
      </c>
      <c r="AN125" s="400" t="s">
        <v>5</v>
      </c>
      <c r="AO125" s="400" t="s">
        <v>5</v>
      </c>
      <c r="AP125" s="400">
        <v>31.382809999999999</v>
      </c>
      <c r="AQ125" s="400" t="s">
        <v>5</v>
      </c>
      <c r="AR125" s="400" t="s">
        <v>5</v>
      </c>
      <c r="AS125" s="400" t="s">
        <v>5</v>
      </c>
      <c r="AT125" s="400" t="s">
        <v>5</v>
      </c>
      <c r="AU125" s="400" t="s">
        <v>5</v>
      </c>
      <c r="AV125" s="400" t="s">
        <v>5</v>
      </c>
      <c r="AW125" s="400" t="s">
        <v>5</v>
      </c>
      <c r="AX125" s="400" t="s">
        <v>5</v>
      </c>
      <c r="AY125" s="400" t="s">
        <v>5</v>
      </c>
      <c r="AZ125" s="400" t="s">
        <v>5</v>
      </c>
      <c r="BA125" s="400" t="s">
        <v>5</v>
      </c>
      <c r="BB125" s="400" t="s">
        <v>5</v>
      </c>
      <c r="BC125" s="400" t="s">
        <v>5</v>
      </c>
      <c r="BD125" s="400" t="s">
        <v>5</v>
      </c>
      <c r="BE125" s="400" t="s">
        <v>5</v>
      </c>
      <c r="BF125" s="400" t="s">
        <v>5</v>
      </c>
      <c r="BG125" s="400" t="s">
        <v>5</v>
      </c>
      <c r="BH125" s="400" t="s">
        <v>5</v>
      </c>
      <c r="BI125" s="400" t="s">
        <v>5</v>
      </c>
      <c r="BJ125" s="400" t="s">
        <v>5</v>
      </c>
      <c r="BK125" s="400" t="s">
        <v>5</v>
      </c>
      <c r="BL125" s="400">
        <v>5851.060375</v>
      </c>
      <c r="BM125" s="400" t="s">
        <v>5</v>
      </c>
      <c r="BN125" s="400" t="s">
        <v>5</v>
      </c>
      <c r="BO125" s="400" t="s">
        <v>5</v>
      </c>
      <c r="BP125" s="400" t="s">
        <v>5</v>
      </c>
      <c r="BQ125" s="400" t="s">
        <v>5</v>
      </c>
      <c r="BR125" s="400" t="s">
        <v>5</v>
      </c>
      <c r="BS125" s="400" t="s">
        <v>5</v>
      </c>
      <c r="BT125" s="400">
        <v>149.47200000000001</v>
      </c>
    </row>
    <row r="126" spans="1:72">
      <c r="A126" s="418">
        <v>37</v>
      </c>
      <c r="B126" s="418" t="s">
        <v>1244</v>
      </c>
      <c r="C126" s="418"/>
      <c r="D126" s="418"/>
      <c r="E126" s="418" t="s">
        <v>1245</v>
      </c>
      <c r="F126" s="418"/>
      <c r="G126" s="418" t="s">
        <v>1246</v>
      </c>
      <c r="H126" s="418"/>
      <c r="I126" s="418"/>
      <c r="J126" s="419">
        <v>0</v>
      </c>
      <c r="K126" s="419">
        <v>4928.4858999999997</v>
      </c>
      <c r="L126" s="419">
        <v>0</v>
      </c>
      <c r="M126" s="419">
        <v>0</v>
      </c>
      <c r="N126" s="419">
        <v>0</v>
      </c>
      <c r="O126" s="419">
        <v>0</v>
      </c>
      <c r="P126" s="419">
        <v>0</v>
      </c>
      <c r="Q126" s="419">
        <v>0</v>
      </c>
      <c r="R126" s="419">
        <v>0</v>
      </c>
      <c r="S126" s="419">
        <v>0</v>
      </c>
      <c r="T126" s="419">
        <v>0</v>
      </c>
      <c r="U126" s="419">
        <v>0</v>
      </c>
      <c r="V126" s="419">
        <v>0</v>
      </c>
      <c r="W126" s="419">
        <v>0</v>
      </c>
      <c r="X126" s="419">
        <v>0</v>
      </c>
      <c r="Y126" s="419">
        <v>0</v>
      </c>
      <c r="Z126" s="419">
        <v>0</v>
      </c>
      <c r="AA126" s="419">
        <v>0</v>
      </c>
      <c r="AB126" s="419">
        <v>0</v>
      </c>
      <c r="AC126" s="419">
        <v>0</v>
      </c>
      <c r="AD126" s="419">
        <v>0</v>
      </c>
      <c r="AE126" s="419">
        <v>0</v>
      </c>
      <c r="AF126" s="419">
        <v>0</v>
      </c>
      <c r="AG126" s="419">
        <v>0</v>
      </c>
      <c r="AH126" s="419">
        <v>0</v>
      </c>
      <c r="AI126" s="419">
        <v>0</v>
      </c>
      <c r="AJ126" s="419">
        <v>0</v>
      </c>
      <c r="AK126" s="419">
        <v>0</v>
      </c>
      <c r="AL126" s="419">
        <v>0</v>
      </c>
      <c r="AM126" s="419">
        <v>0</v>
      </c>
      <c r="AN126" s="419">
        <v>0</v>
      </c>
      <c r="AO126" s="419">
        <v>0</v>
      </c>
      <c r="AP126" s="419">
        <v>0</v>
      </c>
      <c r="AQ126" s="419">
        <v>0</v>
      </c>
      <c r="AR126" s="419">
        <v>0</v>
      </c>
      <c r="AS126" s="419">
        <v>0</v>
      </c>
      <c r="AT126" s="419">
        <v>0</v>
      </c>
      <c r="AU126" s="419">
        <v>0</v>
      </c>
      <c r="AV126" s="419">
        <v>0</v>
      </c>
      <c r="AW126" s="419">
        <v>0</v>
      </c>
      <c r="AX126" s="419">
        <v>0</v>
      </c>
      <c r="AY126" s="419">
        <v>0</v>
      </c>
      <c r="AZ126" s="419">
        <v>19943.599999999999</v>
      </c>
      <c r="BA126" s="419">
        <v>0</v>
      </c>
      <c r="BB126" s="419">
        <v>0</v>
      </c>
      <c r="BC126" s="419">
        <v>0</v>
      </c>
      <c r="BD126" s="419">
        <v>0</v>
      </c>
      <c r="BE126" s="419">
        <v>0</v>
      </c>
      <c r="BF126" s="419">
        <v>0</v>
      </c>
      <c r="BG126" s="419">
        <v>0</v>
      </c>
      <c r="BH126" s="419">
        <v>0</v>
      </c>
      <c r="BI126" s="419">
        <v>0</v>
      </c>
      <c r="BJ126" s="419">
        <v>0</v>
      </c>
      <c r="BK126" s="419">
        <v>0</v>
      </c>
      <c r="BL126" s="419">
        <v>0</v>
      </c>
      <c r="BM126" s="419">
        <v>0</v>
      </c>
      <c r="BN126" s="419">
        <v>0</v>
      </c>
      <c r="BO126" s="419">
        <v>0</v>
      </c>
      <c r="BP126" s="419">
        <v>0</v>
      </c>
      <c r="BQ126" s="419">
        <v>0</v>
      </c>
      <c r="BR126" s="419">
        <v>0</v>
      </c>
      <c r="BS126" s="419">
        <v>0</v>
      </c>
      <c r="BT126" s="419">
        <v>0</v>
      </c>
    </row>
    <row r="127" spans="1:72" outlineLevel="1">
      <c r="A127" s="404"/>
      <c r="B127" s="404" t="s">
        <v>1246</v>
      </c>
      <c r="C127" s="404" t="s">
        <v>1245</v>
      </c>
      <c r="D127" s="404">
        <v>1</v>
      </c>
      <c r="E127" s="404" t="s">
        <v>1247</v>
      </c>
      <c r="F127" s="404" t="s">
        <v>1248</v>
      </c>
      <c r="G127" s="404" t="s">
        <v>1249</v>
      </c>
      <c r="H127" s="404"/>
      <c r="I127" s="404"/>
      <c r="J127" s="400" t="s">
        <v>5</v>
      </c>
      <c r="K127" s="400">
        <v>4928.4858999999997</v>
      </c>
      <c r="L127" s="400" t="s">
        <v>5</v>
      </c>
      <c r="M127" s="400" t="s">
        <v>5</v>
      </c>
      <c r="N127" s="400" t="s">
        <v>5</v>
      </c>
      <c r="O127" s="400" t="s">
        <v>5</v>
      </c>
      <c r="P127" s="400" t="s">
        <v>5</v>
      </c>
      <c r="Q127" s="400" t="s">
        <v>5</v>
      </c>
      <c r="R127" s="400" t="s">
        <v>5</v>
      </c>
      <c r="S127" s="400" t="s">
        <v>5</v>
      </c>
      <c r="T127" s="400" t="s">
        <v>5</v>
      </c>
      <c r="U127" s="400" t="s">
        <v>5</v>
      </c>
      <c r="V127" s="400" t="s">
        <v>5</v>
      </c>
      <c r="W127" s="400" t="s">
        <v>5</v>
      </c>
      <c r="X127" s="400" t="s">
        <v>5</v>
      </c>
      <c r="Y127" s="400" t="s">
        <v>5</v>
      </c>
      <c r="Z127" s="400" t="s">
        <v>5</v>
      </c>
      <c r="AA127" s="400" t="s">
        <v>5</v>
      </c>
      <c r="AB127" s="400" t="s">
        <v>5</v>
      </c>
      <c r="AC127" s="400" t="s">
        <v>5</v>
      </c>
      <c r="AD127" s="400" t="s">
        <v>5</v>
      </c>
      <c r="AE127" s="400" t="s">
        <v>5</v>
      </c>
      <c r="AF127" s="400" t="s">
        <v>5</v>
      </c>
      <c r="AG127" s="400" t="s">
        <v>5</v>
      </c>
      <c r="AH127" s="400" t="s">
        <v>5</v>
      </c>
      <c r="AI127" s="400" t="s">
        <v>5</v>
      </c>
      <c r="AJ127" s="400" t="s">
        <v>5</v>
      </c>
      <c r="AK127" s="400" t="s">
        <v>5</v>
      </c>
      <c r="AL127" s="400" t="s">
        <v>5</v>
      </c>
      <c r="AM127" s="400" t="s">
        <v>5</v>
      </c>
      <c r="AN127" s="400" t="s">
        <v>5</v>
      </c>
      <c r="AO127" s="400" t="s">
        <v>5</v>
      </c>
      <c r="AP127" s="400" t="s">
        <v>5</v>
      </c>
      <c r="AQ127" s="400" t="s">
        <v>5</v>
      </c>
      <c r="AR127" s="400" t="s">
        <v>5</v>
      </c>
      <c r="AS127" s="400" t="s">
        <v>5</v>
      </c>
      <c r="AT127" s="400" t="s">
        <v>5</v>
      </c>
      <c r="AU127" s="400" t="s">
        <v>5</v>
      </c>
      <c r="AV127" s="400" t="s">
        <v>5</v>
      </c>
      <c r="AW127" s="400" t="s">
        <v>5</v>
      </c>
      <c r="AX127" s="400" t="s">
        <v>5</v>
      </c>
      <c r="AY127" s="400" t="s">
        <v>5</v>
      </c>
      <c r="AZ127" s="400">
        <v>19943.599999999999</v>
      </c>
      <c r="BA127" s="400" t="s">
        <v>5</v>
      </c>
      <c r="BB127" s="400" t="s">
        <v>5</v>
      </c>
      <c r="BC127" s="400" t="s">
        <v>5</v>
      </c>
      <c r="BD127" s="400" t="s">
        <v>5</v>
      </c>
      <c r="BE127" s="400" t="s">
        <v>5</v>
      </c>
      <c r="BF127" s="400" t="s">
        <v>5</v>
      </c>
      <c r="BG127" s="400" t="s">
        <v>5</v>
      </c>
      <c r="BH127" s="400" t="s">
        <v>5</v>
      </c>
      <c r="BI127" s="400" t="s">
        <v>5</v>
      </c>
      <c r="BJ127" s="400" t="s">
        <v>5</v>
      </c>
      <c r="BK127" s="400" t="s">
        <v>5</v>
      </c>
      <c r="BL127" s="400" t="s">
        <v>5</v>
      </c>
      <c r="BM127" s="400" t="s">
        <v>5</v>
      </c>
      <c r="BN127" s="400" t="s">
        <v>5</v>
      </c>
      <c r="BO127" s="400" t="s">
        <v>5</v>
      </c>
      <c r="BP127" s="400" t="s">
        <v>5</v>
      </c>
      <c r="BQ127" s="400" t="s">
        <v>5</v>
      </c>
      <c r="BR127" s="400" t="s">
        <v>5</v>
      </c>
      <c r="BS127" s="400" t="s">
        <v>5</v>
      </c>
      <c r="BT127" s="400" t="s">
        <v>5</v>
      </c>
    </row>
    <row r="128" spans="1:72">
      <c r="A128" s="418">
        <v>38</v>
      </c>
      <c r="B128" s="418" t="s">
        <v>1244</v>
      </c>
      <c r="C128" s="418"/>
      <c r="D128" s="418"/>
      <c r="E128" s="418" t="s">
        <v>1250</v>
      </c>
      <c r="F128" s="418"/>
      <c r="G128" s="418" t="s">
        <v>1251</v>
      </c>
      <c r="H128" s="418"/>
      <c r="I128" s="418"/>
      <c r="J128" s="419">
        <v>0</v>
      </c>
      <c r="K128" s="419">
        <v>0</v>
      </c>
      <c r="L128" s="419">
        <v>1</v>
      </c>
      <c r="M128" s="419">
        <v>0</v>
      </c>
      <c r="N128" s="419">
        <v>0</v>
      </c>
      <c r="O128" s="419">
        <v>0</v>
      </c>
      <c r="P128" s="419">
        <v>0</v>
      </c>
      <c r="Q128" s="419">
        <v>0</v>
      </c>
      <c r="R128" s="419">
        <v>0</v>
      </c>
      <c r="S128" s="419">
        <v>0</v>
      </c>
      <c r="T128" s="419">
        <v>0</v>
      </c>
      <c r="U128" s="419">
        <v>0</v>
      </c>
      <c r="V128" s="419">
        <v>0</v>
      </c>
      <c r="W128" s="419">
        <v>0</v>
      </c>
      <c r="X128" s="419">
        <v>0</v>
      </c>
      <c r="Y128" s="419">
        <v>0</v>
      </c>
      <c r="Z128" s="419">
        <v>0</v>
      </c>
      <c r="AA128" s="419">
        <v>0</v>
      </c>
      <c r="AB128" s="419">
        <v>0</v>
      </c>
      <c r="AC128" s="419">
        <v>0</v>
      </c>
      <c r="AD128" s="419">
        <v>0</v>
      </c>
      <c r="AE128" s="419">
        <v>0</v>
      </c>
      <c r="AF128" s="419">
        <v>0</v>
      </c>
      <c r="AG128" s="419">
        <v>0</v>
      </c>
      <c r="AH128" s="419">
        <v>0</v>
      </c>
      <c r="AI128" s="419">
        <v>0</v>
      </c>
      <c r="AJ128" s="419">
        <v>0</v>
      </c>
      <c r="AK128" s="419">
        <v>0</v>
      </c>
      <c r="AL128" s="419">
        <v>0</v>
      </c>
      <c r="AM128" s="419">
        <v>0</v>
      </c>
      <c r="AN128" s="419">
        <v>0</v>
      </c>
      <c r="AO128" s="419">
        <v>0</v>
      </c>
      <c r="AP128" s="419">
        <v>0</v>
      </c>
      <c r="AQ128" s="419">
        <v>0</v>
      </c>
      <c r="AR128" s="419">
        <v>0</v>
      </c>
      <c r="AS128" s="419">
        <v>0</v>
      </c>
      <c r="AT128" s="419">
        <v>0</v>
      </c>
      <c r="AU128" s="419">
        <v>0</v>
      </c>
      <c r="AV128" s="419">
        <v>0</v>
      </c>
      <c r="AW128" s="419">
        <v>0</v>
      </c>
      <c r="AX128" s="419">
        <v>0</v>
      </c>
      <c r="AY128" s="419">
        <v>0</v>
      </c>
      <c r="AZ128" s="419">
        <v>0</v>
      </c>
      <c r="BA128" s="419">
        <v>0</v>
      </c>
      <c r="BB128" s="419">
        <v>12648</v>
      </c>
      <c r="BC128" s="419">
        <v>0</v>
      </c>
      <c r="BD128" s="419">
        <v>0</v>
      </c>
      <c r="BE128" s="419">
        <v>0</v>
      </c>
      <c r="BF128" s="419">
        <v>0</v>
      </c>
      <c r="BG128" s="419">
        <v>0</v>
      </c>
      <c r="BH128" s="419">
        <v>0</v>
      </c>
      <c r="BI128" s="419">
        <v>0</v>
      </c>
      <c r="BJ128" s="419">
        <v>0</v>
      </c>
      <c r="BK128" s="419">
        <v>0</v>
      </c>
      <c r="BL128" s="419">
        <v>0</v>
      </c>
      <c r="BM128" s="419">
        <v>0</v>
      </c>
      <c r="BN128" s="419">
        <v>0</v>
      </c>
      <c r="BO128" s="419">
        <v>0</v>
      </c>
      <c r="BP128" s="419">
        <v>0</v>
      </c>
      <c r="BQ128" s="419">
        <v>0</v>
      </c>
      <c r="BR128" s="419">
        <v>0</v>
      </c>
      <c r="BS128" s="419">
        <v>0</v>
      </c>
      <c r="BT128" s="419">
        <v>0</v>
      </c>
    </row>
    <row r="129" spans="1:72" outlineLevel="1">
      <c r="A129" s="404"/>
      <c r="B129" s="404" t="s">
        <v>1251</v>
      </c>
      <c r="C129" s="404" t="s">
        <v>1250</v>
      </c>
      <c r="D129" s="404">
        <v>1</v>
      </c>
      <c r="E129" s="404" t="s">
        <v>1252</v>
      </c>
      <c r="F129" s="404" t="s">
        <v>1253</v>
      </c>
      <c r="G129" s="404" t="s">
        <v>1254</v>
      </c>
      <c r="H129" s="404"/>
      <c r="I129" s="404"/>
      <c r="J129" s="400" t="s">
        <v>5</v>
      </c>
      <c r="K129" s="400" t="s">
        <v>5</v>
      </c>
      <c r="L129" s="400">
        <v>1</v>
      </c>
      <c r="M129" s="400" t="s">
        <v>5</v>
      </c>
      <c r="N129" s="400" t="s">
        <v>5</v>
      </c>
      <c r="O129" s="400" t="s">
        <v>5</v>
      </c>
      <c r="P129" s="400" t="s">
        <v>5</v>
      </c>
      <c r="Q129" s="400" t="s">
        <v>5</v>
      </c>
      <c r="R129" s="400" t="s">
        <v>5</v>
      </c>
      <c r="S129" s="400" t="s">
        <v>5</v>
      </c>
      <c r="T129" s="400" t="s">
        <v>5</v>
      </c>
      <c r="U129" s="400" t="s">
        <v>5</v>
      </c>
      <c r="V129" s="400" t="s">
        <v>5</v>
      </c>
      <c r="W129" s="400" t="s">
        <v>5</v>
      </c>
      <c r="X129" s="400" t="s">
        <v>5</v>
      </c>
      <c r="Y129" s="400" t="s">
        <v>5</v>
      </c>
      <c r="Z129" s="400" t="s">
        <v>5</v>
      </c>
      <c r="AA129" s="400" t="s">
        <v>5</v>
      </c>
      <c r="AB129" s="400" t="s">
        <v>5</v>
      </c>
      <c r="AC129" s="400" t="s">
        <v>5</v>
      </c>
      <c r="AD129" s="400" t="s">
        <v>5</v>
      </c>
      <c r="AE129" s="400" t="s">
        <v>5</v>
      </c>
      <c r="AF129" s="400" t="s">
        <v>5</v>
      </c>
      <c r="AG129" s="400" t="s">
        <v>5</v>
      </c>
      <c r="AH129" s="400" t="s">
        <v>5</v>
      </c>
      <c r="AI129" s="400" t="s">
        <v>5</v>
      </c>
      <c r="AJ129" s="400" t="s">
        <v>5</v>
      </c>
      <c r="AK129" s="400" t="s">
        <v>5</v>
      </c>
      <c r="AL129" s="400" t="s">
        <v>5</v>
      </c>
      <c r="AM129" s="400" t="s">
        <v>5</v>
      </c>
      <c r="AN129" s="400" t="s">
        <v>5</v>
      </c>
      <c r="AO129" s="400" t="s">
        <v>5</v>
      </c>
      <c r="AP129" s="400" t="s">
        <v>5</v>
      </c>
      <c r="AQ129" s="400" t="s">
        <v>5</v>
      </c>
      <c r="AR129" s="400" t="s">
        <v>5</v>
      </c>
      <c r="AS129" s="400" t="s">
        <v>5</v>
      </c>
      <c r="AT129" s="400" t="s">
        <v>5</v>
      </c>
      <c r="AU129" s="400" t="s">
        <v>5</v>
      </c>
      <c r="AV129" s="400" t="s">
        <v>5</v>
      </c>
      <c r="AW129" s="400" t="s">
        <v>5</v>
      </c>
      <c r="AX129" s="400" t="s">
        <v>5</v>
      </c>
      <c r="AY129" s="400" t="s">
        <v>5</v>
      </c>
      <c r="AZ129" s="400" t="s">
        <v>5</v>
      </c>
      <c r="BA129" s="400" t="s">
        <v>5</v>
      </c>
      <c r="BB129" s="400">
        <v>12648</v>
      </c>
      <c r="BC129" s="400" t="s">
        <v>5</v>
      </c>
      <c r="BD129" s="400" t="s">
        <v>5</v>
      </c>
      <c r="BE129" s="400" t="s">
        <v>5</v>
      </c>
      <c r="BF129" s="400" t="s">
        <v>5</v>
      </c>
      <c r="BG129" s="400" t="s">
        <v>5</v>
      </c>
      <c r="BH129" s="400" t="s">
        <v>5</v>
      </c>
      <c r="BI129" s="400" t="s">
        <v>5</v>
      </c>
      <c r="BJ129" s="400" t="s">
        <v>5</v>
      </c>
      <c r="BK129" s="400" t="s">
        <v>5</v>
      </c>
      <c r="BL129" s="400" t="s">
        <v>5</v>
      </c>
      <c r="BM129" s="400" t="s">
        <v>5</v>
      </c>
      <c r="BN129" s="400" t="s">
        <v>5</v>
      </c>
      <c r="BO129" s="400" t="s">
        <v>5</v>
      </c>
      <c r="BP129" s="400" t="s">
        <v>5</v>
      </c>
      <c r="BQ129" s="400" t="s">
        <v>5</v>
      </c>
      <c r="BR129" s="400" t="s">
        <v>5</v>
      </c>
      <c r="BS129" s="400" t="s">
        <v>5</v>
      </c>
      <c r="BT129" s="400" t="s">
        <v>5</v>
      </c>
    </row>
    <row r="130" spans="1:72">
      <c r="A130" s="418">
        <v>39</v>
      </c>
      <c r="B130" s="418" t="s">
        <v>1244</v>
      </c>
      <c r="C130" s="418"/>
      <c r="D130" s="418"/>
      <c r="E130" s="418" t="s">
        <v>1255</v>
      </c>
      <c r="F130" s="418"/>
      <c r="G130" s="418" t="s">
        <v>1256</v>
      </c>
      <c r="H130" s="418"/>
      <c r="I130" s="418"/>
      <c r="J130" s="419">
        <v>650</v>
      </c>
      <c r="K130" s="419">
        <v>0</v>
      </c>
      <c r="L130" s="419">
        <v>0</v>
      </c>
      <c r="M130" s="419">
        <v>0</v>
      </c>
      <c r="N130" s="419">
        <v>0</v>
      </c>
      <c r="O130" s="419">
        <v>0</v>
      </c>
      <c r="P130" s="419">
        <v>0</v>
      </c>
      <c r="Q130" s="419">
        <v>0</v>
      </c>
      <c r="R130" s="419">
        <v>0</v>
      </c>
      <c r="S130" s="419">
        <v>0</v>
      </c>
      <c r="T130" s="419">
        <v>0</v>
      </c>
      <c r="U130" s="419">
        <v>0</v>
      </c>
      <c r="V130" s="419">
        <v>0</v>
      </c>
      <c r="W130" s="419">
        <v>0</v>
      </c>
      <c r="X130" s="419">
        <v>0</v>
      </c>
      <c r="Y130" s="419">
        <v>0</v>
      </c>
      <c r="Z130" s="419">
        <v>0</v>
      </c>
      <c r="AA130" s="419">
        <v>0</v>
      </c>
      <c r="AB130" s="419">
        <v>0</v>
      </c>
      <c r="AC130" s="419">
        <v>0</v>
      </c>
      <c r="AD130" s="419">
        <v>0</v>
      </c>
      <c r="AE130" s="419">
        <v>0</v>
      </c>
      <c r="AF130" s="419">
        <v>0</v>
      </c>
      <c r="AG130" s="419">
        <v>0</v>
      </c>
      <c r="AH130" s="419">
        <v>0</v>
      </c>
      <c r="AI130" s="419">
        <v>0</v>
      </c>
      <c r="AJ130" s="419">
        <v>0</v>
      </c>
      <c r="AK130" s="419">
        <v>0</v>
      </c>
      <c r="AL130" s="419">
        <v>0</v>
      </c>
      <c r="AM130" s="419">
        <v>0</v>
      </c>
      <c r="AN130" s="419">
        <v>0</v>
      </c>
      <c r="AO130" s="419">
        <v>0</v>
      </c>
      <c r="AP130" s="419">
        <v>0</v>
      </c>
      <c r="AQ130" s="419">
        <v>16100</v>
      </c>
      <c r="AR130" s="419">
        <v>1958.32</v>
      </c>
      <c r="AS130" s="419">
        <v>7485.3</v>
      </c>
      <c r="AT130" s="419">
        <v>0</v>
      </c>
      <c r="AU130" s="419">
        <v>0</v>
      </c>
      <c r="AV130" s="419">
        <v>0</v>
      </c>
      <c r="AW130" s="419">
        <v>0</v>
      </c>
      <c r="AX130" s="419">
        <v>0</v>
      </c>
      <c r="AY130" s="419">
        <v>0</v>
      </c>
      <c r="AZ130" s="419">
        <v>0</v>
      </c>
      <c r="BA130" s="419">
        <v>0</v>
      </c>
      <c r="BB130" s="419">
        <v>0</v>
      </c>
      <c r="BC130" s="419">
        <v>0</v>
      </c>
      <c r="BD130" s="419">
        <v>0</v>
      </c>
      <c r="BE130" s="419">
        <v>0</v>
      </c>
      <c r="BF130" s="419">
        <v>0</v>
      </c>
      <c r="BG130" s="419">
        <v>0</v>
      </c>
      <c r="BH130" s="419">
        <v>0</v>
      </c>
      <c r="BI130" s="419">
        <v>0</v>
      </c>
      <c r="BJ130" s="419">
        <v>0</v>
      </c>
      <c r="BK130" s="419">
        <v>0</v>
      </c>
      <c r="BL130" s="419">
        <v>0</v>
      </c>
      <c r="BM130" s="419">
        <v>0</v>
      </c>
      <c r="BN130" s="419">
        <v>0</v>
      </c>
      <c r="BO130" s="419">
        <v>0</v>
      </c>
      <c r="BP130" s="419">
        <v>0</v>
      </c>
      <c r="BQ130" s="419">
        <v>0</v>
      </c>
      <c r="BR130" s="419">
        <v>0</v>
      </c>
      <c r="BS130" s="419">
        <v>0</v>
      </c>
      <c r="BT130" s="419">
        <v>0</v>
      </c>
    </row>
    <row r="131" spans="1:72" outlineLevel="1">
      <c r="A131" s="404"/>
      <c r="B131" s="404" t="s">
        <v>1256</v>
      </c>
      <c r="C131" s="404" t="s">
        <v>1255</v>
      </c>
      <c r="D131" s="404">
        <v>1</v>
      </c>
      <c r="E131" s="404" t="s">
        <v>1257</v>
      </c>
      <c r="F131" s="404" t="s">
        <v>1258</v>
      </c>
      <c r="G131" s="404" t="s">
        <v>1259</v>
      </c>
      <c r="H131" s="404"/>
      <c r="I131" s="404"/>
      <c r="J131" s="400">
        <v>650</v>
      </c>
      <c r="K131" s="400" t="s">
        <v>5</v>
      </c>
      <c r="L131" s="400" t="s">
        <v>5</v>
      </c>
      <c r="M131" s="400" t="s">
        <v>5</v>
      </c>
      <c r="N131" s="400" t="s">
        <v>5</v>
      </c>
      <c r="O131" s="400" t="s">
        <v>5</v>
      </c>
      <c r="P131" s="400" t="s">
        <v>5</v>
      </c>
      <c r="Q131" s="400" t="s">
        <v>5</v>
      </c>
      <c r="R131" s="400" t="s">
        <v>5</v>
      </c>
      <c r="S131" s="400" t="s">
        <v>5</v>
      </c>
      <c r="T131" s="400" t="s">
        <v>5</v>
      </c>
      <c r="U131" s="400" t="s">
        <v>5</v>
      </c>
      <c r="V131" s="400" t="s">
        <v>5</v>
      </c>
      <c r="W131" s="400" t="s">
        <v>5</v>
      </c>
      <c r="X131" s="400" t="s">
        <v>5</v>
      </c>
      <c r="Y131" s="400" t="s">
        <v>5</v>
      </c>
      <c r="Z131" s="400" t="s">
        <v>5</v>
      </c>
      <c r="AA131" s="400" t="s">
        <v>5</v>
      </c>
      <c r="AB131" s="400" t="s">
        <v>5</v>
      </c>
      <c r="AC131" s="400" t="s">
        <v>5</v>
      </c>
      <c r="AD131" s="400" t="s">
        <v>5</v>
      </c>
      <c r="AE131" s="400" t="s">
        <v>5</v>
      </c>
      <c r="AF131" s="400" t="s">
        <v>5</v>
      </c>
      <c r="AG131" s="400" t="s">
        <v>5</v>
      </c>
      <c r="AH131" s="400" t="s">
        <v>5</v>
      </c>
      <c r="AI131" s="400" t="s">
        <v>5</v>
      </c>
      <c r="AJ131" s="400" t="s">
        <v>5</v>
      </c>
      <c r="AK131" s="400" t="s">
        <v>5</v>
      </c>
      <c r="AL131" s="400" t="s">
        <v>5</v>
      </c>
      <c r="AM131" s="400" t="s">
        <v>5</v>
      </c>
      <c r="AN131" s="400" t="s">
        <v>5</v>
      </c>
      <c r="AO131" s="400" t="s">
        <v>5</v>
      </c>
      <c r="AP131" s="400" t="s">
        <v>5</v>
      </c>
      <c r="AQ131" s="400">
        <v>16100</v>
      </c>
      <c r="AR131" s="400">
        <v>1958.32</v>
      </c>
      <c r="AS131" s="400">
        <v>7485.3</v>
      </c>
      <c r="AT131" s="400" t="s">
        <v>5</v>
      </c>
      <c r="AU131" s="400" t="s">
        <v>5</v>
      </c>
      <c r="AV131" s="400" t="s">
        <v>5</v>
      </c>
      <c r="AW131" s="400" t="s">
        <v>5</v>
      </c>
      <c r="AX131" s="400" t="s">
        <v>5</v>
      </c>
      <c r="AY131" s="400" t="s">
        <v>5</v>
      </c>
      <c r="AZ131" s="400" t="s">
        <v>5</v>
      </c>
      <c r="BA131" s="400" t="s">
        <v>5</v>
      </c>
      <c r="BB131" s="400" t="s">
        <v>5</v>
      </c>
      <c r="BC131" s="400" t="s">
        <v>5</v>
      </c>
      <c r="BD131" s="400" t="s">
        <v>5</v>
      </c>
      <c r="BE131" s="400" t="s">
        <v>5</v>
      </c>
      <c r="BF131" s="400" t="s">
        <v>5</v>
      </c>
      <c r="BG131" s="400" t="s">
        <v>5</v>
      </c>
      <c r="BH131" s="400" t="s">
        <v>5</v>
      </c>
      <c r="BI131" s="400" t="s">
        <v>5</v>
      </c>
      <c r="BJ131" s="400" t="s">
        <v>5</v>
      </c>
      <c r="BK131" s="400" t="s">
        <v>5</v>
      </c>
      <c r="BL131" s="400" t="s">
        <v>5</v>
      </c>
      <c r="BM131" s="400" t="s">
        <v>5</v>
      </c>
      <c r="BN131" s="400" t="s">
        <v>5</v>
      </c>
      <c r="BO131" s="400" t="s">
        <v>5</v>
      </c>
      <c r="BP131" s="400" t="s">
        <v>5</v>
      </c>
      <c r="BQ131" s="400" t="s">
        <v>5</v>
      </c>
      <c r="BR131" s="400" t="s">
        <v>5</v>
      </c>
      <c r="BS131" s="400" t="s">
        <v>5</v>
      </c>
      <c r="BT131" s="400" t="s">
        <v>5</v>
      </c>
    </row>
    <row r="132" spans="1:72">
      <c r="A132" t="s">
        <v>153</v>
      </c>
      <c r="J132" s="197">
        <v>650</v>
      </c>
      <c r="K132" s="197">
        <v>4928.4858999999997</v>
      </c>
      <c r="L132" s="197">
        <v>1</v>
      </c>
      <c r="M132" s="197">
        <v>8953.8000000000029</v>
      </c>
      <c r="N132" s="197">
        <v>13213.349999999988</v>
      </c>
      <c r="O132" s="197">
        <v>710.96503697447815</v>
      </c>
      <c r="P132" s="197">
        <v>439.5</v>
      </c>
      <c r="Q132" s="197">
        <v>895379.25715695159</v>
      </c>
      <c r="R132" s="197">
        <v>445.67513029767815</v>
      </c>
      <c r="S132" s="197">
        <v>586</v>
      </c>
      <c r="T132" s="197">
        <v>16260.499999999998</v>
      </c>
      <c r="U132" s="197">
        <v>23992.799999999974</v>
      </c>
      <c r="V132" s="197">
        <v>2195.478464016338</v>
      </c>
      <c r="W132" s="197">
        <v>1598.7012246919339</v>
      </c>
      <c r="X132" s="197">
        <v>6053.2920000000013</v>
      </c>
      <c r="Y132" s="197">
        <v>3228045.0892423848</v>
      </c>
      <c r="Z132" s="197">
        <v>118976.56874190042</v>
      </c>
      <c r="AA132" s="197">
        <v>7985.9714847033119</v>
      </c>
      <c r="AB132" s="197">
        <v>1996.36</v>
      </c>
      <c r="AC132" s="197">
        <v>4122.0920000000006</v>
      </c>
      <c r="AD132" s="197">
        <v>1617.5135</v>
      </c>
      <c r="AE132" s="197">
        <v>1732.87</v>
      </c>
      <c r="AF132" s="197">
        <v>3785.230019237637</v>
      </c>
      <c r="AG132" s="197">
        <v>10567.36137426099</v>
      </c>
      <c r="AH132" s="197">
        <v>3240.6612246919335</v>
      </c>
      <c r="AI132" s="197">
        <v>8226.4380000000001</v>
      </c>
      <c r="AJ132" s="197">
        <v>61.389899999999997</v>
      </c>
      <c r="AK132" s="197">
        <v>123.332223</v>
      </c>
      <c r="AL132" s="197">
        <v>1173.6790000000001</v>
      </c>
      <c r="AM132" s="197">
        <v>2906.9697999999994</v>
      </c>
      <c r="AN132" s="197">
        <v>1712.9573</v>
      </c>
      <c r="AO132" s="197">
        <v>5892.4216999999999</v>
      </c>
      <c r="AP132" s="197">
        <v>1137.3973075000001</v>
      </c>
      <c r="AQ132" s="197">
        <v>16100</v>
      </c>
      <c r="AR132" s="197">
        <v>1958.32</v>
      </c>
      <c r="AS132" s="197">
        <v>7485.3</v>
      </c>
      <c r="AT132" s="197">
        <v>7539.3799999999974</v>
      </c>
      <c r="AU132" s="197">
        <v>13465.129999999981</v>
      </c>
      <c r="AV132" s="197">
        <v>391.11799999999999</v>
      </c>
      <c r="AW132" s="197">
        <v>13506.880000000001</v>
      </c>
      <c r="AX132" s="197">
        <v>3552.5585000000001</v>
      </c>
      <c r="AY132" s="197">
        <v>4122.0920000000006</v>
      </c>
      <c r="AZ132" s="197">
        <v>19943.599999999999</v>
      </c>
      <c r="BA132" s="197">
        <v>126962.54022660374</v>
      </c>
      <c r="BB132" s="197">
        <v>12648</v>
      </c>
      <c r="BC132" s="197">
        <v>270906.0080287389</v>
      </c>
      <c r="BD132" s="197">
        <v>611241.04335742048</v>
      </c>
      <c r="BE132" s="197">
        <v>144258.97177499998</v>
      </c>
      <c r="BF132" s="197">
        <v>817128.54994576867</v>
      </c>
      <c r="BG132" s="197">
        <v>9208.4849999999988</v>
      </c>
      <c r="BH132" s="197">
        <v>18499.833450000002</v>
      </c>
      <c r="BI132" s="197">
        <v>123177.87972999999</v>
      </c>
      <c r="BJ132" s="197">
        <v>609661.85612684221</v>
      </c>
      <c r="BK132" s="197">
        <v>1192999.2537628878</v>
      </c>
      <c r="BL132" s="197">
        <v>219089.52869725204</v>
      </c>
      <c r="BM132" s="197">
        <v>605.58399999999995</v>
      </c>
      <c r="BN132" s="197">
        <v>5447.7080000000005</v>
      </c>
      <c r="BO132" s="197">
        <v>332.95350000000002</v>
      </c>
      <c r="BP132" s="197">
        <v>572.1114</v>
      </c>
      <c r="BQ132" s="197">
        <v>5789.9849999999988</v>
      </c>
      <c r="BR132" s="197">
        <v>11848.883500000002</v>
      </c>
      <c r="BS132" s="197">
        <v>38073.964600000007</v>
      </c>
      <c r="BT132" s="197">
        <v>6684.9503361808993</v>
      </c>
    </row>
  </sheetData>
  <autoFilter ref="B8:AA49" xr:uid="{1FF655CE-3621-4339-9630-CAC4BE278510}"/>
  <conditionalFormatting sqref="J9:BT131">
    <cfRule type="cellIs" dxfId="336" priority="1" stopIfTrue="1" operator="equal">
      <formula>"N/A"</formula>
    </cfRule>
  </conditionalFormatting>
  <dataValidations disablePrompts="1" count="1">
    <dataValidation type="list" allowBlank="1" showInputMessage="1" showErrorMessage="1" sqref="G1" xr:uid="{33A7A372-0DAC-4B8C-BECA-5BF107D56E80}">
      <formula1>$I$1:$I$3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6">
    <tabColor rgb="FF002060"/>
    <pageSetUpPr fitToPage="1"/>
  </sheetPr>
  <dimension ref="A1:L700"/>
  <sheetViews>
    <sheetView showZeros="0" view="pageBreakPreview" zoomScaleNormal="85" zoomScaleSheetLayoutView="100" zoomScalePageLayoutView="85" workbookViewId="0">
      <pane ySplit="3" topLeftCell="A31" activePane="bottomLeft" state="frozen"/>
      <selection pane="bottomLeft" activeCell="D41" sqref="D41"/>
    </sheetView>
  </sheetViews>
  <sheetFormatPr baseColWidth="10" defaultColWidth="8.83203125" defaultRowHeight="15"/>
  <cols>
    <col min="1" max="1" width="11.33203125" bestFit="1" customWidth="1"/>
    <col min="2" max="2" width="5.33203125" customWidth="1"/>
    <col min="3" max="3" width="10" customWidth="1"/>
    <col min="4" max="4" width="15" customWidth="1"/>
    <col min="5" max="5" width="12" bestFit="1" customWidth="1"/>
    <col min="6" max="6" width="12" customWidth="1"/>
    <col min="7" max="7" width="33.1640625" customWidth="1"/>
    <col min="8" max="8" width="13.1640625" customWidth="1"/>
    <col min="9" max="9" width="13.5" style="16" customWidth="1"/>
    <col min="11" max="11" width="10.83203125" customWidth="1"/>
    <col min="12" max="12" width="31.5" customWidth="1"/>
  </cols>
  <sheetData>
    <row r="1" spans="1:12" ht="26">
      <c r="A1" s="15" t="s">
        <v>53</v>
      </c>
    </row>
    <row r="3" spans="1:12" ht="16">
      <c r="A3" s="35" t="s">
        <v>155</v>
      </c>
      <c r="B3" s="35" t="s">
        <v>0</v>
      </c>
      <c r="C3" s="35" t="s">
        <v>21</v>
      </c>
      <c r="D3" s="35" t="s">
        <v>950</v>
      </c>
      <c r="E3" s="42" t="s">
        <v>22</v>
      </c>
      <c r="F3" s="413" t="s">
        <v>947</v>
      </c>
      <c r="G3" s="42" t="s">
        <v>113</v>
      </c>
      <c r="H3" s="35" t="s">
        <v>12</v>
      </c>
      <c r="I3" s="36" t="s">
        <v>23</v>
      </c>
      <c r="J3" s="48" t="s">
        <v>24</v>
      </c>
      <c r="K3" s="49" t="s">
        <v>25</v>
      </c>
      <c r="L3" s="49" t="s">
        <v>48</v>
      </c>
    </row>
    <row r="4" spans="1:12">
      <c r="A4" t="str">
        <f>'S21.11'!$F$3</f>
        <v>S21.11</v>
      </c>
      <c r="B4">
        <f>'S21.11'!$B$6</f>
        <v>1</v>
      </c>
      <c r="C4" t="str">
        <f>'S21.11'!D6</f>
        <v>ID-004</v>
      </c>
      <c r="D4">
        <f>'S21.11'!E6</f>
        <v>0</v>
      </c>
      <c r="E4" t="str">
        <f>'S21.11'!F6</f>
        <v>BOQ-004</v>
      </c>
      <c r="G4" t="s">
        <v>335</v>
      </c>
      <c r="H4" t="s">
        <v>27</v>
      </c>
      <c r="I4" s="16">
        <f>'S21.11'!$R$6</f>
        <v>0</v>
      </c>
      <c r="J4">
        <f>VLOOKUP(A4,DM_CKDH!$B$5:$E$54,4,0)</f>
        <v>1</v>
      </c>
      <c r="K4" s="25">
        <f t="shared" ref="K4" si="0">I4*J4</f>
        <v>0</v>
      </c>
      <c r="L4" t="str">
        <f>VLOOKUP(A4,DM_CKDH!$B$5:$E$54,2,0)</f>
        <v>Đài_PCL</v>
      </c>
    </row>
    <row r="5" spans="1:12">
      <c r="A5" t="str">
        <f>'S21.11'!$F$3</f>
        <v>S21.11</v>
      </c>
      <c r="B5">
        <f>'S21.11'!$B$9</f>
        <v>2</v>
      </c>
      <c r="C5" t="str">
        <f>'S21.11'!D9</f>
        <v>ID-004A</v>
      </c>
      <c r="D5" t="str">
        <f>'S21.11'!E9</f>
        <v>CBS</v>
      </c>
      <c r="E5">
        <f>'S21.11'!F9</f>
        <v>0</v>
      </c>
      <c r="G5" t="s">
        <v>334</v>
      </c>
      <c r="H5" t="s">
        <v>27</v>
      </c>
      <c r="I5" s="16">
        <f>'S21.11'!$R$9</f>
        <v>11.993</v>
      </c>
      <c r="J5">
        <f>VLOOKUP(A5,DM_CKDH!$B$5:$E$54,4,0)</f>
        <v>1</v>
      </c>
      <c r="K5" s="25">
        <f t="shared" ref="K5:K68" si="1">I5*J5</f>
        <v>11.993</v>
      </c>
      <c r="L5" t="str">
        <f>VLOOKUP(A5,DM_CKDH!$B$5:$E$54,2,0)</f>
        <v>Đài_PCL</v>
      </c>
    </row>
    <row r="6" spans="1:12">
      <c r="A6" t="str">
        <f>'S21.11'!$F$3</f>
        <v>S21.11</v>
      </c>
      <c r="B6">
        <f>'S21.11'!$B$17</f>
        <v>3</v>
      </c>
      <c r="C6" t="str">
        <f>'S21.11'!D17</f>
        <v>ID-005</v>
      </c>
      <c r="D6" t="str">
        <f>'S21.11'!E17</f>
        <v>CBS</v>
      </c>
      <c r="E6" t="str">
        <f>'S21.11'!F17</f>
        <v>BOQ-005</v>
      </c>
      <c r="G6" t="s">
        <v>243</v>
      </c>
      <c r="H6" t="s">
        <v>27</v>
      </c>
      <c r="I6" s="16">
        <f>'S21.11'!$R$17</f>
        <v>26.270900000000001</v>
      </c>
      <c r="J6">
        <f>VLOOKUP(A6,DM_CKDH!$B$5:$E$54,4,0)</f>
        <v>1</v>
      </c>
      <c r="K6" s="25">
        <f t="shared" si="1"/>
        <v>26.270900000000001</v>
      </c>
      <c r="L6" t="str">
        <f>VLOOKUP(A6,DM_CKDH!$B$5:$E$54,2,0)</f>
        <v>Đài_PCL</v>
      </c>
    </row>
    <row r="7" spans="1:12">
      <c r="A7" t="str">
        <f>'S21.11'!$F$3</f>
        <v>S21.11</v>
      </c>
      <c r="B7">
        <f>'S21.11'!$B$25</f>
        <v>4</v>
      </c>
      <c r="C7" t="str">
        <f>'S21.11'!D25</f>
        <v>ID-006</v>
      </c>
      <c r="D7">
        <f>'S21.11'!E25</f>
        <v>0</v>
      </c>
      <c r="E7" t="str">
        <f>'S21.11'!F25</f>
        <v>BOQ-006</v>
      </c>
      <c r="G7" t="s">
        <v>336</v>
      </c>
      <c r="H7" t="s">
        <v>27</v>
      </c>
      <c r="I7" s="16">
        <f>'S21.11'!$R$25</f>
        <v>0</v>
      </c>
      <c r="J7">
        <f>VLOOKUP(A7,DM_CKDH!$B$5:$E$54,4,0)</f>
        <v>1</v>
      </c>
      <c r="K7" s="25">
        <f t="shared" si="1"/>
        <v>0</v>
      </c>
      <c r="L7" t="str">
        <f>VLOOKUP(A7,DM_CKDH!$B$5:$E$54,2,0)</f>
        <v>Đài_PCL</v>
      </c>
    </row>
    <row r="8" spans="1:12">
      <c r="A8" t="str">
        <f>'S21.11'!$F$3</f>
        <v>S21.11</v>
      </c>
      <c r="B8">
        <f>'S21.11'!$B$28</f>
        <v>5</v>
      </c>
      <c r="C8" t="str">
        <f>'S21.11'!D28</f>
        <v>ID-006A</v>
      </c>
      <c r="D8" t="str">
        <f>'S21.11'!E28</f>
        <v>CBS</v>
      </c>
      <c r="E8">
        <f>'S21.11'!F28</f>
        <v>0</v>
      </c>
      <c r="G8" t="s">
        <v>337</v>
      </c>
      <c r="H8" t="s">
        <v>27</v>
      </c>
      <c r="I8" s="16">
        <f>'S21.11'!$R$28</f>
        <v>0</v>
      </c>
      <c r="J8">
        <f>VLOOKUP(A8,DM_CKDH!$B$5:$E$54,4,0)</f>
        <v>1</v>
      </c>
      <c r="K8" s="25">
        <f t="shared" si="1"/>
        <v>0</v>
      </c>
      <c r="L8" t="str">
        <f>VLOOKUP(A8,DM_CKDH!$B$5:$E$54,2,0)</f>
        <v>Đài_PCL</v>
      </c>
    </row>
    <row r="9" spans="1:12">
      <c r="A9" t="str">
        <f>'S21.11'!$F$3</f>
        <v>S21.11</v>
      </c>
      <c r="B9">
        <f>'S21.11'!$B$36</f>
        <v>6</v>
      </c>
      <c r="C9" t="str">
        <f>'S21.11'!D36</f>
        <v>ID-007A</v>
      </c>
      <c r="D9">
        <f>'S21.11'!E36</f>
        <v>0</v>
      </c>
      <c r="E9" t="str">
        <f>'S21.11'!F36</f>
        <v>BOQ-007</v>
      </c>
      <c r="G9" t="s">
        <v>239</v>
      </c>
      <c r="H9" t="s">
        <v>27</v>
      </c>
      <c r="I9" s="16">
        <f>'S21.11'!$R$36</f>
        <v>0</v>
      </c>
      <c r="J9">
        <f>VLOOKUP(A9,DM_CKDH!$B$5:$E$54,4,0)</f>
        <v>1</v>
      </c>
      <c r="K9" s="25">
        <f t="shared" si="1"/>
        <v>0</v>
      </c>
      <c r="L9" t="str">
        <f>VLOOKUP(A9,DM_CKDH!$B$5:$E$54,2,0)</f>
        <v>Đài_PCL</v>
      </c>
    </row>
    <row r="10" spans="1:12">
      <c r="A10" t="str">
        <f>'S21.11'!$F$3</f>
        <v>S21.11</v>
      </c>
      <c r="B10">
        <f>'S21.11'!$B$39</f>
        <v>7</v>
      </c>
      <c r="C10" t="str">
        <f>'S21.11'!D39</f>
        <v>ID-007B</v>
      </c>
      <c r="D10">
        <f>'S21.11'!E39</f>
        <v>0</v>
      </c>
      <c r="E10" t="str">
        <f>'S21.11'!F39</f>
        <v>BOQ-008</v>
      </c>
      <c r="G10" t="s">
        <v>240</v>
      </c>
      <c r="H10" t="s">
        <v>27</v>
      </c>
      <c r="I10" s="16">
        <f>'S21.11'!$R$39</f>
        <v>0</v>
      </c>
      <c r="J10">
        <f>VLOOKUP(A10,DM_CKDH!$B$5:$E$54,4,0)</f>
        <v>1</v>
      </c>
      <c r="K10" s="25">
        <f t="shared" si="1"/>
        <v>0</v>
      </c>
      <c r="L10" t="str">
        <f>VLOOKUP(A10,DM_CKDH!$B$5:$E$54,2,0)</f>
        <v>Đài_PCL</v>
      </c>
    </row>
    <row r="11" spans="1:12">
      <c r="A11" t="str">
        <f>'S21.11'!$F$3</f>
        <v>S21.11</v>
      </c>
      <c r="B11">
        <f>'S21.11'!$B$42</f>
        <v>8</v>
      </c>
      <c r="C11" t="str">
        <f>'S21.11'!D42</f>
        <v>ID-007C</v>
      </c>
      <c r="D11">
        <f>'S21.11'!E42</f>
        <v>0</v>
      </c>
      <c r="E11" t="str">
        <f>'S21.11'!F42</f>
        <v>BOQ-009</v>
      </c>
      <c r="G11" t="s">
        <v>241</v>
      </c>
      <c r="H11" t="s">
        <v>27</v>
      </c>
      <c r="I11" s="16">
        <f>'S21.11'!$R$42</f>
        <v>0</v>
      </c>
      <c r="J11">
        <f>VLOOKUP(A11,DM_CKDH!$B$5:$E$54,4,0)</f>
        <v>1</v>
      </c>
      <c r="K11" s="25">
        <f t="shared" si="1"/>
        <v>0</v>
      </c>
      <c r="L11" t="str">
        <f>VLOOKUP(A11,DM_CKDH!$B$5:$E$54,2,0)</f>
        <v>Đài_PCL</v>
      </c>
    </row>
    <row r="12" spans="1:12">
      <c r="A12" t="str">
        <f>'S21.11'!$F$3</f>
        <v>S21.11</v>
      </c>
      <c r="B12">
        <f>'S21.11'!$B$45</f>
        <v>9</v>
      </c>
      <c r="C12" t="str">
        <f>'S21.11'!D45</f>
        <v>ID-007</v>
      </c>
      <c r="D12" t="str">
        <f>'S21.11'!E45</f>
        <v>CBS</v>
      </c>
      <c r="E12">
        <f>'S21.11'!F45</f>
        <v>0</v>
      </c>
      <c r="G12" t="s">
        <v>294</v>
      </c>
      <c r="H12" t="s">
        <v>27</v>
      </c>
      <c r="I12" s="16">
        <f>'S21.11'!$R$45</f>
        <v>0</v>
      </c>
      <c r="J12">
        <f>VLOOKUP(A12,DM_CKDH!$B$5:$E$54,4,0)</f>
        <v>1</v>
      </c>
      <c r="K12" s="25">
        <f t="shared" si="1"/>
        <v>0</v>
      </c>
      <c r="L12" t="str">
        <f>VLOOKUP(A12,DM_CKDH!$B$5:$E$54,2,0)</f>
        <v>Đài_PCL</v>
      </c>
    </row>
    <row r="13" spans="1:12">
      <c r="A13" t="str">
        <f>'S21.11'!$F$3</f>
        <v>S21.11</v>
      </c>
      <c r="B13">
        <f>'S21.11'!$B$48</f>
        <v>10</v>
      </c>
      <c r="C13" t="str">
        <f>'S21.11'!D48</f>
        <v>ID-008</v>
      </c>
      <c r="D13" t="str">
        <f>'S21.11'!E48</f>
        <v>CBS</v>
      </c>
      <c r="E13" t="str">
        <f>'S21.11'!F48</f>
        <v>BOQ-010</v>
      </c>
      <c r="G13" t="s">
        <v>242</v>
      </c>
      <c r="H13" t="s">
        <v>27</v>
      </c>
      <c r="I13" s="16">
        <f>'S21.11'!$R$48</f>
        <v>0</v>
      </c>
      <c r="J13">
        <f>VLOOKUP(A13,DM_CKDH!$B$5:$E$54,4,0)</f>
        <v>1</v>
      </c>
      <c r="K13" s="25">
        <f t="shared" si="1"/>
        <v>0</v>
      </c>
      <c r="L13" t="str">
        <f>VLOOKUP(A13,DM_CKDH!$B$5:$E$54,2,0)</f>
        <v>Đài_PCL</v>
      </c>
    </row>
    <row r="14" spans="1:12">
      <c r="A14" t="str">
        <f>'S21.11'!$F$3</f>
        <v>S21.11</v>
      </c>
      <c r="B14">
        <f>'S21.11'!$B$51</f>
        <v>11</v>
      </c>
      <c r="C14" t="str">
        <f>'S21.11'!D51</f>
        <v>ID-042</v>
      </c>
      <c r="D14" t="str">
        <f>'S21.11'!E51</f>
        <v>CBS</v>
      </c>
      <c r="E14" t="str">
        <f>'S21.11'!F51</f>
        <v>BOQ-063</v>
      </c>
      <c r="G14" t="s">
        <v>270</v>
      </c>
      <c r="H14" t="s">
        <v>27</v>
      </c>
      <c r="I14" s="16">
        <f>'S21.11'!$R$51</f>
        <v>0</v>
      </c>
      <c r="J14">
        <f>VLOOKUP(A14,DM_CKDH!$B$5:$E$54,4,0)</f>
        <v>1</v>
      </c>
      <c r="K14" s="25">
        <f t="shared" si="1"/>
        <v>0</v>
      </c>
      <c r="L14" t="str">
        <f>VLOOKUP(A14,DM_CKDH!$B$5:$E$54,2,0)</f>
        <v>Đài_PCL</v>
      </c>
    </row>
    <row r="15" spans="1:12">
      <c r="A15" t="str">
        <f>'S21.11'!$F$3</f>
        <v>S21.11</v>
      </c>
      <c r="B15">
        <f>'S21.11'!$B$54</f>
        <v>12</v>
      </c>
      <c r="C15" t="str">
        <f>'S21.11'!D54</f>
        <v>ID-042</v>
      </c>
      <c r="D15" t="str">
        <f>'S21.11'!E54</f>
        <v>CBS</v>
      </c>
      <c r="E15" t="str">
        <f>'S21.11'!F54</f>
        <v>BOQ-063</v>
      </c>
      <c r="G15" t="s">
        <v>270</v>
      </c>
      <c r="H15" t="s">
        <v>27</v>
      </c>
      <c r="I15" s="16">
        <f>'S21.11'!$R$54</f>
        <v>0</v>
      </c>
      <c r="J15">
        <f>VLOOKUP(A15,DM_CKDH!$B$5:$E$54,4,0)</f>
        <v>1</v>
      </c>
      <c r="K15" s="25">
        <f t="shared" si="1"/>
        <v>0</v>
      </c>
      <c r="L15" t="str">
        <f>VLOOKUP(A15,DM_CKDH!$B$5:$E$54,2,0)</f>
        <v>Đài_PCL</v>
      </c>
    </row>
    <row r="16" spans="1:12">
      <c r="A16" t="str">
        <f>'S21.12'!$F$3</f>
        <v>S21.12</v>
      </c>
      <c r="B16">
        <f>'S21.12'!$B$6</f>
        <v>1</v>
      </c>
      <c r="C16" t="str">
        <f>'S21.12'!D6</f>
        <v>ID-004</v>
      </c>
      <c r="D16">
        <f>'S21.12'!E6</f>
        <v>0</v>
      </c>
      <c r="E16" t="str">
        <f>'S21.12'!F6</f>
        <v>BOQ-004</v>
      </c>
      <c r="G16" t="s">
        <v>335</v>
      </c>
      <c r="H16" t="s">
        <v>27</v>
      </c>
      <c r="I16" s="16">
        <f>'S21.12'!$R$6</f>
        <v>0</v>
      </c>
      <c r="J16">
        <f>VLOOKUP(A16,DM_CKDH!$B$5:$E$54,4,0)</f>
        <v>1</v>
      </c>
      <c r="K16" s="25">
        <f t="shared" si="1"/>
        <v>0</v>
      </c>
      <c r="L16" t="str">
        <f>VLOOKUP(A16,DM_CKDH!$B$5:$E$54,2,0)</f>
        <v>Đài đơn còn lại - Khu lõi</v>
      </c>
    </row>
    <row r="17" spans="1:12">
      <c r="A17" t="str">
        <f>'S21.12'!$F$3</f>
        <v>S21.12</v>
      </c>
      <c r="B17">
        <f>'S21.12'!$B$9</f>
        <v>2</v>
      </c>
      <c r="C17" t="str">
        <f>'S21.12'!D9</f>
        <v>ID-004A</v>
      </c>
      <c r="D17" t="str">
        <f>'S21.12'!E9</f>
        <v>CBS</v>
      </c>
      <c r="E17">
        <f>'S21.12'!F9</f>
        <v>0</v>
      </c>
      <c r="G17" t="s">
        <v>334</v>
      </c>
      <c r="H17" t="s">
        <v>27</v>
      </c>
      <c r="I17" s="16">
        <f>'S21.12'!$R$9</f>
        <v>0</v>
      </c>
      <c r="J17">
        <f>VLOOKUP(A17,DM_CKDH!$B$5:$E$54,4,0)</f>
        <v>1</v>
      </c>
      <c r="K17" s="25">
        <f t="shared" si="1"/>
        <v>0</v>
      </c>
      <c r="L17" t="str">
        <f>VLOOKUP(A17,DM_CKDH!$B$5:$E$54,2,0)</f>
        <v>Đài đơn còn lại - Khu lõi</v>
      </c>
    </row>
    <row r="18" spans="1:12">
      <c r="A18" t="str">
        <f>'S21.12'!$F$3</f>
        <v>S21.12</v>
      </c>
      <c r="B18">
        <f>'S21.12'!$B$12</f>
        <v>3</v>
      </c>
      <c r="C18" t="str">
        <f>'S21.12'!D12</f>
        <v>ID-005</v>
      </c>
      <c r="D18" t="str">
        <f>'S21.12'!E12</f>
        <v>CBS</v>
      </c>
      <c r="E18" t="str">
        <f>'S21.12'!F12</f>
        <v>BOQ-005</v>
      </c>
      <c r="G18" t="s">
        <v>243</v>
      </c>
      <c r="H18" t="s">
        <v>27</v>
      </c>
      <c r="I18" s="16">
        <f>'S21.12'!$R$12</f>
        <v>0</v>
      </c>
      <c r="J18">
        <f>VLOOKUP(A18,DM_CKDH!$B$5:$E$54,4,0)</f>
        <v>1</v>
      </c>
      <c r="K18" s="25">
        <f t="shared" si="1"/>
        <v>0</v>
      </c>
      <c r="L18" t="str">
        <f>VLOOKUP(A18,DM_CKDH!$B$5:$E$54,2,0)</f>
        <v>Đài đơn còn lại - Khu lõi</v>
      </c>
    </row>
    <row r="19" spans="1:12">
      <c r="A19" t="str">
        <f>'S21.12'!$F$3</f>
        <v>S21.12</v>
      </c>
      <c r="B19">
        <f>'S21.12'!$B$15</f>
        <v>4</v>
      </c>
      <c r="C19" t="str">
        <f>'S21.12'!D15</f>
        <v>ID-006</v>
      </c>
      <c r="D19">
        <f>'S21.12'!E15</f>
        <v>0</v>
      </c>
      <c r="E19" t="str">
        <f>'S21.12'!F15</f>
        <v>BOQ-006</v>
      </c>
      <c r="G19" t="s">
        <v>336</v>
      </c>
      <c r="H19" t="s">
        <v>27</v>
      </c>
      <c r="I19" s="16">
        <f>'S21.12'!$R$15</f>
        <v>0</v>
      </c>
      <c r="J19">
        <f>VLOOKUP(A19,DM_CKDH!$B$5:$E$54,4,0)</f>
        <v>1</v>
      </c>
      <c r="K19" s="25">
        <f t="shared" si="1"/>
        <v>0</v>
      </c>
      <c r="L19" t="str">
        <f>VLOOKUP(A19,DM_CKDH!$B$5:$E$54,2,0)</f>
        <v>Đài đơn còn lại - Khu lõi</v>
      </c>
    </row>
    <row r="20" spans="1:12">
      <c r="A20" t="str">
        <f>'S21.12'!$F$3</f>
        <v>S21.12</v>
      </c>
      <c r="B20">
        <f>'S21.12'!$B$18</f>
        <v>5</v>
      </c>
      <c r="C20" t="str">
        <f>'S21.12'!D18</f>
        <v>ID-006A</v>
      </c>
      <c r="D20" t="str">
        <f>'S21.12'!E18</f>
        <v>CBS</v>
      </c>
      <c r="E20">
        <f>'S21.12'!F18</f>
        <v>0</v>
      </c>
      <c r="G20" t="s">
        <v>337</v>
      </c>
      <c r="H20" t="s">
        <v>27</v>
      </c>
      <c r="I20" s="16">
        <f>'S21.12'!$R$18</f>
        <v>0</v>
      </c>
      <c r="J20">
        <f>VLOOKUP(A20,DM_CKDH!$B$5:$E$54,4,0)</f>
        <v>1</v>
      </c>
      <c r="K20" s="25">
        <f t="shared" si="1"/>
        <v>0</v>
      </c>
      <c r="L20" t="str">
        <f>VLOOKUP(A20,DM_CKDH!$B$5:$E$54,2,0)</f>
        <v>Đài đơn còn lại - Khu lõi</v>
      </c>
    </row>
    <row r="21" spans="1:12">
      <c r="A21" t="str">
        <f>'S21.12'!$F$3</f>
        <v>S21.12</v>
      </c>
      <c r="B21">
        <f>'S21.12'!$B$21</f>
        <v>6</v>
      </c>
      <c r="C21" t="str">
        <f>'S21.12'!D21</f>
        <v>ID-007A</v>
      </c>
      <c r="D21">
        <f>'S21.12'!E21</f>
        <v>0</v>
      </c>
      <c r="E21" t="str">
        <f>'S21.12'!F21</f>
        <v>BOQ-007</v>
      </c>
      <c r="G21" t="s">
        <v>239</v>
      </c>
      <c r="H21" t="s">
        <v>27</v>
      </c>
      <c r="I21" s="16">
        <f>'S21.12'!$R$21</f>
        <v>0</v>
      </c>
      <c r="J21">
        <f>VLOOKUP(A21,DM_CKDH!$B$5:$E$54,4,0)</f>
        <v>1</v>
      </c>
      <c r="K21" s="25">
        <f t="shared" si="1"/>
        <v>0</v>
      </c>
      <c r="L21" t="str">
        <f>VLOOKUP(A21,DM_CKDH!$B$5:$E$54,2,0)</f>
        <v>Đài đơn còn lại - Khu lõi</v>
      </c>
    </row>
    <row r="22" spans="1:12">
      <c r="A22" t="str">
        <f>'S21.12'!$F$3</f>
        <v>S21.12</v>
      </c>
      <c r="B22">
        <f>'S21.12'!$B$24</f>
        <v>7</v>
      </c>
      <c r="C22" t="str">
        <f>'S21.12'!D24</f>
        <v>ID-007B</v>
      </c>
      <c r="D22">
        <f>'S21.12'!E24</f>
        <v>0</v>
      </c>
      <c r="E22" t="str">
        <f>'S21.12'!F24</f>
        <v>BOQ-008</v>
      </c>
      <c r="G22" t="s">
        <v>240</v>
      </c>
      <c r="H22" t="s">
        <v>27</v>
      </c>
      <c r="I22" s="16">
        <f>'S21.12'!$R$24</f>
        <v>0</v>
      </c>
      <c r="J22">
        <f>VLOOKUP(A22,DM_CKDH!$B$5:$E$54,4,0)</f>
        <v>1</v>
      </c>
      <c r="K22" s="25">
        <f t="shared" si="1"/>
        <v>0</v>
      </c>
      <c r="L22" t="str">
        <f>VLOOKUP(A22,DM_CKDH!$B$5:$E$54,2,0)</f>
        <v>Đài đơn còn lại - Khu lõi</v>
      </c>
    </row>
    <row r="23" spans="1:12">
      <c r="A23" t="str">
        <f>'S21.12'!$F$3</f>
        <v>S21.12</v>
      </c>
      <c r="B23">
        <f>'S21.12'!$B$27</f>
        <v>8</v>
      </c>
      <c r="C23" t="str">
        <f>'S21.12'!D27</f>
        <v>ID-007C</v>
      </c>
      <c r="D23">
        <f>'S21.12'!E27</f>
        <v>0</v>
      </c>
      <c r="E23" t="str">
        <f>'S21.12'!F27</f>
        <v>BOQ-009</v>
      </c>
      <c r="G23" t="s">
        <v>241</v>
      </c>
      <c r="H23" t="s">
        <v>27</v>
      </c>
      <c r="I23" s="16">
        <f>'S21.12'!$R$27</f>
        <v>0</v>
      </c>
      <c r="J23">
        <f>VLOOKUP(A23,DM_CKDH!$B$5:$E$54,4,0)</f>
        <v>1</v>
      </c>
      <c r="K23" s="25">
        <f t="shared" si="1"/>
        <v>0</v>
      </c>
      <c r="L23" t="str">
        <f>VLOOKUP(A23,DM_CKDH!$B$5:$E$54,2,0)</f>
        <v>Đài đơn còn lại - Khu lõi</v>
      </c>
    </row>
    <row r="24" spans="1:12">
      <c r="A24" t="str">
        <f>'S21.12'!$F$3</f>
        <v>S21.12</v>
      </c>
      <c r="B24">
        <f>'S21.12'!$B$30</f>
        <v>9</v>
      </c>
      <c r="C24" t="str">
        <f>'S21.12'!D30</f>
        <v>ID-007</v>
      </c>
      <c r="D24" t="str">
        <f>'S21.12'!E30</f>
        <v>CBS</v>
      </c>
      <c r="E24">
        <f>'S21.12'!F30</f>
        <v>0</v>
      </c>
      <c r="G24" t="s">
        <v>294</v>
      </c>
      <c r="H24" t="s">
        <v>27</v>
      </c>
      <c r="I24" s="16">
        <f>'S21.12'!$R$30</f>
        <v>0</v>
      </c>
      <c r="J24">
        <f>VLOOKUP(A24,DM_CKDH!$B$5:$E$54,4,0)</f>
        <v>1</v>
      </c>
      <c r="K24" s="25">
        <f t="shared" si="1"/>
        <v>0</v>
      </c>
      <c r="L24" t="str">
        <f>VLOOKUP(A24,DM_CKDH!$B$5:$E$54,2,0)</f>
        <v>Đài đơn còn lại - Khu lõi</v>
      </c>
    </row>
    <row r="25" spans="1:12">
      <c r="A25" t="str">
        <f>'S21.12'!$F$3</f>
        <v>S21.12</v>
      </c>
      <c r="B25">
        <f>'S21.12'!$B$33</f>
        <v>10</v>
      </c>
      <c r="C25" t="str">
        <f>'S21.12'!D33</f>
        <v>ID-008</v>
      </c>
      <c r="D25" t="str">
        <f>'S21.12'!E33</f>
        <v>CBS</v>
      </c>
      <c r="E25" t="str">
        <f>'S21.12'!F33</f>
        <v>BOQ-010</v>
      </c>
      <c r="G25" t="s">
        <v>242</v>
      </c>
      <c r="H25" t="s">
        <v>27</v>
      </c>
      <c r="I25" s="16">
        <f>'S21.12'!$R$33</f>
        <v>0</v>
      </c>
      <c r="J25">
        <f>VLOOKUP(A25,DM_CKDH!$B$5:$E$54,4,0)</f>
        <v>1</v>
      </c>
      <c r="K25" s="25">
        <f t="shared" si="1"/>
        <v>0</v>
      </c>
      <c r="L25" t="str">
        <f>VLOOKUP(A25,DM_CKDH!$B$5:$E$54,2,0)</f>
        <v>Đài đơn còn lại - Khu lõi</v>
      </c>
    </row>
    <row r="26" spans="1:12">
      <c r="A26" t="str">
        <f>'S21.12'!$F$3</f>
        <v>S21.12</v>
      </c>
      <c r="B26">
        <f>'S21.12'!$B$36</f>
        <v>11</v>
      </c>
      <c r="C26" t="str">
        <f>'S21.12'!D36</f>
        <v>ID-041</v>
      </c>
      <c r="D26" t="str">
        <f>'S21.12'!E36</f>
        <v>CBS</v>
      </c>
      <c r="E26" t="str">
        <f>'S21.12'!F36</f>
        <v>BOQ-062</v>
      </c>
      <c r="G26" t="s">
        <v>269</v>
      </c>
      <c r="H26" t="s">
        <v>27</v>
      </c>
      <c r="I26" s="16">
        <f>'S21.12'!$R$36</f>
        <v>0</v>
      </c>
      <c r="J26">
        <f>VLOOKUP(A26,DM_CKDH!$B$5:$E$54,4,0)</f>
        <v>1</v>
      </c>
      <c r="K26" s="25">
        <f t="shared" si="1"/>
        <v>0</v>
      </c>
      <c r="L26" t="str">
        <f>VLOOKUP(A26,DM_CKDH!$B$5:$E$54,2,0)</f>
        <v>Đài đơn còn lại - Khu lõi</v>
      </c>
    </row>
    <row r="27" spans="1:12">
      <c r="A27" t="str">
        <f>'S21.12'!$F$3</f>
        <v>S21.12</v>
      </c>
      <c r="B27">
        <f>'S21.12'!$B$39</f>
        <v>12</v>
      </c>
      <c r="C27" t="str">
        <f>'S21.12'!D39</f>
        <v>ID-042</v>
      </c>
      <c r="D27" t="str">
        <f>'S21.12'!E39</f>
        <v>CBS</v>
      </c>
      <c r="E27" t="str">
        <f>'S21.12'!F39</f>
        <v>BOQ-063</v>
      </c>
      <c r="G27" t="s">
        <v>270</v>
      </c>
      <c r="H27" t="s">
        <v>27</v>
      </c>
      <c r="I27" s="16">
        <f>'S21.12'!$R$39</f>
        <v>0</v>
      </c>
      <c r="J27">
        <f>VLOOKUP(A27,DM_CKDH!$B$5:$E$54,4,0)</f>
        <v>1</v>
      </c>
      <c r="K27" s="25">
        <f t="shared" si="1"/>
        <v>0</v>
      </c>
      <c r="L27" t="str">
        <f>VLOOKUP(A27,DM_CKDH!$B$5:$E$54,2,0)</f>
        <v>Đài đơn còn lại - Khu lõi</v>
      </c>
    </row>
    <row r="28" spans="1:12">
      <c r="A28" t="str">
        <f>'S22.11'!$F$3</f>
        <v>S22.11</v>
      </c>
      <c r="B28">
        <f>'S22.11'!$B$6</f>
        <v>1</v>
      </c>
      <c r="C28" t="str">
        <f>'S22.11'!D6</f>
        <v>ID-004</v>
      </c>
      <c r="D28">
        <f>'S22.11'!E6</f>
        <v>0</v>
      </c>
      <c r="E28" t="str">
        <f>'S22.11'!F6</f>
        <v>BOQ-004</v>
      </c>
      <c r="G28" t="s">
        <v>335</v>
      </c>
      <c r="H28" t="s">
        <v>27</v>
      </c>
      <c r="I28" s="16">
        <f>'S22.11'!$R$6</f>
        <v>0</v>
      </c>
      <c r="J28">
        <f>VLOOKUP(A28,DM_CKDH!$B$5:$E$54,4,0)</f>
        <v>1</v>
      </c>
      <c r="K28" s="25">
        <f t="shared" si="1"/>
        <v>0</v>
      </c>
      <c r="L28" t="str">
        <f>VLOOKUP(A28,DM_CKDH!$B$5:$E$54,2,0)</f>
        <v>giằng, sàn, rãnh nước nền hầm - Khu lõi</v>
      </c>
    </row>
    <row r="29" spans="1:12">
      <c r="A29" t="str">
        <f>'S22.11'!$F$3</f>
        <v>S22.11</v>
      </c>
      <c r="B29">
        <f>'S22.11'!$B$9</f>
        <v>2</v>
      </c>
      <c r="C29" t="str">
        <f>'S22.11'!D9</f>
        <v>ID-004B</v>
      </c>
      <c r="D29" t="str">
        <f>'S22.11'!E9</f>
        <v>CBS</v>
      </c>
      <c r="E29">
        <f>'S22.11'!F9</f>
        <v>0</v>
      </c>
      <c r="G29" t="s">
        <v>341</v>
      </c>
      <c r="H29" t="s">
        <v>27</v>
      </c>
      <c r="I29" s="16">
        <f>'S22.11'!$R$9</f>
        <v>0</v>
      </c>
      <c r="J29">
        <f>VLOOKUP(A29,DM_CKDH!$B$5:$E$54,4,0)</f>
        <v>1</v>
      </c>
      <c r="K29" s="25">
        <f t="shared" si="1"/>
        <v>0</v>
      </c>
      <c r="L29" t="str">
        <f>VLOOKUP(A29,DM_CKDH!$B$5:$E$54,2,0)</f>
        <v>giằng, sàn, rãnh nước nền hầm - Khu lõi</v>
      </c>
    </row>
    <row r="30" spans="1:12">
      <c r="A30" t="str">
        <f>'S22.11'!$F$3</f>
        <v>S22.11</v>
      </c>
      <c r="B30">
        <f>'S22.11'!$B$12</f>
        <v>3</v>
      </c>
      <c r="C30" t="str">
        <f>'S22.11'!D12</f>
        <v>ID-006</v>
      </c>
      <c r="D30">
        <f>'S22.11'!E12</f>
        <v>0</v>
      </c>
      <c r="E30" t="str">
        <f>'S22.11'!F12</f>
        <v>BOQ-006</v>
      </c>
      <c r="G30" t="s">
        <v>336</v>
      </c>
      <c r="H30" t="s">
        <v>27</v>
      </c>
      <c r="I30" s="16">
        <f>'S22.11'!$R$12</f>
        <v>0</v>
      </c>
      <c r="J30">
        <f>VLOOKUP(A30,DM_CKDH!$B$5:$E$54,4,0)</f>
        <v>1</v>
      </c>
      <c r="K30" s="25">
        <f t="shared" si="1"/>
        <v>0</v>
      </c>
      <c r="L30" t="str">
        <f>VLOOKUP(A30,DM_CKDH!$B$5:$E$54,2,0)</f>
        <v>giằng, sàn, rãnh nước nền hầm - Khu lõi</v>
      </c>
    </row>
    <row r="31" spans="1:12">
      <c r="A31" t="str">
        <f>'S22.11'!$F$3</f>
        <v>S22.11</v>
      </c>
      <c r="B31">
        <f>'S22.11'!$B$15</f>
        <v>4</v>
      </c>
      <c r="C31" t="str">
        <f>'S22.11'!D15</f>
        <v>ID-006B</v>
      </c>
      <c r="D31" t="str">
        <f>'S22.11'!E15</f>
        <v>CBS</v>
      </c>
      <c r="E31">
        <f>'S22.11'!F15</f>
        <v>0</v>
      </c>
      <c r="G31" t="s">
        <v>339</v>
      </c>
      <c r="H31" t="s">
        <v>27</v>
      </c>
      <c r="I31" s="16">
        <f>'S22.11'!$R$15</f>
        <v>0</v>
      </c>
      <c r="J31">
        <f>VLOOKUP(A31,DM_CKDH!$B$5:$E$54,4,0)</f>
        <v>1</v>
      </c>
      <c r="K31" s="25">
        <f t="shared" si="1"/>
        <v>0</v>
      </c>
      <c r="L31" t="str">
        <f>VLOOKUP(A31,DM_CKDH!$B$5:$E$54,2,0)</f>
        <v>giằng, sàn, rãnh nước nền hầm - Khu lõi</v>
      </c>
    </row>
    <row r="32" spans="1:12">
      <c r="A32" t="str">
        <f>'S22.11'!$F$3</f>
        <v>S22.11</v>
      </c>
      <c r="B32">
        <f>'S22.11'!$B$18</f>
        <v>5</v>
      </c>
      <c r="C32" t="str">
        <f>'S22.11'!D18</f>
        <v>ID-009</v>
      </c>
      <c r="D32" t="str">
        <f>'S22.11'!E18</f>
        <v>CBS</v>
      </c>
      <c r="E32" t="str">
        <f>'S22.11'!F18</f>
        <v>BOQ-011</v>
      </c>
      <c r="G32" t="s">
        <v>310</v>
      </c>
      <c r="H32" t="s">
        <v>27</v>
      </c>
      <c r="I32" s="16">
        <f>'S22.11'!$R$18</f>
        <v>0</v>
      </c>
      <c r="J32">
        <f>VLOOKUP(A32,DM_CKDH!$B$5:$E$54,4,0)</f>
        <v>1</v>
      </c>
      <c r="K32" s="25">
        <f t="shared" si="1"/>
        <v>0</v>
      </c>
      <c r="L32" t="str">
        <f>VLOOKUP(A32,DM_CKDH!$B$5:$E$54,2,0)</f>
        <v>giằng, sàn, rãnh nước nền hầm - Khu lõi</v>
      </c>
    </row>
    <row r="33" spans="1:12">
      <c r="A33" t="str">
        <f>'S22.11'!$F$3</f>
        <v>S22.11</v>
      </c>
      <c r="B33">
        <f>'S22.11'!$B$21</f>
        <v>6</v>
      </c>
      <c r="C33" t="str">
        <f>'S22.11'!D21</f>
        <v>ID-010</v>
      </c>
      <c r="D33">
        <f>'S22.11'!E21</f>
        <v>0</v>
      </c>
      <c r="E33" t="str">
        <f>'S22.11'!F21</f>
        <v>BOQ-012</v>
      </c>
      <c r="G33" t="s">
        <v>343</v>
      </c>
      <c r="H33" t="s">
        <v>27</v>
      </c>
      <c r="I33" s="16">
        <f>'S22.11'!$R$21</f>
        <v>0</v>
      </c>
      <c r="J33">
        <f>VLOOKUP(A33,DM_CKDH!$B$5:$E$54,4,0)</f>
        <v>1</v>
      </c>
      <c r="K33" s="25">
        <f t="shared" si="1"/>
        <v>0</v>
      </c>
      <c r="L33" t="str">
        <f>VLOOKUP(A33,DM_CKDH!$B$5:$E$54,2,0)</f>
        <v>giằng, sàn, rãnh nước nền hầm - Khu lõi</v>
      </c>
    </row>
    <row r="34" spans="1:12">
      <c r="A34" t="str">
        <f>'S22.11'!$F$3</f>
        <v>S22.11</v>
      </c>
      <c r="B34">
        <f>'S22.11'!$B$24</f>
        <v>7</v>
      </c>
      <c r="C34" t="str">
        <f>'S22.11'!D24</f>
        <v>ID-010A</v>
      </c>
      <c r="D34" t="str">
        <f>'S22.11'!E24</f>
        <v>CBS</v>
      </c>
      <c r="E34">
        <f>'S22.11'!F24</f>
        <v>0</v>
      </c>
      <c r="G34" t="s">
        <v>344</v>
      </c>
      <c r="H34" t="s">
        <v>27</v>
      </c>
      <c r="I34" s="16">
        <f>'S22.11'!$R$24</f>
        <v>0</v>
      </c>
      <c r="J34">
        <f>VLOOKUP(A34,DM_CKDH!$B$5:$E$54,4,0)</f>
        <v>1</v>
      </c>
      <c r="K34" s="25">
        <f t="shared" si="1"/>
        <v>0</v>
      </c>
      <c r="L34" t="str">
        <f>VLOOKUP(A34,DM_CKDH!$B$5:$E$54,2,0)</f>
        <v>giằng, sàn, rãnh nước nền hầm - Khu lõi</v>
      </c>
    </row>
    <row r="35" spans="1:12">
      <c r="A35" t="str">
        <f>'S22.11'!$F$3</f>
        <v>S22.11</v>
      </c>
      <c r="B35">
        <f>'S22.11'!$B$27</f>
        <v>8</v>
      </c>
      <c r="C35" t="str">
        <f>'S22.11'!D27</f>
        <v>ID-011</v>
      </c>
      <c r="D35">
        <f>'S22.11'!E27</f>
        <v>0</v>
      </c>
      <c r="E35" t="str">
        <f>'S22.11'!F27</f>
        <v>BOQ-013</v>
      </c>
      <c r="G35" t="s">
        <v>524</v>
      </c>
      <c r="H35" t="s">
        <v>27</v>
      </c>
      <c r="I35" s="16">
        <f>'S22.11'!$R$27</f>
        <v>0</v>
      </c>
      <c r="J35">
        <f>VLOOKUP(A35,DM_CKDH!$B$5:$E$54,4,0)</f>
        <v>1</v>
      </c>
      <c r="K35" s="25">
        <f t="shared" si="1"/>
        <v>0</v>
      </c>
      <c r="L35" t="str">
        <f>VLOOKUP(A35,DM_CKDH!$B$5:$E$54,2,0)</f>
        <v>giằng, sàn, rãnh nước nền hầm - Khu lõi</v>
      </c>
    </row>
    <row r="36" spans="1:12">
      <c r="A36" t="str">
        <f>'S22.11'!$F$3</f>
        <v>S22.11</v>
      </c>
      <c r="B36">
        <f>'S22.11'!$B$30</f>
        <v>9</v>
      </c>
      <c r="C36" t="str">
        <f>'S22.11'!D30</f>
        <v>ID-011A</v>
      </c>
      <c r="D36" t="str">
        <f>'S22.11'!E30</f>
        <v>CBS</v>
      </c>
      <c r="E36">
        <f>'S22.11'!F30</f>
        <v>0</v>
      </c>
      <c r="G36" t="s">
        <v>320</v>
      </c>
      <c r="H36" t="s">
        <v>27</v>
      </c>
      <c r="I36" s="16">
        <f>'S22.11'!$R$30</f>
        <v>0</v>
      </c>
      <c r="J36">
        <f>VLOOKUP(A36,DM_CKDH!$B$5:$E$54,4,0)</f>
        <v>1</v>
      </c>
      <c r="K36" s="25">
        <f t="shared" si="1"/>
        <v>0</v>
      </c>
      <c r="L36" t="str">
        <f>VLOOKUP(A36,DM_CKDH!$B$5:$E$54,2,0)</f>
        <v>giằng, sàn, rãnh nước nền hầm - Khu lõi</v>
      </c>
    </row>
    <row r="37" spans="1:12">
      <c r="A37" t="str">
        <f>'S22.11'!$F$3</f>
        <v>S22.11</v>
      </c>
      <c r="B37">
        <f>'S22.11'!$B$33</f>
        <v>10</v>
      </c>
      <c r="C37" t="str">
        <f>'S22.11'!D33</f>
        <v>ID-037</v>
      </c>
      <c r="D37" t="str">
        <f>'S22.11'!E33</f>
        <v>CBS</v>
      </c>
      <c r="E37" t="str">
        <f>'S22.11'!F33</f>
        <v>BOQ-058</v>
      </c>
      <c r="G37" t="s">
        <v>265</v>
      </c>
      <c r="H37" t="s">
        <v>27</v>
      </c>
      <c r="I37" s="16">
        <f>'S22.11'!$R$33</f>
        <v>0</v>
      </c>
      <c r="J37">
        <f>VLOOKUP(A37,DM_CKDH!$B$5:$E$54,4,0)</f>
        <v>1</v>
      </c>
      <c r="K37" s="25">
        <f t="shared" si="1"/>
        <v>0</v>
      </c>
      <c r="L37" t="str">
        <f>VLOOKUP(A37,DM_CKDH!$B$5:$E$54,2,0)</f>
        <v>giằng, sàn, rãnh nước nền hầm - Khu lõi</v>
      </c>
    </row>
    <row r="38" spans="1:12">
      <c r="A38" t="str">
        <f>'S22.11'!$F$3</f>
        <v>S22.11</v>
      </c>
      <c r="B38">
        <f>'S22.11'!$B$36</f>
        <v>11</v>
      </c>
      <c r="C38" t="str">
        <f>'S22.11'!D36</f>
        <v>ID-039</v>
      </c>
      <c r="D38" t="str">
        <f>'S22.11'!E36</f>
        <v>CBS</v>
      </c>
      <c r="E38" t="str">
        <f>'S22.11'!F36</f>
        <v>BOQ-060</v>
      </c>
      <c r="G38" t="s">
        <v>267</v>
      </c>
      <c r="H38" t="s">
        <v>27</v>
      </c>
      <c r="I38" s="16">
        <f>'S22.11'!$R$36</f>
        <v>0</v>
      </c>
      <c r="J38">
        <f>VLOOKUP(A38,DM_CKDH!$B$5:$E$54,4,0)</f>
        <v>1</v>
      </c>
      <c r="K38" s="25">
        <f t="shared" si="1"/>
        <v>0</v>
      </c>
      <c r="L38" t="str">
        <f>VLOOKUP(A38,DM_CKDH!$B$5:$E$54,2,0)</f>
        <v>giằng, sàn, rãnh nước nền hầm - Khu lõi</v>
      </c>
    </row>
    <row r="39" spans="1:12">
      <c r="A39" t="str">
        <f>'S33.13'!$F$3</f>
        <v>S33.13</v>
      </c>
      <c r="B39">
        <f>'S33.13'!$B$6</f>
        <v>1</v>
      </c>
      <c r="C39" t="str">
        <f>'S33.13'!D6</f>
        <v>ID-004</v>
      </c>
      <c r="D39">
        <f>'S33.13'!E6</f>
        <v>0</v>
      </c>
      <c r="E39" t="str">
        <f>'S33.13'!F6</f>
        <v>BOQ-004</v>
      </c>
      <c r="G39" t="s">
        <v>335</v>
      </c>
      <c r="H39" t="s">
        <v>27</v>
      </c>
      <c r="I39" s="16">
        <f>'S33.13'!$R$6</f>
        <v>0</v>
      </c>
      <c r="J39">
        <f>VLOOKUP(A39,DM_CKDH!$B$5:$E$54,4,0)</f>
        <v>1</v>
      </c>
      <c r="K39" s="25">
        <f t="shared" si="1"/>
        <v>0</v>
      </c>
      <c r="L39" t="str">
        <f>VLOOKUP(A39,DM_CKDH!$B$5:$E$54,2,0)</f>
        <v>Hố bơm, bể phốt</v>
      </c>
    </row>
    <row r="40" spans="1:12">
      <c r="A40" t="str">
        <f>'S33.13'!$F$3</f>
        <v>S33.13</v>
      </c>
      <c r="B40">
        <f>'S33.13'!$B$9</f>
        <v>2</v>
      </c>
      <c r="C40" t="str">
        <f>'S33.13'!D9</f>
        <v>ID-004C</v>
      </c>
      <c r="D40" t="str">
        <f>'S33.13'!E9</f>
        <v>CBS</v>
      </c>
      <c r="E40">
        <f>'S33.13'!F9</f>
        <v>0</v>
      </c>
      <c r="G40" t="s">
        <v>342</v>
      </c>
      <c r="H40" t="s">
        <v>27</v>
      </c>
      <c r="I40" s="16">
        <f>'S33.13'!$R$9</f>
        <v>0</v>
      </c>
      <c r="J40">
        <f>VLOOKUP(A40,DM_CKDH!$B$5:$E$54,4,0)</f>
        <v>1</v>
      </c>
      <c r="K40" s="25">
        <f t="shared" si="1"/>
        <v>0</v>
      </c>
      <c r="L40" t="str">
        <f>VLOOKUP(A40,DM_CKDH!$B$5:$E$54,2,0)</f>
        <v>Hố bơm, bể phốt</v>
      </c>
    </row>
    <row r="41" spans="1:12">
      <c r="A41" t="str">
        <f>'S33.13'!$F$3</f>
        <v>S33.13</v>
      </c>
      <c r="B41">
        <f>'S33.13'!$B$12</f>
        <v>3</v>
      </c>
      <c r="C41" t="str">
        <f>'S33.13'!D12</f>
        <v>ID-006</v>
      </c>
      <c r="D41">
        <f>'S33.13'!E12</f>
        <v>0</v>
      </c>
      <c r="E41" t="str">
        <f>'S33.13'!F12</f>
        <v>BOQ-006</v>
      </c>
      <c r="G41" t="s">
        <v>336</v>
      </c>
      <c r="H41" t="s">
        <v>27</v>
      </c>
      <c r="I41" s="16">
        <f>'S33.13'!$R$12</f>
        <v>0</v>
      </c>
      <c r="J41">
        <f>VLOOKUP(A41,DM_CKDH!$B$5:$E$54,4,0)</f>
        <v>1</v>
      </c>
      <c r="K41" s="25">
        <f t="shared" si="1"/>
        <v>0</v>
      </c>
      <c r="L41" t="str">
        <f>VLOOKUP(A41,DM_CKDH!$B$5:$E$54,2,0)</f>
        <v>Hố bơm, bể phốt</v>
      </c>
    </row>
    <row r="42" spans="1:12">
      <c r="A42" t="str">
        <f>'S33.13'!$F$3</f>
        <v>S33.13</v>
      </c>
      <c r="B42">
        <f>'S33.13'!$B$15</f>
        <v>4</v>
      </c>
      <c r="C42" t="str">
        <f>'S33.13'!D15</f>
        <v>ID-006C</v>
      </c>
      <c r="D42" t="str">
        <f>'S33.13'!E15</f>
        <v>CBS</v>
      </c>
      <c r="E42">
        <f>'S33.13'!F15</f>
        <v>0</v>
      </c>
      <c r="G42" t="s">
        <v>340</v>
      </c>
      <c r="H42" t="s">
        <v>27</v>
      </c>
      <c r="I42" s="16">
        <f>'S33.13'!$R$15</f>
        <v>0</v>
      </c>
      <c r="J42">
        <f>VLOOKUP(A42,DM_CKDH!$B$5:$E$54,4,0)</f>
        <v>1</v>
      </c>
      <c r="K42" s="25">
        <f t="shared" si="1"/>
        <v>0</v>
      </c>
      <c r="L42" t="str">
        <f>VLOOKUP(A42,DM_CKDH!$B$5:$E$54,2,0)</f>
        <v>Hố bơm, bể phốt</v>
      </c>
    </row>
    <row r="43" spans="1:12">
      <c r="A43" t="str">
        <f>'S33.13'!$F$3</f>
        <v>S33.13</v>
      </c>
      <c r="B43">
        <f>'S33.13'!$B$18</f>
        <v>5</v>
      </c>
      <c r="C43" t="str">
        <f>'S33.13'!D18</f>
        <v>ID-009</v>
      </c>
      <c r="D43" t="str">
        <f>'S33.13'!E18</f>
        <v>CBS</v>
      </c>
      <c r="E43" t="str">
        <f>'S33.13'!F18</f>
        <v>BOQ-011</v>
      </c>
      <c r="G43" t="s">
        <v>310</v>
      </c>
      <c r="H43" t="s">
        <v>27</v>
      </c>
      <c r="I43" s="16">
        <f>'S33.13'!$R$18</f>
        <v>0</v>
      </c>
      <c r="J43">
        <f>VLOOKUP(A43,DM_CKDH!$B$5:$E$54,4,0)</f>
        <v>1</v>
      </c>
      <c r="K43" s="25">
        <f t="shared" si="1"/>
        <v>0</v>
      </c>
      <c r="L43" t="str">
        <f>VLOOKUP(A43,DM_CKDH!$B$5:$E$54,2,0)</f>
        <v>Hố bơm, bể phốt</v>
      </c>
    </row>
    <row r="44" spans="1:12">
      <c r="A44" t="str">
        <f>'S33.13'!$F$3</f>
        <v>S33.13</v>
      </c>
      <c r="B44">
        <f>'S33.13'!$B$21</f>
        <v>6</v>
      </c>
      <c r="C44" t="str">
        <f>'S33.13'!D21</f>
        <v>ID-010</v>
      </c>
      <c r="D44">
        <f>'S33.13'!E21</f>
        <v>0</v>
      </c>
      <c r="E44" t="str">
        <f>'S33.13'!F21</f>
        <v>BOQ-012</v>
      </c>
      <c r="G44" t="s">
        <v>343</v>
      </c>
      <c r="H44" t="s">
        <v>27</v>
      </c>
      <c r="I44" s="16">
        <f>'S33.13'!$R$21</f>
        <v>0</v>
      </c>
      <c r="J44">
        <f>VLOOKUP(A44,DM_CKDH!$B$5:$E$54,4,0)</f>
        <v>1</v>
      </c>
      <c r="K44" s="25">
        <f t="shared" si="1"/>
        <v>0</v>
      </c>
      <c r="L44" t="str">
        <f>VLOOKUP(A44,DM_CKDH!$B$5:$E$54,2,0)</f>
        <v>Hố bơm, bể phốt</v>
      </c>
    </row>
    <row r="45" spans="1:12">
      <c r="A45" t="str">
        <f>'S33.13'!$F$3</f>
        <v>S33.13</v>
      </c>
      <c r="B45">
        <f>'S33.13'!$B$24</f>
        <v>7</v>
      </c>
      <c r="C45" t="str">
        <f>'S33.13'!D24</f>
        <v>ID-010A</v>
      </c>
      <c r="D45" t="str">
        <f>'S33.13'!E24</f>
        <v>CBS</v>
      </c>
      <c r="E45">
        <f>'S33.13'!F24</f>
        <v>0</v>
      </c>
      <c r="G45" t="s">
        <v>344</v>
      </c>
      <c r="H45" t="s">
        <v>27</v>
      </c>
      <c r="I45" s="16">
        <f>'S33.13'!$R$24</f>
        <v>0</v>
      </c>
      <c r="J45">
        <f>VLOOKUP(A45,DM_CKDH!$B$5:$E$54,4,0)</f>
        <v>1</v>
      </c>
      <c r="K45" s="25">
        <f t="shared" si="1"/>
        <v>0</v>
      </c>
      <c r="L45" t="str">
        <f>VLOOKUP(A45,DM_CKDH!$B$5:$E$54,2,0)</f>
        <v>Hố bơm, bể phốt</v>
      </c>
    </row>
    <row r="46" spans="1:12">
      <c r="A46" t="str">
        <f>'S33.13'!$F$3</f>
        <v>S33.13</v>
      </c>
      <c r="B46">
        <f>'S33.13'!$B$27</f>
        <v>8</v>
      </c>
      <c r="C46" t="str">
        <f>'S33.13'!D27</f>
        <v>ID-011</v>
      </c>
      <c r="D46">
        <f>'S33.13'!E27</f>
        <v>0</v>
      </c>
      <c r="E46" t="str">
        <f>'S33.13'!F27</f>
        <v>BOQ-013</v>
      </c>
      <c r="G46" t="s">
        <v>524</v>
      </c>
      <c r="H46" t="s">
        <v>27</v>
      </c>
      <c r="I46" s="16">
        <f>'S33.13'!$R$27</f>
        <v>0</v>
      </c>
      <c r="J46">
        <f>VLOOKUP(A46,DM_CKDH!$B$5:$E$54,4,0)</f>
        <v>1</v>
      </c>
      <c r="K46" s="25">
        <f t="shared" si="1"/>
        <v>0</v>
      </c>
      <c r="L46" t="str">
        <f>VLOOKUP(A46,DM_CKDH!$B$5:$E$54,2,0)</f>
        <v>Hố bơm, bể phốt</v>
      </c>
    </row>
    <row r="47" spans="1:12">
      <c r="A47" t="str">
        <f>'S33.13'!$F$3</f>
        <v>S33.13</v>
      </c>
      <c r="B47">
        <f>'S33.13'!$B$30</f>
        <v>9</v>
      </c>
      <c r="C47" t="str">
        <f>'S33.13'!D30</f>
        <v>ID-011B</v>
      </c>
      <c r="D47" t="str">
        <f>'S33.13'!E30</f>
        <v>CBS</v>
      </c>
      <c r="E47">
        <f>'S33.13'!F30</f>
        <v>0</v>
      </c>
      <c r="G47" t="s">
        <v>321</v>
      </c>
      <c r="H47" t="s">
        <v>27</v>
      </c>
      <c r="I47" s="16">
        <f>'S33.13'!$R$30</f>
        <v>0</v>
      </c>
      <c r="J47">
        <f>VLOOKUP(A47,DM_CKDH!$B$5:$E$54,4,0)</f>
        <v>1</v>
      </c>
      <c r="K47" s="25">
        <f t="shared" si="1"/>
        <v>0</v>
      </c>
      <c r="L47" t="str">
        <f>VLOOKUP(A47,DM_CKDH!$B$5:$E$54,2,0)</f>
        <v>Hố bơm, bể phốt</v>
      </c>
    </row>
    <row r="48" spans="1:12">
      <c r="A48" t="str">
        <f>'S23.11'!$F$3</f>
        <v>S23.11</v>
      </c>
      <c r="B48">
        <f>'S23.11'!$B$6</f>
        <v>1</v>
      </c>
      <c r="C48" t="str">
        <f>'S23.11'!D6</f>
        <v>ID-012A</v>
      </c>
      <c r="D48" t="str">
        <f>'S23.11'!E6</f>
        <v>CBS</v>
      </c>
      <c r="E48">
        <f>'S23.11'!F6</f>
        <v>0</v>
      </c>
      <c r="G48" t="s">
        <v>350</v>
      </c>
      <c r="H48" t="s">
        <v>27</v>
      </c>
      <c r="I48" s="16">
        <f>'S23.11'!$R$6</f>
        <v>0</v>
      </c>
      <c r="J48">
        <f>VLOOKUP(A48,DM_CKDH!$B$5:$E$54,4,0)</f>
        <v>1</v>
      </c>
      <c r="K48" s="25">
        <f t="shared" si="1"/>
        <v>0</v>
      </c>
      <c r="L48" t="str">
        <f>VLOOKUP(A48,DM_CKDH!$B$5:$E$54,2,0)</f>
        <v>Tường bao tầng hầm - Khu lõi</v>
      </c>
    </row>
    <row r="49" spans="1:12">
      <c r="A49" t="str">
        <f>'S23.11'!$F$3</f>
        <v>S23.11</v>
      </c>
      <c r="B49">
        <f>'S23.11'!$B$9</f>
        <v>2</v>
      </c>
      <c r="C49" t="str">
        <f>'S23.11'!D9</f>
        <v>ID-013A</v>
      </c>
      <c r="D49">
        <f>'S23.11'!E9</f>
        <v>0</v>
      </c>
      <c r="E49" t="str">
        <f>'S23.11'!F9</f>
        <v>BOQ-015</v>
      </c>
      <c r="G49" t="s">
        <v>244</v>
      </c>
      <c r="H49" t="s">
        <v>27</v>
      </c>
      <c r="I49" s="16">
        <f>'S23.11'!$R$9</f>
        <v>0</v>
      </c>
      <c r="J49">
        <f>VLOOKUP(A49,DM_CKDH!$B$5:$E$54,4,0)</f>
        <v>1</v>
      </c>
      <c r="K49" s="25">
        <f t="shared" si="1"/>
        <v>0</v>
      </c>
      <c r="L49" t="str">
        <f>VLOOKUP(A49,DM_CKDH!$B$5:$E$54,2,0)</f>
        <v>Tường bao tầng hầm - Khu lõi</v>
      </c>
    </row>
    <row r="50" spans="1:12">
      <c r="A50" t="str">
        <f>'S23.11'!$F$3</f>
        <v>S23.11</v>
      </c>
      <c r="B50">
        <f>'S23.11'!$B$12</f>
        <v>3</v>
      </c>
      <c r="C50" t="str">
        <f>'S23.11'!D12</f>
        <v>ID-013B</v>
      </c>
      <c r="D50">
        <f>'S23.11'!E12</f>
        <v>0</v>
      </c>
      <c r="E50" t="str">
        <f>'S23.11'!F12</f>
        <v>BOQ-016</v>
      </c>
      <c r="G50" t="s">
        <v>245</v>
      </c>
      <c r="H50" t="s">
        <v>27</v>
      </c>
      <c r="I50" s="16">
        <f>'S23.11'!$R$12</f>
        <v>0</v>
      </c>
      <c r="J50">
        <f>VLOOKUP(A50,DM_CKDH!$B$5:$E$54,4,0)</f>
        <v>1</v>
      </c>
      <c r="K50" s="25">
        <f t="shared" si="1"/>
        <v>0</v>
      </c>
      <c r="L50" t="str">
        <f>VLOOKUP(A50,DM_CKDH!$B$5:$E$54,2,0)</f>
        <v>Tường bao tầng hầm - Khu lõi</v>
      </c>
    </row>
    <row r="51" spans="1:12">
      <c r="A51" t="str">
        <f>'S23.11'!$F$3</f>
        <v>S23.11</v>
      </c>
      <c r="B51">
        <f>'S23.11'!$B$15</f>
        <v>4</v>
      </c>
      <c r="C51" t="str">
        <f>'S23.11'!D15</f>
        <v>ID-013</v>
      </c>
      <c r="D51" t="str">
        <f>'S23.11'!E15</f>
        <v>CBS</v>
      </c>
      <c r="E51">
        <f>'S23.11'!F15</f>
        <v>0</v>
      </c>
      <c r="G51" t="s">
        <v>295</v>
      </c>
      <c r="H51" t="s">
        <v>27</v>
      </c>
      <c r="I51" s="16">
        <f>'S23.11'!$R$15</f>
        <v>0</v>
      </c>
      <c r="J51">
        <f>VLOOKUP(A51,DM_CKDH!$B$5:$E$54,4,0)</f>
        <v>1</v>
      </c>
      <c r="K51" s="25">
        <f t="shared" si="1"/>
        <v>0</v>
      </c>
      <c r="L51" t="str">
        <f>VLOOKUP(A51,DM_CKDH!$B$5:$E$54,2,0)</f>
        <v>Tường bao tầng hầm - Khu lõi</v>
      </c>
    </row>
    <row r="52" spans="1:12">
      <c r="A52" t="str">
        <f>'S23.11'!$F$3</f>
        <v>S23.11</v>
      </c>
      <c r="B52">
        <f>'S23.11'!$B$18</f>
        <v>5</v>
      </c>
      <c r="C52" t="str">
        <f>'S23.11'!D18</f>
        <v>ID-014</v>
      </c>
      <c r="D52">
        <f>'S23.11'!E18</f>
        <v>0</v>
      </c>
      <c r="E52" t="str">
        <f>'S23.11'!F18</f>
        <v>BOQ-017</v>
      </c>
      <c r="G52" t="s">
        <v>525</v>
      </c>
      <c r="H52" t="s">
        <v>27</v>
      </c>
      <c r="I52" s="16">
        <f>'S23.11'!$R$18</f>
        <v>0</v>
      </c>
      <c r="J52">
        <f>VLOOKUP(A52,DM_CKDH!$B$5:$E$54,4,0)</f>
        <v>1</v>
      </c>
      <c r="K52" s="25">
        <f t="shared" si="1"/>
        <v>0</v>
      </c>
      <c r="L52" t="str">
        <f>VLOOKUP(A52,DM_CKDH!$B$5:$E$54,2,0)</f>
        <v>Tường bao tầng hầm - Khu lõi</v>
      </c>
    </row>
    <row r="53" spans="1:12">
      <c r="A53" t="str">
        <f>'S23.11'!$F$3</f>
        <v>S23.11</v>
      </c>
      <c r="B53">
        <f>'S23.11'!$B$21</f>
        <v>6</v>
      </c>
      <c r="C53" t="str">
        <f>'S23.11'!D21</f>
        <v>ID-014A</v>
      </c>
      <c r="D53" t="str">
        <f>'S23.11'!E21</f>
        <v>CBS</v>
      </c>
      <c r="E53">
        <f>'S23.11'!F21</f>
        <v>0</v>
      </c>
      <c r="G53" t="s">
        <v>322</v>
      </c>
      <c r="H53" t="s">
        <v>27</v>
      </c>
      <c r="I53" s="16">
        <f>'S23.11'!$R$21</f>
        <v>0</v>
      </c>
      <c r="J53">
        <f>VLOOKUP(A53,DM_CKDH!$B$5:$E$54,4,0)</f>
        <v>1</v>
      </c>
      <c r="K53" s="25">
        <f t="shared" si="1"/>
        <v>0</v>
      </c>
      <c r="L53" t="str">
        <f>VLOOKUP(A53,DM_CKDH!$B$5:$E$54,2,0)</f>
        <v>Tường bao tầng hầm - Khu lõi</v>
      </c>
    </row>
    <row r="54" spans="1:12">
      <c r="A54" t="str">
        <f>'S23.11'!$F$3</f>
        <v>S23.11</v>
      </c>
      <c r="B54">
        <f>'S23.11'!$B$24</f>
        <v>7</v>
      </c>
      <c r="C54" t="str">
        <f>'S23.11'!D24</f>
        <v>ID-X01</v>
      </c>
      <c r="D54" t="str">
        <f>'S23.11'!E24</f>
        <v>CBS</v>
      </c>
      <c r="E54" t="str">
        <f>'S23.11'!F24</f>
        <v>BOQ-018</v>
      </c>
      <c r="G54" t="s">
        <v>307</v>
      </c>
      <c r="H54" t="s">
        <v>27</v>
      </c>
      <c r="I54" s="16">
        <f>'S23.11'!$R$24</f>
        <v>0</v>
      </c>
      <c r="J54">
        <f>VLOOKUP(A54,DM_CKDH!$B$5:$E$54,4,0)</f>
        <v>1</v>
      </c>
      <c r="K54" s="25">
        <f t="shared" si="1"/>
        <v>0</v>
      </c>
      <c r="L54" t="str">
        <f>VLOOKUP(A54,DM_CKDH!$B$5:$E$54,2,0)</f>
        <v>Tường bao tầng hầm - Khu lõi</v>
      </c>
    </row>
    <row r="55" spans="1:12">
      <c r="A55" t="str">
        <f>'S23.11'!$F$3</f>
        <v>S23.11</v>
      </c>
      <c r="B55">
        <f>'S23.11'!$B$27</f>
        <v>8</v>
      </c>
      <c r="C55" t="str">
        <f>'S23.11'!D27</f>
        <v>ID-038</v>
      </c>
      <c r="D55" t="str">
        <f>'S23.11'!E27</f>
        <v>CBS</v>
      </c>
      <c r="E55" t="str">
        <f>'S23.11'!F27</f>
        <v>BOQ-059</v>
      </c>
      <c r="G55" t="s">
        <v>266</v>
      </c>
      <c r="H55" t="s">
        <v>27</v>
      </c>
      <c r="I55" s="16">
        <f>'S23.11'!$R$27</f>
        <v>0</v>
      </c>
      <c r="J55">
        <f>VLOOKUP(A55,DM_CKDH!$B$5:$E$54,4,0)</f>
        <v>1</v>
      </c>
      <c r="K55" s="25">
        <f t="shared" si="1"/>
        <v>0</v>
      </c>
      <c r="L55" t="str">
        <f>VLOOKUP(A55,DM_CKDH!$B$5:$E$54,2,0)</f>
        <v>Tường bao tầng hầm - Khu lõi</v>
      </c>
    </row>
    <row r="56" spans="1:12">
      <c r="A56" t="str">
        <f>'S23.11'!$F$3</f>
        <v>S23.11</v>
      </c>
      <c r="B56">
        <f>'S23.11'!$B$30</f>
        <v>9</v>
      </c>
      <c r="C56" t="str">
        <f>'S23.11'!D30</f>
        <v>ID-040</v>
      </c>
      <c r="D56" t="str">
        <f>'S23.11'!E30</f>
        <v>CBS</v>
      </c>
      <c r="E56" t="str">
        <f>'S23.11'!F30</f>
        <v>BOQ-061</v>
      </c>
      <c r="G56" t="s">
        <v>268</v>
      </c>
      <c r="H56" t="s">
        <v>27</v>
      </c>
      <c r="I56" s="16">
        <f>'S23.11'!$R$30</f>
        <v>0</v>
      </c>
      <c r="J56">
        <f>VLOOKUP(A56,DM_CKDH!$B$5:$E$54,4,0)</f>
        <v>1</v>
      </c>
      <c r="K56" s="25">
        <f t="shared" si="1"/>
        <v>0</v>
      </c>
      <c r="L56" t="str">
        <f>VLOOKUP(A56,DM_CKDH!$B$5:$E$54,2,0)</f>
        <v>Tường bao tầng hầm - Khu lõi</v>
      </c>
    </row>
    <row r="57" spans="1:12">
      <c r="A57" t="str">
        <f>'S23.11'!$F$3</f>
        <v>S23.11</v>
      </c>
      <c r="B57">
        <f>'S23.11'!$B$33</f>
        <v>10</v>
      </c>
      <c r="C57" t="str">
        <f>'S23.11'!D33</f>
        <v>ID-044</v>
      </c>
      <c r="D57" t="str">
        <f>'S23.11'!E33</f>
        <v>CBS</v>
      </c>
      <c r="E57" t="str">
        <f>'S23.11'!F33</f>
        <v>BOQ-065</v>
      </c>
      <c r="G57" t="s">
        <v>272</v>
      </c>
      <c r="H57" t="s">
        <v>27</v>
      </c>
      <c r="I57" s="16">
        <f>'S23.11'!$R$33</f>
        <v>0</v>
      </c>
      <c r="J57">
        <f>VLOOKUP(A57,DM_CKDH!$B$5:$E$54,4,0)</f>
        <v>1</v>
      </c>
      <c r="K57" s="25">
        <f t="shared" si="1"/>
        <v>0</v>
      </c>
      <c r="L57" t="str">
        <f>VLOOKUP(A57,DM_CKDH!$B$5:$E$54,2,0)</f>
        <v>Tường bao tầng hầm - Khu lõi</v>
      </c>
    </row>
    <row r="58" spans="1:12">
      <c r="A58" t="str">
        <f>'S24.11'!$F$3</f>
        <v>S24.11</v>
      </c>
      <c r="B58">
        <f>'S24.11'!$B$6</f>
        <v>1</v>
      </c>
      <c r="C58" t="str">
        <f>'S24.11'!D6</f>
        <v>ID-015</v>
      </c>
      <c r="D58">
        <f>'S24.11'!E6</f>
        <v>0</v>
      </c>
      <c r="E58" t="str">
        <f>'S24.11'!F6</f>
        <v>BOQ-019</v>
      </c>
      <c r="G58" t="s">
        <v>246</v>
      </c>
      <c r="H58" t="s">
        <v>27</v>
      </c>
      <c r="I58" s="16">
        <f>'S24.11'!$R$6</f>
        <v>0</v>
      </c>
      <c r="J58">
        <f>VLOOKUP(A58,DM_CKDH!$B$5:$E$54,4,0)</f>
        <v>1</v>
      </c>
      <c r="K58" s="25">
        <f t="shared" si="1"/>
        <v>0</v>
      </c>
      <c r="L58" t="str">
        <f>VLOOKUP(A58,DM_CKDH!$B$5:$E$54,2,0)</f>
        <v>Cột Tầng B1- Khu lõi</v>
      </c>
    </row>
    <row r="59" spans="1:12">
      <c r="A59" t="str">
        <f>'S24.11'!$F$3</f>
        <v>S24.11</v>
      </c>
      <c r="B59">
        <f>'S24.11'!$B$9</f>
        <v>2</v>
      </c>
      <c r="C59" t="str">
        <f>'S24.11'!D9</f>
        <v>ID-015A</v>
      </c>
      <c r="D59" t="str">
        <f>'S24.11'!E9</f>
        <v>CBS</v>
      </c>
      <c r="E59">
        <f>'S24.11'!F9</f>
        <v>0</v>
      </c>
      <c r="G59" t="s">
        <v>296</v>
      </c>
      <c r="H59" t="s">
        <v>27</v>
      </c>
      <c r="I59" s="16">
        <f>'S24.11'!$R$9</f>
        <v>0</v>
      </c>
      <c r="J59">
        <f>VLOOKUP(A59,DM_CKDH!$B$5:$E$54,4,0)</f>
        <v>1</v>
      </c>
      <c r="K59" s="25">
        <f t="shared" si="1"/>
        <v>0</v>
      </c>
      <c r="L59" t="str">
        <f>VLOOKUP(A59,DM_CKDH!$B$5:$E$54,2,0)</f>
        <v>Cột Tầng B1- Khu lõi</v>
      </c>
    </row>
    <row r="60" spans="1:12">
      <c r="A60" t="str">
        <f>'S24.11'!$F$3</f>
        <v>S24.11</v>
      </c>
      <c r="B60">
        <f>'S24.11'!$B$12</f>
        <v>3</v>
      </c>
      <c r="C60" t="str">
        <f>'S24.11'!D12</f>
        <v>ID-016A</v>
      </c>
      <c r="D60">
        <f>'S24.11'!E12</f>
        <v>0</v>
      </c>
      <c r="E60" t="str">
        <f>'S24.11'!F12</f>
        <v>BOQ-020</v>
      </c>
      <c r="G60" t="s">
        <v>247</v>
      </c>
      <c r="H60" t="s">
        <v>27</v>
      </c>
      <c r="I60" s="16">
        <f>'S24.11'!$R$12</f>
        <v>0</v>
      </c>
      <c r="J60">
        <f>VLOOKUP(A60,DM_CKDH!$B$5:$E$54,4,0)</f>
        <v>1</v>
      </c>
      <c r="K60" s="25">
        <f t="shared" si="1"/>
        <v>0</v>
      </c>
      <c r="L60" t="str">
        <f>VLOOKUP(A60,DM_CKDH!$B$5:$E$54,2,0)</f>
        <v>Cột Tầng B1- Khu lõi</v>
      </c>
    </row>
    <row r="61" spans="1:12">
      <c r="A61" t="str">
        <f>'S24.11'!$F$3</f>
        <v>S24.11</v>
      </c>
      <c r="B61">
        <f>'S24.11'!$B$15</f>
        <v>4</v>
      </c>
      <c r="C61" t="str">
        <f>'S24.11'!D15</f>
        <v>ID-016B</v>
      </c>
      <c r="D61">
        <f>'S24.11'!E15</f>
        <v>0</v>
      </c>
      <c r="E61" t="str">
        <f>'S24.11'!F15</f>
        <v>BOQ-021</v>
      </c>
      <c r="G61" t="s">
        <v>248</v>
      </c>
      <c r="H61" t="s">
        <v>27</v>
      </c>
      <c r="I61" s="16">
        <f>'S24.11'!$R$15</f>
        <v>0</v>
      </c>
      <c r="J61">
        <f>VLOOKUP(A61,DM_CKDH!$B$5:$E$54,4,0)</f>
        <v>1</v>
      </c>
      <c r="K61" s="25">
        <f t="shared" si="1"/>
        <v>0</v>
      </c>
      <c r="L61" t="str">
        <f>VLOOKUP(A61,DM_CKDH!$B$5:$E$54,2,0)</f>
        <v>Cột Tầng B1- Khu lõi</v>
      </c>
    </row>
    <row r="62" spans="1:12">
      <c r="A62" t="str">
        <f>'S24.11'!$F$3</f>
        <v>S24.11</v>
      </c>
      <c r="B62">
        <f>'S24.11'!$B$18</f>
        <v>5</v>
      </c>
      <c r="C62" t="str">
        <f>'S24.11'!D18</f>
        <v>ID-016C</v>
      </c>
      <c r="D62">
        <f>'S24.11'!E18</f>
        <v>0</v>
      </c>
      <c r="E62" t="str">
        <f>'S24.11'!F18</f>
        <v>BOQ-022</v>
      </c>
      <c r="G62" t="s">
        <v>249</v>
      </c>
      <c r="H62" t="s">
        <v>27</v>
      </c>
      <c r="I62" s="16">
        <f>'S24.11'!$R$18</f>
        <v>0</v>
      </c>
      <c r="J62">
        <f>VLOOKUP(A62,DM_CKDH!$B$5:$E$54,4,0)</f>
        <v>1</v>
      </c>
      <c r="K62" s="25">
        <f t="shared" si="1"/>
        <v>0</v>
      </c>
      <c r="L62" t="str">
        <f>VLOOKUP(A62,DM_CKDH!$B$5:$E$54,2,0)</f>
        <v>Cột Tầng B1- Khu lõi</v>
      </c>
    </row>
    <row r="63" spans="1:12">
      <c r="A63" t="str">
        <f>'S24.11'!$F$3</f>
        <v>S24.11</v>
      </c>
      <c r="B63">
        <f>'S24.11'!$B$21</f>
        <v>6</v>
      </c>
      <c r="C63" t="str">
        <f>'S24.11'!D21</f>
        <v>ID-016</v>
      </c>
      <c r="D63" t="str">
        <f>'S24.11'!E21</f>
        <v>CBS</v>
      </c>
      <c r="E63">
        <f>'S24.11'!F21</f>
        <v>0</v>
      </c>
      <c r="G63" t="s">
        <v>297</v>
      </c>
      <c r="H63" t="s">
        <v>27</v>
      </c>
      <c r="I63" s="16">
        <f>'S24.11'!$R$21</f>
        <v>0</v>
      </c>
      <c r="J63">
        <f>VLOOKUP(A63,DM_CKDH!$B$5:$E$54,4,0)</f>
        <v>1</v>
      </c>
      <c r="K63" s="25">
        <f t="shared" si="1"/>
        <v>0</v>
      </c>
      <c r="L63" t="str">
        <f>VLOOKUP(A63,DM_CKDH!$B$5:$E$54,2,0)</f>
        <v>Cột Tầng B1- Khu lõi</v>
      </c>
    </row>
    <row r="64" spans="1:12">
      <c r="A64" t="str">
        <f>'S24.11'!$F$3</f>
        <v>S24.11</v>
      </c>
      <c r="B64">
        <f>'S24.11'!$B$24</f>
        <v>7</v>
      </c>
      <c r="C64" t="str">
        <f>'S24.11'!D24</f>
        <v>ID-017</v>
      </c>
      <c r="D64" t="str">
        <f>'S24.11'!E24</f>
        <v>CBS</v>
      </c>
      <c r="E64">
        <f>'S24.11'!F24</f>
        <v>0</v>
      </c>
      <c r="G64" t="s">
        <v>311</v>
      </c>
      <c r="H64" t="s">
        <v>27</v>
      </c>
      <c r="I64" s="16">
        <f>'S24.11'!$R$24</f>
        <v>0</v>
      </c>
      <c r="J64">
        <f>VLOOKUP(A64,DM_CKDH!$B$5:$E$54,4,0)</f>
        <v>1</v>
      </c>
      <c r="K64" s="25">
        <f t="shared" si="1"/>
        <v>0</v>
      </c>
      <c r="L64" t="str">
        <f>VLOOKUP(A64,DM_CKDH!$B$5:$E$54,2,0)</f>
        <v>Cột Tầng B1- Khu lõi</v>
      </c>
    </row>
    <row r="65" spans="1:12">
      <c r="A65" t="str">
        <f>'S24.11'!$F$3</f>
        <v>S24.11</v>
      </c>
      <c r="B65">
        <f>'S24.11'!$B$27</f>
        <v>8</v>
      </c>
      <c r="C65" t="str">
        <f>'S24.11'!D27</f>
        <v>ID-018</v>
      </c>
      <c r="D65" t="str">
        <f>'S24.11'!E27</f>
        <v>CBS</v>
      </c>
      <c r="E65">
        <f>'S24.11'!F27</f>
        <v>0</v>
      </c>
      <c r="G65" t="s">
        <v>312</v>
      </c>
      <c r="H65" t="s">
        <v>27</v>
      </c>
      <c r="I65" s="16">
        <f>'S24.11'!$R$27</f>
        <v>0</v>
      </c>
      <c r="J65">
        <f>VLOOKUP(A65,DM_CKDH!$B$5:$E$54,4,0)</f>
        <v>1</v>
      </c>
      <c r="K65" s="25">
        <f t="shared" si="1"/>
        <v>0</v>
      </c>
      <c r="L65" t="str">
        <f>VLOOKUP(A65,DM_CKDH!$B$5:$E$54,2,0)</f>
        <v>Cột Tầng B1- Khu lõi</v>
      </c>
    </row>
    <row r="66" spans="1:12">
      <c r="A66" t="str">
        <f>'S24.11'!$F$3</f>
        <v>S24.11</v>
      </c>
      <c r="B66">
        <f>'S24.11'!$B$30</f>
        <v>9</v>
      </c>
      <c r="C66" t="str">
        <f>'S24.11'!D30</f>
        <v>ID-019</v>
      </c>
      <c r="D66" t="str">
        <f>'S24.11'!E30</f>
        <v>CBS</v>
      </c>
      <c r="E66">
        <f>'S24.11'!F30</f>
        <v>0</v>
      </c>
      <c r="G66" t="s">
        <v>313</v>
      </c>
      <c r="H66" t="s">
        <v>27</v>
      </c>
      <c r="I66" s="16">
        <f>'S24.11'!$R$30</f>
        <v>0</v>
      </c>
      <c r="J66">
        <f>VLOOKUP(A66,DM_CKDH!$B$5:$E$54,4,0)</f>
        <v>1</v>
      </c>
      <c r="K66" s="25">
        <f t="shared" si="1"/>
        <v>0</v>
      </c>
      <c r="L66" t="str">
        <f>VLOOKUP(A66,DM_CKDH!$B$5:$E$54,2,0)</f>
        <v>Cột Tầng B1- Khu lõi</v>
      </c>
    </row>
    <row r="67" spans="1:12">
      <c r="A67" t="str">
        <f>'S24.11'!$F$3</f>
        <v>S24.11</v>
      </c>
      <c r="B67">
        <f>'S24.11'!$B$33</f>
        <v>10</v>
      </c>
      <c r="C67" t="str">
        <f>'S24.11'!D33</f>
        <v>ID-020</v>
      </c>
      <c r="D67" t="str">
        <f>'S24.11'!E33</f>
        <v>CBS</v>
      </c>
      <c r="E67">
        <f>'S24.11'!F33</f>
        <v>0</v>
      </c>
      <c r="G67" t="s">
        <v>348</v>
      </c>
      <c r="H67" t="s">
        <v>27</v>
      </c>
      <c r="I67" s="16">
        <f>'S24.11'!$R$33</f>
        <v>0</v>
      </c>
      <c r="J67">
        <f>VLOOKUP(A67,DM_CKDH!$B$5:$E$54,4,0)</f>
        <v>1</v>
      </c>
      <c r="K67" s="25">
        <f t="shared" si="1"/>
        <v>0</v>
      </c>
      <c r="L67" t="str">
        <f>VLOOKUP(A67,DM_CKDH!$B$5:$E$54,2,0)</f>
        <v>Cột Tầng B1- Khu lõi</v>
      </c>
    </row>
    <row r="68" spans="1:12">
      <c r="A68" t="str">
        <f>'S24.11'!$F$3</f>
        <v>S24.11</v>
      </c>
      <c r="B68">
        <f>'S24.11'!$B$36</f>
        <v>11</v>
      </c>
      <c r="C68" t="str">
        <f>'S24.11'!D36</f>
        <v>ID-021</v>
      </c>
      <c r="D68" t="str">
        <f>'S24.11'!E36</f>
        <v>CBS</v>
      </c>
      <c r="E68">
        <f>'S24.11'!F36</f>
        <v>0</v>
      </c>
      <c r="G68" t="s">
        <v>347</v>
      </c>
      <c r="H68" t="s">
        <v>27</v>
      </c>
      <c r="I68" s="16">
        <f>'S24.11'!$R$36</f>
        <v>0</v>
      </c>
      <c r="J68">
        <f>VLOOKUP(A68,DM_CKDH!$B$5:$E$54,4,0)</f>
        <v>1</v>
      </c>
      <c r="K68" s="25">
        <f t="shared" si="1"/>
        <v>0</v>
      </c>
      <c r="L68" t="str">
        <f>VLOOKUP(A68,DM_CKDH!$B$5:$E$54,2,0)</f>
        <v>Cột Tầng B1- Khu lõi</v>
      </c>
    </row>
    <row r="69" spans="1:12">
      <c r="A69" t="str">
        <f>'S24.11'!$F$3</f>
        <v>S24.11</v>
      </c>
      <c r="B69">
        <f>'S24.11'!$B$39</f>
        <v>12</v>
      </c>
      <c r="C69" t="str">
        <f>'S24.11'!D39</f>
        <v>ID-022</v>
      </c>
      <c r="D69" t="str">
        <f>'S24.11'!E39</f>
        <v>CBS</v>
      </c>
      <c r="E69" t="str">
        <f>'S24.11'!F39</f>
        <v>BOQ-023</v>
      </c>
      <c r="G69" t="s">
        <v>250</v>
      </c>
      <c r="H69" t="s">
        <v>27</v>
      </c>
      <c r="I69" s="16">
        <f>'S24.11'!$R$39</f>
        <v>0</v>
      </c>
      <c r="J69">
        <f>VLOOKUP(A69,DM_CKDH!$B$5:$E$54,4,0)</f>
        <v>1</v>
      </c>
      <c r="K69" s="25">
        <f t="shared" ref="K69:K132" si="2">I69*J69</f>
        <v>0</v>
      </c>
      <c r="L69" t="str">
        <f>VLOOKUP(A69,DM_CKDH!$B$5:$E$54,2,0)</f>
        <v>Cột Tầng B1- Khu lõi</v>
      </c>
    </row>
    <row r="70" spans="1:12">
      <c r="A70" t="str">
        <f>'S24.11'!$F$3</f>
        <v>S24.11</v>
      </c>
      <c r="B70">
        <f>'S24.11'!$B$42</f>
        <v>13</v>
      </c>
      <c r="C70" t="str">
        <f>'S24.11'!D42</f>
        <v>ID-044</v>
      </c>
      <c r="D70" t="str">
        <f>'S24.11'!E42</f>
        <v>CBS</v>
      </c>
      <c r="E70" t="str">
        <f>'S24.11'!F42</f>
        <v>BOQ-065</v>
      </c>
      <c r="G70" t="s">
        <v>272</v>
      </c>
      <c r="H70" t="s">
        <v>27</v>
      </c>
      <c r="I70" s="16">
        <f>'S24.11'!$R$42</f>
        <v>0</v>
      </c>
      <c r="J70">
        <f>VLOOKUP(A70,DM_CKDH!$B$5:$E$54,4,0)</f>
        <v>1</v>
      </c>
      <c r="K70" s="25">
        <f t="shared" si="2"/>
        <v>0</v>
      </c>
      <c r="L70" t="str">
        <f>VLOOKUP(A70,DM_CKDH!$B$5:$E$54,2,0)</f>
        <v>Cột Tầng B1- Khu lõi</v>
      </c>
    </row>
    <row r="71" spans="1:12">
      <c r="A71" t="str">
        <f>'S24.12'!$F$3</f>
        <v>S24.12</v>
      </c>
      <c r="B71">
        <f>'S24.12'!$B$6</f>
        <v>1</v>
      </c>
      <c r="C71" t="str">
        <f>'S24.12'!D6</f>
        <v>ID-023</v>
      </c>
      <c r="D71">
        <f>'S24.12'!E6</f>
        <v>0</v>
      </c>
      <c r="E71" t="str">
        <f>'S24.12'!F6</f>
        <v>BOQ-024</v>
      </c>
      <c r="G71" t="s">
        <v>251</v>
      </c>
      <c r="H71" t="s">
        <v>27</v>
      </c>
      <c r="I71" s="16">
        <f>'S24.12'!$R$6</f>
        <v>0</v>
      </c>
      <c r="J71">
        <f>VLOOKUP(A71,DM_CKDH!$B$5:$E$54,4,0)</f>
        <v>1</v>
      </c>
      <c r="K71" s="25">
        <f t="shared" si="2"/>
        <v>0</v>
      </c>
      <c r="L71" t="str">
        <f>VLOOKUP(A71,DM_CKDH!$B$5:$E$54,2,0)</f>
        <v>Vách Tầng B1(Loại L, V) - Khu lõi</v>
      </c>
    </row>
    <row r="72" spans="1:12">
      <c r="A72" t="str">
        <f>'S24.12'!$F$3</f>
        <v>S24.12</v>
      </c>
      <c r="B72">
        <f>'S24.12'!$B$9</f>
        <v>2</v>
      </c>
      <c r="C72" t="str">
        <f>'S24.12'!D9</f>
        <v>ID-023A</v>
      </c>
      <c r="D72" t="str">
        <f>'S24.12'!E9</f>
        <v>CBS</v>
      </c>
      <c r="E72">
        <f>'S24.12'!F9</f>
        <v>0</v>
      </c>
      <c r="G72" t="s">
        <v>298</v>
      </c>
      <c r="H72" t="s">
        <v>27</v>
      </c>
      <c r="I72" s="16">
        <f>'S24.12'!$R$9</f>
        <v>0</v>
      </c>
      <c r="J72">
        <f>VLOOKUP(A72,DM_CKDH!$B$5:$E$54,4,0)</f>
        <v>1</v>
      </c>
      <c r="K72" s="25">
        <f t="shared" si="2"/>
        <v>0</v>
      </c>
      <c r="L72" t="str">
        <f>VLOOKUP(A72,DM_CKDH!$B$5:$E$54,2,0)</f>
        <v>Vách Tầng B1(Loại L, V) - Khu lõi</v>
      </c>
    </row>
    <row r="73" spans="1:12">
      <c r="A73" t="str">
        <f>'S24.12'!$F$3</f>
        <v>S24.12</v>
      </c>
      <c r="B73">
        <f>'S24.12'!$B$12</f>
        <v>3</v>
      </c>
      <c r="C73" t="str">
        <f>'S24.12'!D12</f>
        <v>ID-024A</v>
      </c>
      <c r="D73">
        <f>'S24.12'!E12</f>
        <v>0</v>
      </c>
      <c r="E73" t="str">
        <f>'S24.12'!F12</f>
        <v>BOQ-025</v>
      </c>
      <c r="G73" t="s">
        <v>252</v>
      </c>
      <c r="H73" t="s">
        <v>27</v>
      </c>
      <c r="I73" s="16">
        <f>'S24.12'!$R$12</f>
        <v>0</v>
      </c>
      <c r="J73">
        <f>VLOOKUP(A73,DM_CKDH!$B$5:$E$54,4,0)</f>
        <v>1</v>
      </c>
      <c r="K73" s="25">
        <f t="shared" si="2"/>
        <v>0</v>
      </c>
      <c r="L73" t="str">
        <f>VLOOKUP(A73,DM_CKDH!$B$5:$E$54,2,0)</f>
        <v>Vách Tầng B1(Loại L, V) - Khu lõi</v>
      </c>
    </row>
    <row r="74" spans="1:12">
      <c r="A74" t="str">
        <f>'S24.12'!$F$3</f>
        <v>S24.12</v>
      </c>
      <c r="B74">
        <f>'S24.12'!$B$15</f>
        <v>4</v>
      </c>
      <c r="C74" t="str">
        <f>'S24.12'!D15</f>
        <v>ID-024B</v>
      </c>
      <c r="D74">
        <f>'S24.12'!E15</f>
        <v>0</v>
      </c>
      <c r="E74" t="str">
        <f>'S24.12'!F15</f>
        <v>BOQ-026</v>
      </c>
      <c r="G74" t="s">
        <v>253</v>
      </c>
      <c r="H74" t="s">
        <v>27</v>
      </c>
      <c r="I74" s="16">
        <f>'S24.12'!$R$15</f>
        <v>0</v>
      </c>
      <c r="J74">
        <f>VLOOKUP(A74,DM_CKDH!$B$5:$E$54,4,0)</f>
        <v>1</v>
      </c>
      <c r="K74" s="25">
        <f t="shared" si="2"/>
        <v>0</v>
      </c>
      <c r="L74" t="str">
        <f>VLOOKUP(A74,DM_CKDH!$B$5:$E$54,2,0)</f>
        <v>Vách Tầng B1(Loại L, V) - Khu lõi</v>
      </c>
    </row>
    <row r="75" spans="1:12">
      <c r="A75" t="str">
        <f>'S24.12'!$F$3</f>
        <v>S24.12</v>
      </c>
      <c r="B75">
        <f>'S24.12'!$B$18</f>
        <v>5</v>
      </c>
      <c r="C75" t="str">
        <f>'S24.12'!D18</f>
        <v>ID-024C</v>
      </c>
      <c r="D75">
        <f>'S24.12'!E18</f>
        <v>0</v>
      </c>
      <c r="E75" t="str">
        <f>'S24.12'!F18</f>
        <v>BOQ-027</v>
      </c>
      <c r="G75" t="s">
        <v>254</v>
      </c>
      <c r="H75" t="s">
        <v>27</v>
      </c>
      <c r="I75" s="16">
        <f>'S24.12'!$R$18</f>
        <v>0</v>
      </c>
      <c r="J75">
        <f>VLOOKUP(A75,DM_CKDH!$B$5:$E$54,4,0)</f>
        <v>1</v>
      </c>
      <c r="K75" s="25">
        <f t="shared" si="2"/>
        <v>0</v>
      </c>
      <c r="L75" t="str">
        <f>VLOOKUP(A75,DM_CKDH!$B$5:$E$54,2,0)</f>
        <v>Vách Tầng B1(Loại L, V) - Khu lõi</v>
      </c>
    </row>
    <row r="76" spans="1:12">
      <c r="A76" t="str">
        <f>'S24.12'!$F$3</f>
        <v>S24.12</v>
      </c>
      <c r="B76">
        <f>'S24.12'!$B$21</f>
        <v>6</v>
      </c>
      <c r="C76" t="str">
        <f>'S24.12'!D21</f>
        <v>ID-024</v>
      </c>
      <c r="D76" t="str">
        <f>'S24.12'!E21</f>
        <v>CBS</v>
      </c>
      <c r="E76">
        <f>'S24.12'!F21</f>
        <v>0</v>
      </c>
      <c r="G76" t="s">
        <v>299</v>
      </c>
      <c r="H76" t="s">
        <v>27</v>
      </c>
      <c r="I76" s="16">
        <f>'S24.12'!$R$21</f>
        <v>0</v>
      </c>
      <c r="J76">
        <f>VLOOKUP(A76,DM_CKDH!$B$5:$E$54,4,0)</f>
        <v>1</v>
      </c>
      <c r="K76" s="25">
        <f t="shared" si="2"/>
        <v>0</v>
      </c>
      <c r="L76" t="str">
        <f>VLOOKUP(A76,DM_CKDH!$B$5:$E$54,2,0)</f>
        <v>Vách Tầng B1(Loại L, V) - Khu lõi</v>
      </c>
    </row>
    <row r="77" spans="1:12">
      <c r="A77" t="str">
        <f>'S24.12'!$F$3</f>
        <v>S24.12</v>
      </c>
      <c r="B77">
        <f>'S24.12'!$B$24</f>
        <v>7</v>
      </c>
      <c r="C77" t="str">
        <f>'S24.12'!D24</f>
        <v>ID-025</v>
      </c>
      <c r="D77" t="str">
        <f>'S24.12'!E24</f>
        <v>CBS</v>
      </c>
      <c r="E77">
        <f>'S24.12'!F24</f>
        <v>0</v>
      </c>
      <c r="G77" t="s">
        <v>346</v>
      </c>
      <c r="H77" t="s">
        <v>27</v>
      </c>
      <c r="I77" s="16">
        <f>'S24.12'!$R$24</f>
        <v>0</v>
      </c>
      <c r="J77">
        <f>VLOOKUP(A77,DM_CKDH!$B$5:$E$54,4,0)</f>
        <v>1</v>
      </c>
      <c r="K77" s="25">
        <f t="shared" si="2"/>
        <v>0</v>
      </c>
      <c r="L77" t="str">
        <f>VLOOKUP(A77,DM_CKDH!$B$5:$E$54,2,0)</f>
        <v>Vách Tầng B1(Loại L, V) - Khu lõi</v>
      </c>
    </row>
    <row r="78" spans="1:12">
      <c r="A78" t="str">
        <f>'S24.12'!$F$3</f>
        <v>S24.12</v>
      </c>
      <c r="B78">
        <f>'S24.12'!$B$27</f>
        <v>8</v>
      </c>
      <c r="C78" t="str">
        <f>'S24.12'!D27</f>
        <v>ID-026</v>
      </c>
      <c r="D78" t="str">
        <f>'S24.12'!E27</f>
        <v>CBS</v>
      </c>
      <c r="E78">
        <f>'S24.12'!F27</f>
        <v>0</v>
      </c>
      <c r="G78" t="s">
        <v>347</v>
      </c>
      <c r="H78" t="s">
        <v>27</v>
      </c>
      <c r="I78" s="16">
        <f>'S24.12'!$R$27</f>
        <v>0</v>
      </c>
      <c r="J78">
        <f>VLOOKUP(A78,DM_CKDH!$B$5:$E$54,4,0)</f>
        <v>1</v>
      </c>
      <c r="K78" s="25">
        <f t="shared" si="2"/>
        <v>0</v>
      </c>
      <c r="L78" t="str">
        <f>VLOOKUP(A78,DM_CKDH!$B$5:$E$54,2,0)</f>
        <v>Vách Tầng B1(Loại L, V) - Khu lõi</v>
      </c>
    </row>
    <row r="79" spans="1:12">
      <c r="A79" t="str">
        <f>'S24.12'!$F$3</f>
        <v>S24.12</v>
      </c>
      <c r="B79">
        <f>'S24.12'!$B$30</f>
        <v>9</v>
      </c>
      <c r="C79" t="str">
        <f>'S24.12'!D30</f>
        <v>ID-027</v>
      </c>
      <c r="D79" t="str">
        <f>'S24.12'!E30</f>
        <v>CBS</v>
      </c>
      <c r="E79" t="str">
        <f>'S24.12'!F30</f>
        <v>BOQ-028</v>
      </c>
      <c r="G79" t="s">
        <v>352</v>
      </c>
      <c r="H79" t="s">
        <v>27</v>
      </c>
      <c r="I79" s="16">
        <f>'S24.12'!$R$30</f>
        <v>0</v>
      </c>
      <c r="J79">
        <f>VLOOKUP(A79,DM_CKDH!$B$5:$E$54,4,0)</f>
        <v>1</v>
      </c>
      <c r="K79" s="25">
        <f t="shared" si="2"/>
        <v>0</v>
      </c>
      <c r="L79" t="str">
        <f>VLOOKUP(A79,DM_CKDH!$B$5:$E$54,2,0)</f>
        <v>Vách Tầng B1(Loại L, V) - Khu lõi</v>
      </c>
    </row>
    <row r="80" spans="1:12">
      <c r="A80" t="str">
        <f>'S24.12'!$F$3</f>
        <v>S24.12</v>
      </c>
      <c r="B80">
        <f>'S24.12'!$B$33</f>
        <v>10</v>
      </c>
      <c r="C80" t="str">
        <f>'S24.12'!D33</f>
        <v>ID-044</v>
      </c>
      <c r="D80" t="str">
        <f>'S24.12'!E33</f>
        <v>CBS</v>
      </c>
      <c r="E80" t="str">
        <f>'S24.12'!F33</f>
        <v>BOQ-065</v>
      </c>
      <c r="G80" t="s">
        <v>272</v>
      </c>
      <c r="H80" t="s">
        <v>27</v>
      </c>
      <c r="I80" s="16">
        <f>'S24.12'!$R$33</f>
        <v>0</v>
      </c>
      <c r="J80">
        <f>VLOOKUP(A80,DM_CKDH!$B$5:$E$54,4,0)</f>
        <v>1</v>
      </c>
      <c r="K80" s="25">
        <f t="shared" si="2"/>
        <v>0</v>
      </c>
      <c r="L80" t="str">
        <f>VLOOKUP(A80,DM_CKDH!$B$5:$E$54,2,0)</f>
        <v>Vách Tầng B1(Loại L, V) - Khu lõi</v>
      </c>
    </row>
    <row r="81" spans="1:12">
      <c r="A81" t="str">
        <f>'S25.11'!$F$3</f>
        <v>S25.11</v>
      </c>
      <c r="B81">
        <f>'S25.11'!$B$6</f>
        <v>1</v>
      </c>
      <c r="C81" t="str">
        <f>'S25.11'!D6</f>
        <v>ID-028</v>
      </c>
      <c r="D81">
        <f>'S25.11'!E6</f>
        <v>0</v>
      </c>
      <c r="E81" t="str">
        <f>'S25.11'!F6</f>
        <v>BOQ-029</v>
      </c>
      <c r="G81" t="s">
        <v>255</v>
      </c>
      <c r="H81" t="s">
        <v>27</v>
      </c>
      <c r="I81" s="16">
        <f>'S25.11'!$R$6</f>
        <v>2.8320800000000004</v>
      </c>
      <c r="J81">
        <f>VLOOKUP(A81,DM_CKDH!$B$5:$E$54,4,0)</f>
        <v>1</v>
      </c>
      <c r="K81" s="25">
        <f t="shared" si="2"/>
        <v>2.8320800000000004</v>
      </c>
      <c r="L81" t="str">
        <f>VLOOKUP(A81,DM_CKDH!$B$5:$E$54,2,0)</f>
        <v>Dầm sàn tầng 1 (zone1) - Khu lõi</v>
      </c>
    </row>
    <row r="82" spans="1:12">
      <c r="A82" t="str">
        <f>'S25.11'!$F$3</f>
        <v>S25.11</v>
      </c>
      <c r="B82">
        <f>'S25.11'!$B$9</f>
        <v>2</v>
      </c>
      <c r="C82" t="str">
        <f>'S25.11'!D9</f>
        <v>ID-028A</v>
      </c>
      <c r="D82" t="str">
        <f>'S25.11'!E9</f>
        <v>CBS</v>
      </c>
      <c r="E82">
        <f>'S25.11'!F9</f>
        <v>0</v>
      </c>
      <c r="G82" t="s">
        <v>300</v>
      </c>
      <c r="H82" t="s">
        <v>27</v>
      </c>
      <c r="I82" s="16">
        <f>'S25.11'!$R$9</f>
        <v>283.20800000000003</v>
      </c>
      <c r="J82">
        <f>VLOOKUP(A82,DM_CKDH!$B$5:$E$54,4,0)</f>
        <v>1</v>
      </c>
      <c r="K82" s="25">
        <f t="shared" si="2"/>
        <v>283.20800000000003</v>
      </c>
      <c r="L82" t="str">
        <f>VLOOKUP(A82,DM_CKDH!$B$5:$E$54,2,0)</f>
        <v>Dầm sàn tầng 1 (zone1) - Khu lõi</v>
      </c>
    </row>
    <row r="83" spans="1:12">
      <c r="A83" t="str">
        <f>'S25.11'!$F$3</f>
        <v>S25.11</v>
      </c>
      <c r="B83">
        <f>'S25.11'!$B$16</f>
        <v>3</v>
      </c>
      <c r="C83" t="str">
        <f>'S25.11'!D16</f>
        <v>ID-029A</v>
      </c>
      <c r="D83">
        <f>'S25.11'!E16</f>
        <v>0</v>
      </c>
      <c r="E83" t="str">
        <f>'S25.11'!F16</f>
        <v>BOQ-030</v>
      </c>
      <c r="G83" t="s">
        <v>256</v>
      </c>
      <c r="H83" t="s">
        <v>27</v>
      </c>
      <c r="I83" s="16">
        <f>'S25.11'!$R$16</f>
        <v>0</v>
      </c>
      <c r="J83">
        <f>VLOOKUP(A83,DM_CKDH!$B$5:$E$54,4,0)</f>
        <v>1</v>
      </c>
      <c r="K83" s="25">
        <f t="shared" si="2"/>
        <v>0</v>
      </c>
      <c r="L83" t="str">
        <f>VLOOKUP(A83,DM_CKDH!$B$5:$E$54,2,0)</f>
        <v>Dầm sàn tầng 1 (zone1) - Khu lõi</v>
      </c>
    </row>
    <row r="84" spans="1:12">
      <c r="A84" t="str">
        <f>'S25.11'!$F$3</f>
        <v>S25.11</v>
      </c>
      <c r="B84">
        <f>'S25.11'!$B$19</f>
        <v>4</v>
      </c>
      <c r="C84" t="str">
        <f>'S25.11'!D19</f>
        <v>ID-029B</v>
      </c>
      <c r="D84">
        <f>'S25.11'!E19</f>
        <v>0</v>
      </c>
      <c r="E84" t="str">
        <f>'S25.11'!F19</f>
        <v>BOQ-031</v>
      </c>
      <c r="G84" t="s">
        <v>257</v>
      </c>
      <c r="H84" t="s">
        <v>27</v>
      </c>
      <c r="I84" s="16">
        <f>'S25.11'!$R$19</f>
        <v>0</v>
      </c>
      <c r="J84">
        <f>VLOOKUP(A84,DM_CKDH!$B$5:$E$54,4,0)</f>
        <v>1</v>
      </c>
      <c r="K84" s="25">
        <f t="shared" si="2"/>
        <v>0</v>
      </c>
      <c r="L84" t="str">
        <f>VLOOKUP(A84,DM_CKDH!$B$5:$E$54,2,0)</f>
        <v>Dầm sàn tầng 1 (zone1) - Khu lõi</v>
      </c>
    </row>
    <row r="85" spans="1:12">
      <c r="A85" t="str">
        <f>'S25.11'!$F$3</f>
        <v>S25.11</v>
      </c>
      <c r="B85">
        <f>'S25.11'!$B$22</f>
        <v>5</v>
      </c>
      <c r="C85" t="str">
        <f>'S25.11'!D22</f>
        <v>ID-029C</v>
      </c>
      <c r="D85">
        <f>'S25.11'!E22</f>
        <v>0</v>
      </c>
      <c r="E85" t="str">
        <f>'S25.11'!F22</f>
        <v>BOQ-032</v>
      </c>
      <c r="G85" t="s">
        <v>258</v>
      </c>
      <c r="H85" t="s">
        <v>27</v>
      </c>
      <c r="I85" s="16">
        <f>'S25.11'!$R$22</f>
        <v>0</v>
      </c>
      <c r="J85">
        <f>VLOOKUP(A85,DM_CKDH!$B$5:$E$54,4,0)</f>
        <v>1</v>
      </c>
      <c r="K85" s="25">
        <f t="shared" si="2"/>
        <v>0</v>
      </c>
      <c r="L85" t="str">
        <f>VLOOKUP(A85,DM_CKDH!$B$5:$E$54,2,0)</f>
        <v>Dầm sàn tầng 1 (zone1) - Khu lõi</v>
      </c>
    </row>
    <row r="86" spans="1:12">
      <c r="A86" t="str">
        <f>'S25.11'!$F$3</f>
        <v>S25.11</v>
      </c>
      <c r="B86">
        <f>'S25.11'!$B$25</f>
        <v>6</v>
      </c>
      <c r="C86" t="str">
        <f>'S25.11'!D25</f>
        <v>ID-029</v>
      </c>
      <c r="D86" t="str">
        <f>'S25.11'!E25</f>
        <v>CBS</v>
      </c>
      <c r="E86">
        <f>'S25.11'!F25</f>
        <v>0</v>
      </c>
      <c r="G86" t="s">
        <v>301</v>
      </c>
      <c r="H86" t="s">
        <v>27</v>
      </c>
      <c r="I86" s="16">
        <f>'S25.11'!$R$25</f>
        <v>0</v>
      </c>
      <c r="J86">
        <f>VLOOKUP(A86,DM_CKDH!$B$5:$E$54,4,0)</f>
        <v>1</v>
      </c>
      <c r="K86" s="25">
        <f t="shared" si="2"/>
        <v>0</v>
      </c>
      <c r="L86" t="str">
        <f>VLOOKUP(A86,DM_CKDH!$B$5:$E$54,2,0)</f>
        <v>Dầm sàn tầng 1 (zone1) - Khu lõi</v>
      </c>
    </row>
    <row r="87" spans="1:12">
      <c r="A87" t="str">
        <f>'S25.11'!$F$3</f>
        <v>S25.11</v>
      </c>
      <c r="B87">
        <f>'S25.11'!$B$28</f>
        <v>7</v>
      </c>
      <c r="C87" t="str">
        <f>'S25.11'!D28</f>
        <v>ID-030</v>
      </c>
      <c r="D87">
        <f>'S25.11'!E28</f>
        <v>0</v>
      </c>
      <c r="E87" t="str">
        <f>'S25.11'!F28</f>
        <v>BOQ-033</v>
      </c>
      <c r="G87" t="s">
        <v>432</v>
      </c>
      <c r="H87" t="s">
        <v>27</v>
      </c>
      <c r="I87" s="16">
        <f>'S25.11'!$R$28</f>
        <v>50.438000000000009</v>
      </c>
      <c r="J87">
        <f>VLOOKUP(A87,DM_CKDH!$B$5:$E$54,4,0)</f>
        <v>1</v>
      </c>
      <c r="K87" s="25">
        <f t="shared" si="2"/>
        <v>50.438000000000009</v>
      </c>
      <c r="L87" t="str">
        <f>VLOOKUP(A87,DM_CKDH!$B$5:$E$54,2,0)</f>
        <v>Dầm sàn tầng 1 (zone1) - Khu lõi</v>
      </c>
    </row>
    <row r="88" spans="1:12">
      <c r="A88" t="str">
        <f>'S25.11'!$F$3</f>
        <v>S25.11</v>
      </c>
      <c r="B88">
        <f>'S25.11'!$B$31</f>
        <v>8</v>
      </c>
      <c r="C88" t="str">
        <f>'S25.11'!D31</f>
        <v>ID-030A</v>
      </c>
      <c r="D88" t="str">
        <f>'S25.11'!E31</f>
        <v>CBS</v>
      </c>
      <c r="E88">
        <f>'S25.11'!F31</f>
        <v>0</v>
      </c>
      <c r="G88" t="s">
        <v>323</v>
      </c>
      <c r="H88" t="s">
        <v>27</v>
      </c>
      <c r="I88" s="16">
        <f>'S25.11'!$R$31</f>
        <v>50.438000000000009</v>
      </c>
      <c r="J88">
        <f>VLOOKUP(A88,DM_CKDH!$B$5:$E$54,4,0)</f>
        <v>1</v>
      </c>
      <c r="K88" s="25">
        <f t="shared" si="2"/>
        <v>50.438000000000009</v>
      </c>
      <c r="L88" t="str">
        <f>VLOOKUP(A88,DM_CKDH!$B$5:$E$54,2,0)</f>
        <v>Dầm sàn tầng 1 (zone1) - Khu lõi</v>
      </c>
    </row>
    <row r="89" spans="1:12">
      <c r="A89" t="str">
        <f>'S25.11'!$F$3</f>
        <v>S25.11</v>
      </c>
      <c r="B89">
        <f>'S25.11'!$B$37</f>
        <v>9</v>
      </c>
      <c r="C89" t="str">
        <f>'S25.11'!D37</f>
        <v>ID-031</v>
      </c>
      <c r="D89">
        <f>'S25.11'!E37</f>
        <v>0</v>
      </c>
      <c r="E89" t="str">
        <f>'S25.11'!F37</f>
        <v>BOQ-034</v>
      </c>
      <c r="G89" t="s">
        <v>259</v>
      </c>
      <c r="H89" t="s">
        <v>27</v>
      </c>
      <c r="I89" s="16">
        <f>'S25.11'!$R$37</f>
        <v>5.7204000000000006</v>
      </c>
      <c r="J89">
        <f>VLOOKUP(A89,DM_CKDH!$B$5:$E$54,4,0)</f>
        <v>1</v>
      </c>
      <c r="K89" s="25">
        <f t="shared" si="2"/>
        <v>5.7204000000000006</v>
      </c>
      <c r="L89" t="str">
        <f>VLOOKUP(A89,DM_CKDH!$B$5:$E$54,2,0)</f>
        <v>Dầm sàn tầng 1 (zone1) - Khu lõi</v>
      </c>
    </row>
    <row r="90" spans="1:12">
      <c r="A90" t="str">
        <f>'S25.11'!$F$3</f>
        <v>S25.11</v>
      </c>
      <c r="B90">
        <f>'S25.11'!$B$40</f>
        <v>10</v>
      </c>
      <c r="C90" t="str">
        <f>'S25.11'!D40</f>
        <v>ID-031A</v>
      </c>
      <c r="D90" t="str">
        <f>'S25.11'!E40</f>
        <v>CBS</v>
      </c>
      <c r="E90">
        <f>'S25.11'!F40</f>
        <v>0</v>
      </c>
      <c r="G90" t="s">
        <v>302</v>
      </c>
      <c r="H90" t="s">
        <v>27</v>
      </c>
      <c r="I90" s="16">
        <f>'S25.11'!$R$40</f>
        <v>572.04000000000008</v>
      </c>
      <c r="J90">
        <f>VLOOKUP(A90,DM_CKDH!$B$5:$E$54,4,0)</f>
        <v>1</v>
      </c>
      <c r="K90" s="25">
        <f t="shared" si="2"/>
        <v>572.04000000000008</v>
      </c>
      <c r="L90" t="str">
        <f>VLOOKUP(A90,DM_CKDH!$B$5:$E$54,2,0)</f>
        <v>Dầm sàn tầng 1 (zone1) - Khu lõi</v>
      </c>
    </row>
    <row r="91" spans="1:12">
      <c r="A91" t="str">
        <f>'S25.11'!$F$3</f>
        <v>S25.11</v>
      </c>
      <c r="B91">
        <f>'S25.11'!$B$45</f>
        <v>11</v>
      </c>
      <c r="C91" t="str">
        <f>'S25.11'!D45</f>
        <v>ID-032A</v>
      </c>
      <c r="D91">
        <f>'S25.11'!E45</f>
        <v>0</v>
      </c>
      <c r="E91" t="str">
        <f>'S25.11'!F45</f>
        <v>BOQ-035</v>
      </c>
      <c r="G91" t="s">
        <v>260</v>
      </c>
      <c r="H91" t="s">
        <v>27</v>
      </c>
      <c r="I91" s="16">
        <f>'S25.11'!$R$45</f>
        <v>0</v>
      </c>
      <c r="J91">
        <f>VLOOKUP(A91,DM_CKDH!$B$5:$E$54,4,0)</f>
        <v>1</v>
      </c>
      <c r="K91" s="25">
        <f t="shared" si="2"/>
        <v>0</v>
      </c>
      <c r="L91" t="str">
        <f>VLOOKUP(A91,DM_CKDH!$B$5:$E$54,2,0)</f>
        <v>Dầm sàn tầng 1 (zone1) - Khu lõi</v>
      </c>
    </row>
    <row r="92" spans="1:12">
      <c r="A92" t="str">
        <f>'S25.11'!$F$3</f>
        <v>S25.11</v>
      </c>
      <c r="B92">
        <f>'S25.11'!$B$48</f>
        <v>12</v>
      </c>
      <c r="C92" t="str">
        <f>'S25.11'!D48</f>
        <v>ID-032B</v>
      </c>
      <c r="D92">
        <f>'S25.11'!E48</f>
        <v>0</v>
      </c>
      <c r="E92" t="str">
        <f>'S25.11'!F48</f>
        <v>BOQ-036</v>
      </c>
      <c r="G92" t="s">
        <v>261</v>
      </c>
      <c r="H92" t="s">
        <v>27</v>
      </c>
      <c r="I92" s="16">
        <f>'S25.11'!$R$48</f>
        <v>0</v>
      </c>
      <c r="J92">
        <f>VLOOKUP(A92,DM_CKDH!$B$5:$E$54,4,0)</f>
        <v>1</v>
      </c>
      <c r="K92" s="25">
        <f t="shared" si="2"/>
        <v>0</v>
      </c>
      <c r="L92" t="str">
        <f>VLOOKUP(A92,DM_CKDH!$B$5:$E$54,2,0)</f>
        <v>Dầm sàn tầng 1 (zone1) - Khu lõi</v>
      </c>
    </row>
    <row r="93" spans="1:12">
      <c r="A93" t="str">
        <f>'S25.11'!$F$3</f>
        <v>S25.11</v>
      </c>
      <c r="B93">
        <f>'S25.11'!$B$51</f>
        <v>13</v>
      </c>
      <c r="C93" t="str">
        <f>'S25.11'!D51</f>
        <v>ID-032</v>
      </c>
      <c r="D93" t="str">
        <f>'S25.11'!E51</f>
        <v>CBS</v>
      </c>
      <c r="E93">
        <f>'S25.11'!F51</f>
        <v>0</v>
      </c>
      <c r="G93" t="s">
        <v>303</v>
      </c>
      <c r="H93" t="s">
        <v>27</v>
      </c>
      <c r="I93" s="16">
        <f>'S25.11'!$R$51</f>
        <v>0</v>
      </c>
      <c r="J93">
        <f>VLOOKUP(A93,DM_CKDH!$B$5:$E$54,4,0)</f>
        <v>1</v>
      </c>
      <c r="K93" s="25">
        <f t="shared" si="2"/>
        <v>0</v>
      </c>
      <c r="L93" t="str">
        <f>VLOOKUP(A93,DM_CKDH!$B$5:$E$54,2,0)</f>
        <v>Dầm sàn tầng 1 (zone1) - Khu lõi</v>
      </c>
    </row>
    <row r="94" spans="1:12">
      <c r="A94" t="str">
        <f>'S25.11'!$F$3</f>
        <v>S25.11</v>
      </c>
      <c r="B94">
        <f>'S25.11'!$B$54</f>
        <v>14</v>
      </c>
      <c r="C94" t="str">
        <f>'S25.11'!D54</f>
        <v>ID-033</v>
      </c>
      <c r="D94">
        <f>'S25.11'!E54</f>
        <v>0</v>
      </c>
      <c r="E94" t="str">
        <f>'S25.11'!F54</f>
        <v>BOQ-037</v>
      </c>
      <c r="G94" t="s">
        <v>433</v>
      </c>
      <c r="H94" t="s">
        <v>27</v>
      </c>
      <c r="I94" s="16">
        <f>'S25.11'!$R$54</f>
        <v>208.44900000000001</v>
      </c>
      <c r="J94">
        <f>VLOOKUP(A94,DM_CKDH!$B$5:$E$54,4,0)</f>
        <v>1</v>
      </c>
      <c r="K94" s="25">
        <f t="shared" si="2"/>
        <v>208.44900000000001</v>
      </c>
      <c r="L94" t="str">
        <f>VLOOKUP(A94,DM_CKDH!$B$5:$E$54,2,0)</f>
        <v>Dầm sàn tầng 1 (zone1) - Khu lõi</v>
      </c>
    </row>
    <row r="95" spans="1:12">
      <c r="A95" t="str">
        <f>'S25.11'!$F$3</f>
        <v>S25.11</v>
      </c>
      <c r="B95">
        <f>'S25.11'!$B$57</f>
        <v>15</v>
      </c>
      <c r="C95" t="str">
        <f>'S25.11'!D57</f>
        <v>ID-033A</v>
      </c>
      <c r="D95" t="str">
        <f>'S25.11'!E57</f>
        <v>CBS</v>
      </c>
      <c r="E95">
        <f>'S25.11'!F57</f>
        <v>0</v>
      </c>
      <c r="G95" t="s">
        <v>324</v>
      </c>
      <c r="H95" t="s">
        <v>27</v>
      </c>
      <c r="I95" s="16">
        <f>'S25.11'!$R$57</f>
        <v>208.44900000000001</v>
      </c>
      <c r="J95">
        <f>VLOOKUP(A95,DM_CKDH!$B$5:$E$54,4,0)</f>
        <v>1</v>
      </c>
      <c r="K95" s="25">
        <f t="shared" si="2"/>
        <v>208.44900000000001</v>
      </c>
      <c r="L95" t="str">
        <f>VLOOKUP(A95,DM_CKDH!$B$5:$E$54,2,0)</f>
        <v>Dầm sàn tầng 1 (zone1) - Khu lõi</v>
      </c>
    </row>
    <row r="96" spans="1:12">
      <c r="A96" t="str">
        <f>'S25.11'!$F$3</f>
        <v>S25.11</v>
      </c>
      <c r="B96">
        <f>'S25.11'!$B$61</f>
        <v>16</v>
      </c>
      <c r="C96" t="str">
        <f>'S25.11'!D61</f>
        <v>ID-044</v>
      </c>
      <c r="D96" t="str">
        <f>'S25.11'!E61</f>
        <v>CBS</v>
      </c>
      <c r="E96" t="str">
        <f>'S25.11'!F61</f>
        <v>BOQ-065</v>
      </c>
      <c r="G96" t="s">
        <v>272</v>
      </c>
      <c r="H96" t="s">
        <v>27</v>
      </c>
      <c r="I96" s="16">
        <f>'S25.11'!$R$61</f>
        <v>855.24800000000005</v>
      </c>
      <c r="J96">
        <f>VLOOKUP(A96,DM_CKDH!$B$5:$E$54,4,0)</f>
        <v>1</v>
      </c>
      <c r="K96" s="25">
        <f t="shared" si="2"/>
        <v>855.24800000000005</v>
      </c>
      <c r="L96" t="str">
        <f>VLOOKUP(A96,DM_CKDH!$B$5:$E$54,2,0)</f>
        <v>Dầm sàn tầng 1 (zone1) - Khu lõi</v>
      </c>
    </row>
    <row r="97" spans="1:12">
      <c r="A97" t="str">
        <f>'S25.12'!$F$3</f>
        <v>S25.12</v>
      </c>
      <c r="B97">
        <f>'S25.12'!$B$6</f>
        <v>1</v>
      </c>
      <c r="C97" t="str">
        <f>'S25.12'!D6</f>
        <v>ID-028</v>
      </c>
      <c r="D97">
        <f>'S25.12'!E6</f>
        <v>0</v>
      </c>
      <c r="E97" t="str">
        <f>'S25.12'!F6</f>
        <v>BOQ-029</v>
      </c>
      <c r="G97" t="s">
        <v>255</v>
      </c>
      <c r="H97" t="s">
        <v>27</v>
      </c>
      <c r="I97" s="16">
        <f>'S25.12'!$R$6</f>
        <v>0</v>
      </c>
      <c r="J97">
        <f>VLOOKUP(A97,DM_CKDH!$B$5:$E$54,4,0)</f>
        <v>1</v>
      </c>
      <c r="K97" s="25">
        <f t="shared" si="2"/>
        <v>0</v>
      </c>
      <c r="L97" t="str">
        <f>VLOOKUP(A97,DM_CKDH!$B$5:$E$54,2,0)</f>
        <v>Dầm sàn tầng 1 (zone2) - Khu lõi</v>
      </c>
    </row>
    <row r="98" spans="1:12">
      <c r="A98" t="str">
        <f>'S25.12'!$F$3</f>
        <v>S25.12</v>
      </c>
      <c r="B98">
        <f>'S25.12'!$B$9</f>
        <v>2</v>
      </c>
      <c r="C98" t="str">
        <f>'S25.12'!D9</f>
        <v>ID-028A</v>
      </c>
      <c r="D98" t="str">
        <f>'S25.12'!E9</f>
        <v>CBS</v>
      </c>
      <c r="E98">
        <f>'S25.12'!F9</f>
        <v>0</v>
      </c>
      <c r="G98" t="s">
        <v>300</v>
      </c>
      <c r="H98" t="s">
        <v>27</v>
      </c>
      <c r="I98" s="16">
        <f>'S25.12'!$R$9</f>
        <v>0</v>
      </c>
      <c r="J98">
        <f>VLOOKUP(A98,DM_CKDH!$B$5:$E$54,4,0)</f>
        <v>1</v>
      </c>
      <c r="K98" s="25">
        <f t="shared" si="2"/>
        <v>0</v>
      </c>
      <c r="L98" t="str">
        <f>VLOOKUP(A98,DM_CKDH!$B$5:$E$54,2,0)</f>
        <v>Dầm sàn tầng 1 (zone2) - Khu lõi</v>
      </c>
    </row>
    <row r="99" spans="1:12">
      <c r="A99" t="str">
        <f>'S25.12'!$F$3</f>
        <v>S25.12</v>
      </c>
      <c r="B99">
        <f>'S25.12'!$B$12</f>
        <v>3</v>
      </c>
      <c r="C99" t="str">
        <f>'S25.12'!D12</f>
        <v>ID-029A</v>
      </c>
      <c r="D99">
        <f>'S25.12'!E12</f>
        <v>0</v>
      </c>
      <c r="E99" t="str">
        <f>'S25.12'!F12</f>
        <v>BOQ-030</v>
      </c>
      <c r="G99" t="s">
        <v>256</v>
      </c>
      <c r="H99" t="s">
        <v>27</v>
      </c>
      <c r="I99" s="16">
        <f>'S25.12'!$R$12</f>
        <v>0</v>
      </c>
      <c r="J99">
        <f>VLOOKUP(A99,DM_CKDH!$B$5:$E$54,4,0)</f>
        <v>1</v>
      </c>
      <c r="K99" s="25">
        <f t="shared" si="2"/>
        <v>0</v>
      </c>
      <c r="L99" t="str">
        <f>VLOOKUP(A99,DM_CKDH!$B$5:$E$54,2,0)</f>
        <v>Dầm sàn tầng 1 (zone2) - Khu lõi</v>
      </c>
    </row>
    <row r="100" spans="1:12">
      <c r="A100" t="str">
        <f>'S25.12'!$F$3</f>
        <v>S25.12</v>
      </c>
      <c r="B100">
        <f>'S25.12'!$B$15</f>
        <v>4</v>
      </c>
      <c r="C100" t="str">
        <f>'S25.12'!D15</f>
        <v>ID-029B</v>
      </c>
      <c r="D100">
        <f>'S25.12'!E15</f>
        <v>0</v>
      </c>
      <c r="E100" t="str">
        <f>'S25.12'!F15</f>
        <v>BOQ-031</v>
      </c>
      <c r="G100" t="s">
        <v>257</v>
      </c>
      <c r="H100" t="s">
        <v>27</v>
      </c>
      <c r="I100" s="16">
        <f>'S25.12'!$R$15</f>
        <v>0</v>
      </c>
      <c r="J100">
        <f>VLOOKUP(A100,DM_CKDH!$B$5:$E$54,4,0)</f>
        <v>1</v>
      </c>
      <c r="K100" s="25">
        <f t="shared" si="2"/>
        <v>0</v>
      </c>
      <c r="L100" t="str">
        <f>VLOOKUP(A100,DM_CKDH!$B$5:$E$54,2,0)</f>
        <v>Dầm sàn tầng 1 (zone2) - Khu lõi</v>
      </c>
    </row>
    <row r="101" spans="1:12">
      <c r="A101" t="str">
        <f>'S25.12'!$F$3</f>
        <v>S25.12</v>
      </c>
      <c r="B101">
        <f>'S25.12'!$B$18</f>
        <v>5</v>
      </c>
      <c r="C101" t="str">
        <f>'S25.12'!D18</f>
        <v>ID-029C</v>
      </c>
      <c r="D101">
        <f>'S25.12'!E18</f>
        <v>0</v>
      </c>
      <c r="E101" t="str">
        <f>'S25.12'!F18</f>
        <v>BOQ-032</v>
      </c>
      <c r="G101" t="s">
        <v>258</v>
      </c>
      <c r="H101" t="s">
        <v>27</v>
      </c>
      <c r="I101" s="16">
        <f>'S25.12'!$R$18</f>
        <v>0</v>
      </c>
      <c r="J101">
        <f>VLOOKUP(A101,DM_CKDH!$B$5:$E$54,4,0)</f>
        <v>1</v>
      </c>
      <c r="K101" s="25">
        <f t="shared" si="2"/>
        <v>0</v>
      </c>
      <c r="L101" t="str">
        <f>VLOOKUP(A101,DM_CKDH!$B$5:$E$54,2,0)</f>
        <v>Dầm sàn tầng 1 (zone2) - Khu lõi</v>
      </c>
    </row>
    <row r="102" spans="1:12">
      <c r="A102" t="str">
        <f>'S25.12'!$F$3</f>
        <v>S25.12</v>
      </c>
      <c r="B102">
        <f>'S25.12'!$B$21</f>
        <v>6</v>
      </c>
      <c r="C102" t="str">
        <f>'S25.12'!D21</f>
        <v>ID-029</v>
      </c>
      <c r="D102" t="str">
        <f>'S25.12'!E21</f>
        <v>CBS</v>
      </c>
      <c r="E102">
        <f>'S25.12'!F21</f>
        <v>0</v>
      </c>
      <c r="G102" t="s">
        <v>301</v>
      </c>
      <c r="H102" t="s">
        <v>27</v>
      </c>
      <c r="I102" s="16">
        <f>'S25.12'!$R$21</f>
        <v>0</v>
      </c>
      <c r="J102">
        <f>VLOOKUP(A102,DM_CKDH!$B$5:$E$54,4,0)</f>
        <v>1</v>
      </c>
      <c r="K102" s="25">
        <f t="shared" si="2"/>
        <v>0</v>
      </c>
      <c r="L102" t="str">
        <f>VLOOKUP(A102,DM_CKDH!$B$5:$E$54,2,0)</f>
        <v>Dầm sàn tầng 1 (zone2) - Khu lõi</v>
      </c>
    </row>
    <row r="103" spans="1:12">
      <c r="A103" t="str">
        <f>'S25.12'!$F$3</f>
        <v>S25.12</v>
      </c>
      <c r="B103">
        <f>'S25.12'!$B$24</f>
        <v>7</v>
      </c>
      <c r="C103" t="str">
        <f>'S25.12'!D24</f>
        <v>ID-030</v>
      </c>
      <c r="D103">
        <f>'S25.12'!E24</f>
        <v>0</v>
      </c>
      <c r="E103" t="str">
        <f>'S25.12'!F24</f>
        <v>BOQ-033</v>
      </c>
      <c r="G103" t="s">
        <v>432</v>
      </c>
      <c r="H103" t="s">
        <v>27</v>
      </c>
      <c r="I103" s="16">
        <f>'S25.12'!$R$24</f>
        <v>0</v>
      </c>
      <c r="J103">
        <f>VLOOKUP(A103,DM_CKDH!$B$5:$E$54,4,0)</f>
        <v>1</v>
      </c>
      <c r="K103" s="25">
        <f t="shared" si="2"/>
        <v>0</v>
      </c>
      <c r="L103" t="str">
        <f>VLOOKUP(A103,DM_CKDH!$B$5:$E$54,2,0)</f>
        <v>Dầm sàn tầng 1 (zone2) - Khu lõi</v>
      </c>
    </row>
    <row r="104" spans="1:12">
      <c r="A104" t="str">
        <f>'S25.12'!$F$3</f>
        <v>S25.12</v>
      </c>
      <c r="B104">
        <f>'S25.12'!$B$27</f>
        <v>8</v>
      </c>
      <c r="C104" t="str">
        <f>'S25.12'!D27</f>
        <v>ID-030A</v>
      </c>
      <c r="D104" t="str">
        <f>'S25.12'!E27</f>
        <v>CBS</v>
      </c>
      <c r="E104">
        <f>'S25.12'!F27</f>
        <v>0</v>
      </c>
      <c r="G104" t="s">
        <v>323</v>
      </c>
      <c r="H104" t="s">
        <v>27</v>
      </c>
      <c r="I104" s="16">
        <f>'S25.12'!$R$27</f>
        <v>0</v>
      </c>
      <c r="J104">
        <f>VLOOKUP(A104,DM_CKDH!$B$5:$E$54,4,0)</f>
        <v>1</v>
      </c>
      <c r="K104" s="25">
        <f t="shared" si="2"/>
        <v>0</v>
      </c>
      <c r="L104" t="str">
        <f>VLOOKUP(A104,DM_CKDH!$B$5:$E$54,2,0)</f>
        <v>Dầm sàn tầng 1 (zone2) - Khu lõi</v>
      </c>
    </row>
    <row r="105" spans="1:12">
      <c r="A105" t="str">
        <f>'S25.12'!$F$3</f>
        <v>S25.12</v>
      </c>
      <c r="B105">
        <f>'S25.12'!$B$30</f>
        <v>9</v>
      </c>
      <c r="C105" t="str">
        <f>'S25.12'!D30</f>
        <v>ID-031</v>
      </c>
      <c r="D105">
        <f>'S25.12'!E30</f>
        <v>0</v>
      </c>
      <c r="E105" t="str">
        <f>'S25.12'!F30</f>
        <v>BOQ-034</v>
      </c>
      <c r="G105" t="s">
        <v>259</v>
      </c>
      <c r="H105" t="s">
        <v>27</v>
      </c>
      <c r="I105" s="16">
        <f>'S25.12'!$R$30</f>
        <v>0</v>
      </c>
      <c r="J105">
        <f>VLOOKUP(A105,DM_CKDH!$B$5:$E$54,4,0)</f>
        <v>1</v>
      </c>
      <c r="K105" s="25">
        <f t="shared" si="2"/>
        <v>0</v>
      </c>
      <c r="L105" t="str">
        <f>VLOOKUP(A105,DM_CKDH!$B$5:$E$54,2,0)</f>
        <v>Dầm sàn tầng 1 (zone2) - Khu lõi</v>
      </c>
    </row>
    <row r="106" spans="1:12">
      <c r="A106" t="str">
        <f>'S25.12'!$F$3</f>
        <v>S25.12</v>
      </c>
      <c r="B106">
        <f>'S25.12'!$B$33</f>
        <v>10</v>
      </c>
      <c r="C106" t="str">
        <f>'S25.12'!D33</f>
        <v>ID-031A</v>
      </c>
      <c r="D106" t="str">
        <f>'S25.12'!E33</f>
        <v>CBS</v>
      </c>
      <c r="E106">
        <f>'S25.12'!F33</f>
        <v>0</v>
      </c>
      <c r="G106" t="s">
        <v>302</v>
      </c>
      <c r="H106" t="s">
        <v>27</v>
      </c>
      <c r="I106" s="16">
        <f>'S25.12'!$R$33</f>
        <v>0</v>
      </c>
      <c r="J106">
        <f>VLOOKUP(A106,DM_CKDH!$B$5:$E$54,4,0)</f>
        <v>1</v>
      </c>
      <c r="K106" s="25">
        <f t="shared" si="2"/>
        <v>0</v>
      </c>
      <c r="L106" t="str">
        <f>VLOOKUP(A106,DM_CKDH!$B$5:$E$54,2,0)</f>
        <v>Dầm sàn tầng 1 (zone2) - Khu lõi</v>
      </c>
    </row>
    <row r="107" spans="1:12">
      <c r="A107" t="str">
        <f>'S25.12'!$F$3</f>
        <v>S25.12</v>
      </c>
      <c r="B107">
        <f>'S25.12'!$B$36</f>
        <v>11</v>
      </c>
      <c r="C107" t="str">
        <f>'S25.12'!D36</f>
        <v>ID-032A</v>
      </c>
      <c r="D107">
        <f>'S25.12'!E36</f>
        <v>0</v>
      </c>
      <c r="E107" t="str">
        <f>'S25.12'!F36</f>
        <v>BOQ-035</v>
      </c>
      <c r="G107" t="s">
        <v>260</v>
      </c>
      <c r="H107" t="s">
        <v>27</v>
      </c>
      <c r="I107" s="16">
        <f>'S25.12'!$R$36</f>
        <v>0</v>
      </c>
      <c r="J107">
        <f>VLOOKUP(A107,DM_CKDH!$B$5:$E$54,4,0)</f>
        <v>1</v>
      </c>
      <c r="K107" s="25">
        <f t="shared" si="2"/>
        <v>0</v>
      </c>
      <c r="L107" t="str">
        <f>VLOOKUP(A107,DM_CKDH!$B$5:$E$54,2,0)</f>
        <v>Dầm sàn tầng 1 (zone2) - Khu lõi</v>
      </c>
    </row>
    <row r="108" spans="1:12">
      <c r="A108" t="str">
        <f>'S25.12'!$F$3</f>
        <v>S25.12</v>
      </c>
      <c r="B108">
        <f>'S25.12'!$B$39</f>
        <v>12</v>
      </c>
      <c r="C108" t="str">
        <f>'S25.12'!D39</f>
        <v>ID-032B</v>
      </c>
      <c r="D108">
        <f>'S25.12'!E39</f>
        <v>0</v>
      </c>
      <c r="E108" t="str">
        <f>'S25.12'!F39</f>
        <v>BOQ-036</v>
      </c>
      <c r="G108" t="s">
        <v>261</v>
      </c>
      <c r="H108" t="s">
        <v>27</v>
      </c>
      <c r="I108" s="16">
        <f>'S25.12'!$R$39</f>
        <v>0</v>
      </c>
      <c r="J108">
        <f>VLOOKUP(A108,DM_CKDH!$B$5:$E$54,4,0)</f>
        <v>1</v>
      </c>
      <c r="K108" s="25">
        <f t="shared" si="2"/>
        <v>0</v>
      </c>
      <c r="L108" t="str">
        <f>VLOOKUP(A108,DM_CKDH!$B$5:$E$54,2,0)</f>
        <v>Dầm sàn tầng 1 (zone2) - Khu lõi</v>
      </c>
    </row>
    <row r="109" spans="1:12">
      <c r="A109" t="str">
        <f>'S25.12'!$F$3</f>
        <v>S25.12</v>
      </c>
      <c r="B109">
        <f>'S25.12'!$B$42</f>
        <v>13</v>
      </c>
      <c r="C109" t="str">
        <f>'S25.12'!D42</f>
        <v>ID-032</v>
      </c>
      <c r="D109" t="str">
        <f>'S25.12'!E42</f>
        <v>CBS</v>
      </c>
      <c r="E109">
        <f>'S25.12'!F42</f>
        <v>0</v>
      </c>
      <c r="G109" t="s">
        <v>303</v>
      </c>
      <c r="H109" t="s">
        <v>27</v>
      </c>
      <c r="I109" s="16">
        <f>'S25.12'!$R$42</f>
        <v>0</v>
      </c>
      <c r="J109">
        <f>VLOOKUP(A109,DM_CKDH!$B$5:$E$54,4,0)</f>
        <v>1</v>
      </c>
      <c r="K109" s="25">
        <f t="shared" si="2"/>
        <v>0</v>
      </c>
      <c r="L109" t="str">
        <f>VLOOKUP(A109,DM_CKDH!$B$5:$E$54,2,0)</f>
        <v>Dầm sàn tầng 1 (zone2) - Khu lõi</v>
      </c>
    </row>
    <row r="110" spans="1:12">
      <c r="A110" t="str">
        <f>'S25.12'!$F$3</f>
        <v>S25.12</v>
      </c>
      <c r="B110">
        <f>'S25.12'!$B$45</f>
        <v>14</v>
      </c>
      <c r="C110" t="str">
        <f>'S25.12'!D45</f>
        <v>ID-033</v>
      </c>
      <c r="D110">
        <f>'S25.12'!E45</f>
        <v>0</v>
      </c>
      <c r="E110" t="str">
        <f>'S25.12'!F45</f>
        <v>BOQ-037</v>
      </c>
      <c r="G110" t="s">
        <v>433</v>
      </c>
      <c r="H110" t="s">
        <v>27</v>
      </c>
      <c r="I110" s="16">
        <f>'S25.12'!$R$45</f>
        <v>0</v>
      </c>
      <c r="J110">
        <f>VLOOKUP(A110,DM_CKDH!$B$5:$E$54,4,0)</f>
        <v>1</v>
      </c>
      <c r="K110" s="25">
        <f t="shared" si="2"/>
        <v>0</v>
      </c>
      <c r="L110" t="str">
        <f>VLOOKUP(A110,DM_CKDH!$B$5:$E$54,2,0)</f>
        <v>Dầm sàn tầng 1 (zone2) - Khu lõi</v>
      </c>
    </row>
    <row r="111" spans="1:12">
      <c r="A111" t="str">
        <f>'S25.12'!$F$3</f>
        <v>S25.12</v>
      </c>
      <c r="B111">
        <f>'S25.12'!$B$48</f>
        <v>15</v>
      </c>
      <c r="C111" t="str">
        <f>'S25.12'!D48</f>
        <v>ID-033A</v>
      </c>
      <c r="D111" t="str">
        <f>'S25.12'!E48</f>
        <v>CBS</v>
      </c>
      <c r="E111">
        <f>'S25.12'!F48</f>
        <v>0</v>
      </c>
      <c r="G111" t="s">
        <v>324</v>
      </c>
      <c r="H111" t="s">
        <v>27</v>
      </c>
      <c r="I111" s="16">
        <f>'S25.12'!$R$48</f>
        <v>0</v>
      </c>
      <c r="J111">
        <f>VLOOKUP(A111,DM_CKDH!$B$5:$E$54,4,0)</f>
        <v>1</v>
      </c>
      <c r="K111" s="25">
        <f t="shared" si="2"/>
        <v>0</v>
      </c>
      <c r="L111" t="str">
        <f>VLOOKUP(A111,DM_CKDH!$B$5:$E$54,2,0)</f>
        <v>Dầm sàn tầng 1 (zone2) - Khu lõi</v>
      </c>
    </row>
    <row r="112" spans="1:12">
      <c r="A112" t="str">
        <f>'S25.12'!$F$3</f>
        <v>S25.12</v>
      </c>
      <c r="B112">
        <f>'S25.12'!$B$51</f>
        <v>16</v>
      </c>
      <c r="C112" t="str">
        <f>'S25.12'!D51</f>
        <v>ID-044</v>
      </c>
      <c r="D112" t="str">
        <f>'S25.12'!E51</f>
        <v>CBS</v>
      </c>
      <c r="E112" t="str">
        <f>'S25.12'!F51</f>
        <v>BOQ-065</v>
      </c>
      <c r="G112" t="s">
        <v>272</v>
      </c>
      <c r="H112" t="s">
        <v>27</v>
      </c>
      <c r="I112" s="16">
        <f>'S25.12'!$R$51</f>
        <v>0</v>
      </c>
      <c r="J112">
        <f>VLOOKUP(A112,DM_CKDH!$B$5:$E$54,4,0)</f>
        <v>1</v>
      </c>
      <c r="K112" s="25">
        <f t="shared" si="2"/>
        <v>0</v>
      </c>
      <c r="L112" t="str">
        <f>VLOOKUP(A112,DM_CKDH!$B$5:$E$54,2,0)</f>
        <v>Dầm sàn tầng 1 (zone2) - Khu lõi</v>
      </c>
    </row>
    <row r="113" spans="1:12">
      <c r="A113" t="str">
        <f>'S25.13'!$F$3</f>
        <v>S25.13</v>
      </c>
      <c r="B113">
        <f>'S25.13'!$B$6</f>
        <v>1</v>
      </c>
      <c r="C113" t="str">
        <f>'S25.13'!D6</f>
        <v>ID-028</v>
      </c>
      <c r="D113">
        <f>'S25.13'!E6</f>
        <v>0</v>
      </c>
      <c r="E113" t="str">
        <f>'S25.13'!F6</f>
        <v>BOQ-029</v>
      </c>
      <c r="G113" t="s">
        <v>255</v>
      </c>
      <c r="H113" t="s">
        <v>27</v>
      </c>
      <c r="I113" s="16">
        <f>'S25.13'!$R$6</f>
        <v>0</v>
      </c>
      <c r="J113">
        <f>VLOOKUP(A113,DM_CKDH!$B$5:$E$54,4,0)</f>
        <v>1</v>
      </c>
      <c r="K113" s="25">
        <f t="shared" si="2"/>
        <v>0</v>
      </c>
      <c r="L113" t="str">
        <f>VLOOKUP(A113,DM_CKDH!$B$5:$E$54,2,0)</f>
        <v>Dầm sàn tầng 1 (zone3) - Khu lõi</v>
      </c>
    </row>
    <row r="114" spans="1:12">
      <c r="A114" t="str">
        <f>'S25.13'!$F$3</f>
        <v>S25.13</v>
      </c>
      <c r="B114">
        <f>'S25.13'!$B$9</f>
        <v>2</v>
      </c>
      <c r="C114" t="str">
        <f>'S25.13'!D9</f>
        <v>ID-028A</v>
      </c>
      <c r="D114" t="str">
        <f>'S25.13'!E9</f>
        <v>CBS</v>
      </c>
      <c r="E114">
        <f>'S25.13'!F9</f>
        <v>0</v>
      </c>
      <c r="G114" t="s">
        <v>300</v>
      </c>
      <c r="H114" t="s">
        <v>27</v>
      </c>
      <c r="I114" s="16">
        <f>'S25.13'!$R$9</f>
        <v>0</v>
      </c>
      <c r="J114">
        <f>VLOOKUP(A114,DM_CKDH!$B$5:$E$54,4,0)</f>
        <v>1</v>
      </c>
      <c r="K114" s="25">
        <f t="shared" si="2"/>
        <v>0</v>
      </c>
      <c r="L114" t="str">
        <f>VLOOKUP(A114,DM_CKDH!$B$5:$E$54,2,0)</f>
        <v>Dầm sàn tầng 1 (zone3) - Khu lõi</v>
      </c>
    </row>
    <row r="115" spans="1:12">
      <c r="A115" t="str">
        <f>'S25.13'!$F$3</f>
        <v>S25.13</v>
      </c>
      <c r="B115">
        <f>'S25.13'!$B$12</f>
        <v>3</v>
      </c>
      <c r="C115" t="str">
        <f>'S25.13'!D12</f>
        <v>ID-029A</v>
      </c>
      <c r="D115">
        <f>'S25.13'!E12</f>
        <v>0</v>
      </c>
      <c r="E115" t="str">
        <f>'S25.13'!F12</f>
        <v>BOQ-030</v>
      </c>
      <c r="G115" t="s">
        <v>256</v>
      </c>
      <c r="H115" t="s">
        <v>27</v>
      </c>
      <c r="I115" s="16">
        <f>'S25.13'!$R$12</f>
        <v>0</v>
      </c>
      <c r="J115">
        <f>VLOOKUP(A115,DM_CKDH!$B$5:$E$54,4,0)</f>
        <v>1</v>
      </c>
      <c r="K115" s="25">
        <f t="shared" si="2"/>
        <v>0</v>
      </c>
      <c r="L115" t="str">
        <f>VLOOKUP(A115,DM_CKDH!$B$5:$E$54,2,0)</f>
        <v>Dầm sàn tầng 1 (zone3) - Khu lõi</v>
      </c>
    </row>
    <row r="116" spans="1:12">
      <c r="A116" t="str">
        <f>'S25.13'!$F$3</f>
        <v>S25.13</v>
      </c>
      <c r="B116">
        <f>'S25.13'!$B$15</f>
        <v>4</v>
      </c>
      <c r="C116" t="str">
        <f>'S25.13'!D15</f>
        <v>ID-029B</v>
      </c>
      <c r="D116">
        <f>'S25.13'!E15</f>
        <v>0</v>
      </c>
      <c r="E116" t="str">
        <f>'S25.13'!F15</f>
        <v>BOQ-031</v>
      </c>
      <c r="G116" t="s">
        <v>257</v>
      </c>
      <c r="H116" t="s">
        <v>27</v>
      </c>
      <c r="I116" s="16">
        <f>'S25.13'!$R$15</f>
        <v>0</v>
      </c>
      <c r="J116">
        <f>VLOOKUP(A116,DM_CKDH!$B$5:$E$54,4,0)</f>
        <v>1</v>
      </c>
      <c r="K116" s="25">
        <f t="shared" si="2"/>
        <v>0</v>
      </c>
      <c r="L116" t="str">
        <f>VLOOKUP(A116,DM_CKDH!$B$5:$E$54,2,0)</f>
        <v>Dầm sàn tầng 1 (zone3) - Khu lõi</v>
      </c>
    </row>
    <row r="117" spans="1:12">
      <c r="A117" t="str">
        <f>'S25.13'!$F$3</f>
        <v>S25.13</v>
      </c>
      <c r="B117">
        <f>'S25.13'!$B$18</f>
        <v>5</v>
      </c>
      <c r="C117" t="str">
        <f>'S25.13'!D18</f>
        <v>ID-029C</v>
      </c>
      <c r="D117">
        <f>'S25.13'!E18</f>
        <v>0</v>
      </c>
      <c r="E117" t="str">
        <f>'S25.13'!F18</f>
        <v>BOQ-032</v>
      </c>
      <c r="G117" t="s">
        <v>258</v>
      </c>
      <c r="H117" t="s">
        <v>27</v>
      </c>
      <c r="I117" s="16">
        <f>'S25.13'!$R$18</f>
        <v>0</v>
      </c>
      <c r="J117">
        <f>VLOOKUP(A117,DM_CKDH!$B$5:$E$54,4,0)</f>
        <v>1</v>
      </c>
      <c r="K117" s="25">
        <f t="shared" si="2"/>
        <v>0</v>
      </c>
      <c r="L117" t="str">
        <f>VLOOKUP(A117,DM_CKDH!$B$5:$E$54,2,0)</f>
        <v>Dầm sàn tầng 1 (zone3) - Khu lõi</v>
      </c>
    </row>
    <row r="118" spans="1:12">
      <c r="A118" t="str">
        <f>'S25.13'!$F$3</f>
        <v>S25.13</v>
      </c>
      <c r="B118">
        <f>'S25.13'!$B$21</f>
        <v>6</v>
      </c>
      <c r="C118" t="str">
        <f>'S25.13'!D21</f>
        <v>ID-029</v>
      </c>
      <c r="D118" t="str">
        <f>'S25.13'!E21</f>
        <v>CBS</v>
      </c>
      <c r="E118">
        <f>'S25.13'!F21</f>
        <v>0</v>
      </c>
      <c r="G118" t="s">
        <v>301</v>
      </c>
      <c r="H118" t="s">
        <v>27</v>
      </c>
      <c r="I118" s="16">
        <f>'S25.13'!$R$21</f>
        <v>0</v>
      </c>
      <c r="J118">
        <f>VLOOKUP(A118,DM_CKDH!$B$5:$E$54,4,0)</f>
        <v>1</v>
      </c>
      <c r="K118" s="25">
        <f t="shared" si="2"/>
        <v>0</v>
      </c>
      <c r="L118" t="str">
        <f>VLOOKUP(A118,DM_CKDH!$B$5:$E$54,2,0)</f>
        <v>Dầm sàn tầng 1 (zone3) - Khu lõi</v>
      </c>
    </row>
    <row r="119" spans="1:12">
      <c r="A119" t="str">
        <f>'S25.13'!$F$3</f>
        <v>S25.13</v>
      </c>
      <c r="B119">
        <f>'S25.13'!$B$24</f>
        <v>7</v>
      </c>
      <c r="C119" t="str">
        <f>'S25.13'!D24</f>
        <v>ID-030</v>
      </c>
      <c r="D119">
        <f>'S25.13'!E24</f>
        <v>0</v>
      </c>
      <c r="E119" t="str">
        <f>'S25.13'!F24</f>
        <v>BOQ-033</v>
      </c>
      <c r="G119" t="s">
        <v>432</v>
      </c>
      <c r="H119" t="s">
        <v>27</v>
      </c>
      <c r="I119" s="16">
        <f>'S25.13'!$R$24</f>
        <v>0</v>
      </c>
      <c r="J119">
        <f>VLOOKUP(A119,DM_CKDH!$B$5:$E$54,4,0)</f>
        <v>1</v>
      </c>
      <c r="K119" s="25">
        <f t="shared" si="2"/>
        <v>0</v>
      </c>
      <c r="L119" t="str">
        <f>VLOOKUP(A119,DM_CKDH!$B$5:$E$54,2,0)</f>
        <v>Dầm sàn tầng 1 (zone3) - Khu lõi</v>
      </c>
    </row>
    <row r="120" spans="1:12">
      <c r="A120" t="str">
        <f>'S25.13'!$F$3</f>
        <v>S25.13</v>
      </c>
      <c r="B120">
        <f>'S25.13'!$B$27</f>
        <v>8</v>
      </c>
      <c r="C120" t="str">
        <f>'S25.13'!D27</f>
        <v>ID-030A</v>
      </c>
      <c r="D120" t="str">
        <f>'S25.13'!E27</f>
        <v>CBS</v>
      </c>
      <c r="E120">
        <f>'S25.13'!F27</f>
        <v>0</v>
      </c>
      <c r="G120" t="s">
        <v>323</v>
      </c>
      <c r="H120" t="s">
        <v>27</v>
      </c>
      <c r="I120" s="16">
        <f>'S25.13'!$R$27</f>
        <v>0</v>
      </c>
      <c r="J120">
        <f>VLOOKUP(A120,DM_CKDH!$B$5:$E$54,4,0)</f>
        <v>1</v>
      </c>
      <c r="K120" s="25">
        <f t="shared" si="2"/>
        <v>0</v>
      </c>
      <c r="L120" t="str">
        <f>VLOOKUP(A120,DM_CKDH!$B$5:$E$54,2,0)</f>
        <v>Dầm sàn tầng 1 (zone3) - Khu lõi</v>
      </c>
    </row>
    <row r="121" spans="1:12">
      <c r="A121" t="str">
        <f>'S25.13'!$F$3</f>
        <v>S25.13</v>
      </c>
      <c r="B121">
        <f>'S25.13'!$B$30</f>
        <v>9</v>
      </c>
      <c r="C121" t="str">
        <f>'S25.13'!D30</f>
        <v>ID-031</v>
      </c>
      <c r="D121">
        <f>'S25.13'!E30</f>
        <v>0</v>
      </c>
      <c r="E121" t="str">
        <f>'S25.13'!F30</f>
        <v>BOQ-034</v>
      </c>
      <c r="G121" t="s">
        <v>259</v>
      </c>
      <c r="H121" t="s">
        <v>27</v>
      </c>
      <c r="I121" s="16">
        <f>'S25.13'!$R$30</f>
        <v>0</v>
      </c>
      <c r="J121">
        <f>VLOOKUP(A121,DM_CKDH!$B$5:$E$54,4,0)</f>
        <v>1</v>
      </c>
      <c r="K121" s="25">
        <f t="shared" si="2"/>
        <v>0</v>
      </c>
      <c r="L121" t="str">
        <f>VLOOKUP(A121,DM_CKDH!$B$5:$E$54,2,0)</f>
        <v>Dầm sàn tầng 1 (zone3) - Khu lõi</v>
      </c>
    </row>
    <row r="122" spans="1:12">
      <c r="A122" t="str">
        <f>'S25.13'!$F$3</f>
        <v>S25.13</v>
      </c>
      <c r="B122">
        <f>'S25.13'!$B$33</f>
        <v>10</v>
      </c>
      <c r="C122" t="str">
        <f>'S25.13'!D33</f>
        <v>ID-031A</v>
      </c>
      <c r="D122" t="str">
        <f>'S25.13'!E33</f>
        <v>CBS</v>
      </c>
      <c r="E122">
        <f>'S25.13'!F33</f>
        <v>0</v>
      </c>
      <c r="G122" t="s">
        <v>302</v>
      </c>
      <c r="H122" t="s">
        <v>27</v>
      </c>
      <c r="I122" s="16">
        <f>'S25.13'!$R$33</f>
        <v>0</v>
      </c>
      <c r="J122">
        <f>VLOOKUP(A122,DM_CKDH!$B$5:$E$54,4,0)</f>
        <v>1</v>
      </c>
      <c r="K122" s="25">
        <f t="shared" si="2"/>
        <v>0</v>
      </c>
      <c r="L122" t="str">
        <f>VLOOKUP(A122,DM_CKDH!$B$5:$E$54,2,0)</f>
        <v>Dầm sàn tầng 1 (zone3) - Khu lõi</v>
      </c>
    </row>
    <row r="123" spans="1:12">
      <c r="A123" t="str">
        <f>'S25.13'!$F$3</f>
        <v>S25.13</v>
      </c>
      <c r="B123">
        <f>'S25.13'!$B$36</f>
        <v>11</v>
      </c>
      <c r="C123" t="str">
        <f>'S25.13'!D36</f>
        <v>ID-032A</v>
      </c>
      <c r="D123">
        <f>'S25.13'!E36</f>
        <v>0</v>
      </c>
      <c r="E123" t="str">
        <f>'S25.13'!F36</f>
        <v>BOQ-035</v>
      </c>
      <c r="G123" t="s">
        <v>260</v>
      </c>
      <c r="H123" t="s">
        <v>27</v>
      </c>
      <c r="I123" s="16">
        <f>'S25.13'!$R$36</f>
        <v>0</v>
      </c>
      <c r="J123">
        <f>VLOOKUP(A123,DM_CKDH!$B$5:$E$54,4,0)</f>
        <v>1</v>
      </c>
      <c r="K123" s="25">
        <f t="shared" si="2"/>
        <v>0</v>
      </c>
      <c r="L123" t="str">
        <f>VLOOKUP(A123,DM_CKDH!$B$5:$E$54,2,0)</f>
        <v>Dầm sàn tầng 1 (zone3) - Khu lõi</v>
      </c>
    </row>
    <row r="124" spans="1:12">
      <c r="A124" t="str">
        <f>'S25.13'!$F$3</f>
        <v>S25.13</v>
      </c>
      <c r="B124">
        <f>'S25.13'!$B$39</f>
        <v>12</v>
      </c>
      <c r="C124" t="str">
        <f>'S25.13'!D39</f>
        <v>ID-032B</v>
      </c>
      <c r="D124">
        <f>'S25.13'!E39</f>
        <v>0</v>
      </c>
      <c r="E124" t="str">
        <f>'S25.13'!F39</f>
        <v>BOQ-036</v>
      </c>
      <c r="G124" t="s">
        <v>261</v>
      </c>
      <c r="H124" t="s">
        <v>27</v>
      </c>
      <c r="I124" s="16">
        <f>'S25.13'!$R$39</f>
        <v>0</v>
      </c>
      <c r="J124">
        <f>VLOOKUP(A124,DM_CKDH!$B$5:$E$54,4,0)</f>
        <v>1</v>
      </c>
      <c r="K124" s="25">
        <f t="shared" si="2"/>
        <v>0</v>
      </c>
      <c r="L124" t="str">
        <f>VLOOKUP(A124,DM_CKDH!$B$5:$E$54,2,0)</f>
        <v>Dầm sàn tầng 1 (zone3) - Khu lõi</v>
      </c>
    </row>
    <row r="125" spans="1:12">
      <c r="A125" t="str">
        <f>'S25.13'!$F$3</f>
        <v>S25.13</v>
      </c>
      <c r="B125">
        <f>'S25.13'!$B$42</f>
        <v>13</v>
      </c>
      <c r="C125" t="str">
        <f>'S25.13'!D42</f>
        <v>ID-032</v>
      </c>
      <c r="D125" t="str">
        <f>'S25.13'!E42</f>
        <v>CBS</v>
      </c>
      <c r="E125">
        <f>'S25.13'!F42</f>
        <v>0</v>
      </c>
      <c r="G125" t="s">
        <v>303</v>
      </c>
      <c r="H125" t="s">
        <v>27</v>
      </c>
      <c r="I125" s="16">
        <f>'S25.13'!$R$42</f>
        <v>0</v>
      </c>
      <c r="J125">
        <f>VLOOKUP(A125,DM_CKDH!$B$5:$E$54,4,0)</f>
        <v>1</v>
      </c>
      <c r="K125" s="25">
        <f t="shared" si="2"/>
        <v>0</v>
      </c>
      <c r="L125" t="str">
        <f>VLOOKUP(A125,DM_CKDH!$B$5:$E$54,2,0)</f>
        <v>Dầm sàn tầng 1 (zone3) - Khu lõi</v>
      </c>
    </row>
    <row r="126" spans="1:12">
      <c r="A126" t="str">
        <f>'S25.13'!$F$3</f>
        <v>S25.13</v>
      </c>
      <c r="B126">
        <f>'S25.13'!$B$45</f>
        <v>14</v>
      </c>
      <c r="C126" t="str">
        <f>'S25.13'!D45</f>
        <v>ID-033</v>
      </c>
      <c r="D126">
        <f>'S25.13'!E45</f>
        <v>0</v>
      </c>
      <c r="E126" t="str">
        <f>'S25.13'!F45</f>
        <v>BOQ-037</v>
      </c>
      <c r="G126" t="s">
        <v>433</v>
      </c>
      <c r="H126" t="s">
        <v>27</v>
      </c>
      <c r="I126" s="16">
        <f>'S25.13'!$R$45</f>
        <v>0</v>
      </c>
      <c r="J126">
        <f>VLOOKUP(A126,DM_CKDH!$B$5:$E$54,4,0)</f>
        <v>1</v>
      </c>
      <c r="K126" s="25">
        <f t="shared" si="2"/>
        <v>0</v>
      </c>
      <c r="L126" t="str">
        <f>VLOOKUP(A126,DM_CKDH!$B$5:$E$54,2,0)</f>
        <v>Dầm sàn tầng 1 (zone3) - Khu lõi</v>
      </c>
    </row>
    <row r="127" spans="1:12">
      <c r="A127" t="str">
        <f>'S25.13'!$F$3</f>
        <v>S25.13</v>
      </c>
      <c r="B127">
        <f>'S25.13'!$B$48</f>
        <v>15</v>
      </c>
      <c r="C127" t="str">
        <f>'S25.13'!D48</f>
        <v>ID-033A</v>
      </c>
      <c r="D127" t="str">
        <f>'S25.13'!E48</f>
        <v>CBS</v>
      </c>
      <c r="E127">
        <f>'S25.13'!F48</f>
        <v>0</v>
      </c>
      <c r="G127" t="s">
        <v>324</v>
      </c>
      <c r="H127" t="s">
        <v>27</v>
      </c>
      <c r="I127" s="16">
        <f>'S25.13'!$R$48</f>
        <v>0</v>
      </c>
      <c r="J127">
        <f>VLOOKUP(A127,DM_CKDH!$B$5:$E$54,4,0)</f>
        <v>1</v>
      </c>
      <c r="K127" s="25">
        <f t="shared" si="2"/>
        <v>0</v>
      </c>
      <c r="L127" t="str">
        <f>VLOOKUP(A127,DM_CKDH!$B$5:$E$54,2,0)</f>
        <v>Dầm sàn tầng 1 (zone3) - Khu lõi</v>
      </c>
    </row>
    <row r="128" spans="1:12">
      <c r="A128" t="str">
        <f>'S25.13'!$F$3</f>
        <v>S25.13</v>
      </c>
      <c r="B128">
        <f>'S25.13'!$B$51</f>
        <v>16</v>
      </c>
      <c r="C128" t="str">
        <f>'S25.13'!D51</f>
        <v>ID-044</v>
      </c>
      <c r="D128" t="str">
        <f>'S25.13'!E51</f>
        <v>CBS</v>
      </c>
      <c r="E128" t="str">
        <f>'S25.13'!F51</f>
        <v>BOQ-065</v>
      </c>
      <c r="G128" t="s">
        <v>272</v>
      </c>
      <c r="H128" t="s">
        <v>27</v>
      </c>
      <c r="I128" s="16">
        <f>'S25.13'!$R$51</f>
        <v>0</v>
      </c>
      <c r="J128">
        <f>VLOOKUP(A128,DM_CKDH!$B$5:$E$54,4,0)</f>
        <v>1</v>
      </c>
      <c r="K128" s="25">
        <f t="shared" si="2"/>
        <v>0</v>
      </c>
      <c r="L128" t="str">
        <f>VLOOKUP(A128,DM_CKDH!$B$5:$E$54,2,0)</f>
        <v>Dầm sàn tầng 1 (zone3) - Khu lõi</v>
      </c>
    </row>
    <row r="129" spans="1:12">
      <c r="A129" t="str">
        <f>'S25.14'!$F$3</f>
        <v>S25.14</v>
      </c>
      <c r="B129">
        <f>'S25.14'!$B$6</f>
        <v>1</v>
      </c>
      <c r="C129" t="str">
        <f>'S25.14'!D6</f>
        <v>ID-028</v>
      </c>
      <c r="D129">
        <f>'S25.14'!E6</f>
        <v>0</v>
      </c>
      <c r="E129" t="str">
        <f>'S25.14'!F6</f>
        <v>BOQ-029</v>
      </c>
      <c r="G129" t="s">
        <v>255</v>
      </c>
      <c r="H129" t="s">
        <v>27</v>
      </c>
      <c r="I129" s="16">
        <f>'S25.14'!$R$6</f>
        <v>0</v>
      </c>
      <c r="J129">
        <f>VLOOKUP(A129,DM_CKDH!$B$5:$E$54,4,0)</f>
        <v>1</v>
      </c>
      <c r="K129" s="25">
        <f t="shared" si="2"/>
        <v>0</v>
      </c>
      <c r="L129" t="str">
        <f>VLOOKUP(A129,DM_CKDH!$B$5:$E$54,2,0)</f>
        <v>Dầm sàn tầng 1 (zone4) - Khu lõi</v>
      </c>
    </row>
    <row r="130" spans="1:12">
      <c r="A130" t="str">
        <f>'S25.14'!$F$3</f>
        <v>S25.14</v>
      </c>
      <c r="B130">
        <f>'S25.14'!$B$9</f>
        <v>2</v>
      </c>
      <c r="C130" t="str">
        <f>'S25.14'!D9</f>
        <v>ID-028A</v>
      </c>
      <c r="D130" t="str">
        <f>'S25.14'!E9</f>
        <v>CBS</v>
      </c>
      <c r="E130">
        <f>'S25.14'!F9</f>
        <v>0</v>
      </c>
      <c r="G130" t="s">
        <v>300</v>
      </c>
      <c r="H130" t="s">
        <v>27</v>
      </c>
      <c r="I130" s="16">
        <f>'S25.14'!$R$9</f>
        <v>0</v>
      </c>
      <c r="J130">
        <f>VLOOKUP(A130,DM_CKDH!$B$5:$E$54,4,0)</f>
        <v>1</v>
      </c>
      <c r="K130" s="25">
        <f t="shared" si="2"/>
        <v>0</v>
      </c>
      <c r="L130" t="str">
        <f>VLOOKUP(A130,DM_CKDH!$B$5:$E$54,2,0)</f>
        <v>Dầm sàn tầng 1 (zone4) - Khu lõi</v>
      </c>
    </row>
    <row r="131" spans="1:12">
      <c r="A131" t="str">
        <f>'S25.14'!$F$3</f>
        <v>S25.14</v>
      </c>
      <c r="B131">
        <f>'S25.14'!$B$12</f>
        <v>3</v>
      </c>
      <c r="C131" t="str">
        <f>'S25.14'!D12</f>
        <v>ID-029A</v>
      </c>
      <c r="D131">
        <f>'S25.14'!E12</f>
        <v>0</v>
      </c>
      <c r="E131" t="str">
        <f>'S25.14'!F12</f>
        <v>BOQ-030</v>
      </c>
      <c r="G131" t="s">
        <v>256</v>
      </c>
      <c r="H131" t="s">
        <v>27</v>
      </c>
      <c r="I131" s="16">
        <f>'S25.14'!$R$12</f>
        <v>0</v>
      </c>
      <c r="J131">
        <f>VLOOKUP(A131,DM_CKDH!$B$5:$E$54,4,0)</f>
        <v>1</v>
      </c>
      <c r="K131" s="25">
        <f t="shared" si="2"/>
        <v>0</v>
      </c>
      <c r="L131" t="str">
        <f>VLOOKUP(A131,DM_CKDH!$B$5:$E$54,2,0)</f>
        <v>Dầm sàn tầng 1 (zone4) - Khu lõi</v>
      </c>
    </row>
    <row r="132" spans="1:12">
      <c r="A132" t="str">
        <f>'S25.14'!$F$3</f>
        <v>S25.14</v>
      </c>
      <c r="B132">
        <f>'S25.14'!$B$15</f>
        <v>4</v>
      </c>
      <c r="C132" t="str">
        <f>'S25.14'!D15</f>
        <v>ID-029B</v>
      </c>
      <c r="D132">
        <f>'S25.14'!E15</f>
        <v>0</v>
      </c>
      <c r="E132" t="str">
        <f>'S25.14'!F15</f>
        <v>BOQ-031</v>
      </c>
      <c r="G132" t="s">
        <v>257</v>
      </c>
      <c r="H132" t="s">
        <v>27</v>
      </c>
      <c r="I132" s="16">
        <f>'S25.14'!$R$15</f>
        <v>0</v>
      </c>
      <c r="J132">
        <f>VLOOKUP(A132,DM_CKDH!$B$5:$E$54,4,0)</f>
        <v>1</v>
      </c>
      <c r="K132" s="25">
        <f t="shared" si="2"/>
        <v>0</v>
      </c>
      <c r="L132" t="str">
        <f>VLOOKUP(A132,DM_CKDH!$B$5:$E$54,2,0)</f>
        <v>Dầm sàn tầng 1 (zone4) - Khu lõi</v>
      </c>
    </row>
    <row r="133" spans="1:12">
      <c r="A133" t="str">
        <f>'S25.14'!$F$3</f>
        <v>S25.14</v>
      </c>
      <c r="B133">
        <f>'S25.14'!$B$18</f>
        <v>5</v>
      </c>
      <c r="C133" t="str">
        <f>'S25.14'!D18</f>
        <v>ID-029C</v>
      </c>
      <c r="D133">
        <f>'S25.14'!E18</f>
        <v>0</v>
      </c>
      <c r="E133" t="str">
        <f>'S25.14'!F18</f>
        <v>BOQ-032</v>
      </c>
      <c r="G133" t="s">
        <v>258</v>
      </c>
      <c r="H133" t="s">
        <v>27</v>
      </c>
      <c r="I133" s="16">
        <f>'S25.14'!$R$18</f>
        <v>0</v>
      </c>
      <c r="J133">
        <f>VLOOKUP(A133,DM_CKDH!$B$5:$E$54,4,0)</f>
        <v>1</v>
      </c>
      <c r="K133" s="25">
        <f t="shared" ref="K133:K196" si="3">I133*J133</f>
        <v>0</v>
      </c>
      <c r="L133" t="str">
        <f>VLOOKUP(A133,DM_CKDH!$B$5:$E$54,2,0)</f>
        <v>Dầm sàn tầng 1 (zone4) - Khu lõi</v>
      </c>
    </row>
    <row r="134" spans="1:12">
      <c r="A134" t="str">
        <f>'S25.14'!$F$3</f>
        <v>S25.14</v>
      </c>
      <c r="B134">
        <f>'S25.14'!$B$21</f>
        <v>6</v>
      </c>
      <c r="C134" t="str">
        <f>'S25.14'!D21</f>
        <v>ID-029</v>
      </c>
      <c r="D134" t="str">
        <f>'S25.14'!E21</f>
        <v>CBS</v>
      </c>
      <c r="E134">
        <f>'S25.14'!F21</f>
        <v>0</v>
      </c>
      <c r="G134" t="s">
        <v>301</v>
      </c>
      <c r="H134" t="s">
        <v>27</v>
      </c>
      <c r="I134" s="16">
        <f>'S25.14'!$R$21</f>
        <v>0</v>
      </c>
      <c r="J134">
        <f>VLOOKUP(A134,DM_CKDH!$B$5:$E$54,4,0)</f>
        <v>1</v>
      </c>
      <c r="K134" s="25">
        <f t="shared" si="3"/>
        <v>0</v>
      </c>
      <c r="L134" t="str">
        <f>VLOOKUP(A134,DM_CKDH!$B$5:$E$54,2,0)</f>
        <v>Dầm sàn tầng 1 (zone4) - Khu lõi</v>
      </c>
    </row>
    <row r="135" spans="1:12">
      <c r="A135" t="str">
        <f>'S25.14'!$F$3</f>
        <v>S25.14</v>
      </c>
      <c r="B135">
        <f>'S25.14'!$B$24</f>
        <v>7</v>
      </c>
      <c r="C135" t="str">
        <f>'S25.14'!D24</f>
        <v>ID-030</v>
      </c>
      <c r="D135">
        <f>'S25.14'!E24</f>
        <v>0</v>
      </c>
      <c r="E135" t="str">
        <f>'S25.14'!F24</f>
        <v>BOQ-033</v>
      </c>
      <c r="G135" t="s">
        <v>432</v>
      </c>
      <c r="H135" t="s">
        <v>27</v>
      </c>
      <c r="I135" s="16">
        <f>'S25.14'!$R$24</f>
        <v>0</v>
      </c>
      <c r="J135">
        <f>VLOOKUP(A135,DM_CKDH!$B$5:$E$54,4,0)</f>
        <v>1</v>
      </c>
      <c r="K135" s="25">
        <f t="shared" si="3"/>
        <v>0</v>
      </c>
      <c r="L135" t="str">
        <f>VLOOKUP(A135,DM_CKDH!$B$5:$E$54,2,0)</f>
        <v>Dầm sàn tầng 1 (zone4) - Khu lõi</v>
      </c>
    </row>
    <row r="136" spans="1:12">
      <c r="A136" t="str">
        <f>'S25.14'!$F$3</f>
        <v>S25.14</v>
      </c>
      <c r="B136">
        <f>'S25.14'!$B$27</f>
        <v>8</v>
      </c>
      <c r="C136" t="str">
        <f>'S25.14'!D27</f>
        <v>ID-030A</v>
      </c>
      <c r="D136" t="str">
        <f>'S25.14'!E27</f>
        <v>CBS</v>
      </c>
      <c r="E136">
        <f>'S25.14'!F27</f>
        <v>0</v>
      </c>
      <c r="G136" t="s">
        <v>323</v>
      </c>
      <c r="H136" t="s">
        <v>27</v>
      </c>
      <c r="I136" s="16">
        <f>'S25.14'!$R$27</f>
        <v>0</v>
      </c>
      <c r="J136">
        <f>VLOOKUP(A136,DM_CKDH!$B$5:$E$54,4,0)</f>
        <v>1</v>
      </c>
      <c r="K136" s="25">
        <f t="shared" si="3"/>
        <v>0</v>
      </c>
      <c r="L136" t="str">
        <f>VLOOKUP(A136,DM_CKDH!$B$5:$E$54,2,0)</f>
        <v>Dầm sàn tầng 1 (zone4) - Khu lõi</v>
      </c>
    </row>
    <row r="137" spans="1:12">
      <c r="A137" t="str">
        <f>'S25.14'!$F$3</f>
        <v>S25.14</v>
      </c>
      <c r="B137">
        <f>'S25.14'!$B$30</f>
        <v>9</v>
      </c>
      <c r="C137" t="str">
        <f>'S25.14'!D30</f>
        <v>ID-031</v>
      </c>
      <c r="D137">
        <f>'S25.14'!E30</f>
        <v>0</v>
      </c>
      <c r="E137" t="str">
        <f>'S25.14'!F30</f>
        <v>BOQ-034</v>
      </c>
      <c r="G137" t="s">
        <v>259</v>
      </c>
      <c r="H137" t="s">
        <v>27</v>
      </c>
      <c r="I137" s="16">
        <f>'S25.14'!$R$30</f>
        <v>0</v>
      </c>
      <c r="J137">
        <f>VLOOKUP(A137,DM_CKDH!$B$5:$E$54,4,0)</f>
        <v>1</v>
      </c>
      <c r="K137" s="25">
        <f t="shared" si="3"/>
        <v>0</v>
      </c>
      <c r="L137" t="str">
        <f>VLOOKUP(A137,DM_CKDH!$B$5:$E$54,2,0)</f>
        <v>Dầm sàn tầng 1 (zone4) - Khu lõi</v>
      </c>
    </row>
    <row r="138" spans="1:12">
      <c r="A138" t="str">
        <f>'S25.14'!$F$3</f>
        <v>S25.14</v>
      </c>
      <c r="B138">
        <f>'S25.14'!$B$33</f>
        <v>10</v>
      </c>
      <c r="C138" t="str">
        <f>'S25.14'!D33</f>
        <v>ID-031A</v>
      </c>
      <c r="D138" t="str">
        <f>'S25.14'!E33</f>
        <v>CBS</v>
      </c>
      <c r="E138">
        <f>'S25.14'!F33</f>
        <v>0</v>
      </c>
      <c r="G138" t="s">
        <v>302</v>
      </c>
      <c r="H138" t="s">
        <v>27</v>
      </c>
      <c r="I138" s="16">
        <f>'S25.14'!$R$33</f>
        <v>0</v>
      </c>
      <c r="J138">
        <f>VLOOKUP(A138,DM_CKDH!$B$5:$E$54,4,0)</f>
        <v>1</v>
      </c>
      <c r="K138" s="25">
        <f t="shared" si="3"/>
        <v>0</v>
      </c>
      <c r="L138" t="str">
        <f>VLOOKUP(A138,DM_CKDH!$B$5:$E$54,2,0)</f>
        <v>Dầm sàn tầng 1 (zone4) - Khu lõi</v>
      </c>
    </row>
    <row r="139" spans="1:12">
      <c r="A139" t="str">
        <f>'S25.14'!$F$3</f>
        <v>S25.14</v>
      </c>
      <c r="B139">
        <f>'S25.14'!$B$36</f>
        <v>11</v>
      </c>
      <c r="C139" t="str">
        <f>'S25.14'!D36</f>
        <v>ID-032A</v>
      </c>
      <c r="D139">
        <f>'S25.14'!E36</f>
        <v>0</v>
      </c>
      <c r="E139" t="str">
        <f>'S25.14'!F36</f>
        <v>BOQ-035</v>
      </c>
      <c r="G139" t="s">
        <v>260</v>
      </c>
      <c r="H139" t="s">
        <v>27</v>
      </c>
      <c r="I139" s="16">
        <f>'S25.14'!$R$36</f>
        <v>0</v>
      </c>
      <c r="J139">
        <f>VLOOKUP(A139,DM_CKDH!$B$5:$E$54,4,0)</f>
        <v>1</v>
      </c>
      <c r="K139" s="25">
        <f t="shared" si="3"/>
        <v>0</v>
      </c>
      <c r="L139" t="str">
        <f>VLOOKUP(A139,DM_CKDH!$B$5:$E$54,2,0)</f>
        <v>Dầm sàn tầng 1 (zone4) - Khu lõi</v>
      </c>
    </row>
    <row r="140" spans="1:12">
      <c r="A140" t="str">
        <f>'S25.14'!$F$3</f>
        <v>S25.14</v>
      </c>
      <c r="B140">
        <f>'S25.14'!$B$39</f>
        <v>12</v>
      </c>
      <c r="C140" t="str">
        <f>'S25.14'!D39</f>
        <v>ID-032B</v>
      </c>
      <c r="D140">
        <f>'S25.14'!E39</f>
        <v>0</v>
      </c>
      <c r="E140" t="str">
        <f>'S25.14'!F39</f>
        <v>BOQ-036</v>
      </c>
      <c r="G140" t="s">
        <v>261</v>
      </c>
      <c r="H140" t="s">
        <v>27</v>
      </c>
      <c r="I140" s="16">
        <f>'S25.14'!$R$39</f>
        <v>0</v>
      </c>
      <c r="J140">
        <f>VLOOKUP(A140,DM_CKDH!$B$5:$E$54,4,0)</f>
        <v>1</v>
      </c>
      <c r="K140" s="25">
        <f t="shared" si="3"/>
        <v>0</v>
      </c>
      <c r="L140" t="str">
        <f>VLOOKUP(A140,DM_CKDH!$B$5:$E$54,2,0)</f>
        <v>Dầm sàn tầng 1 (zone4) - Khu lõi</v>
      </c>
    </row>
    <row r="141" spans="1:12">
      <c r="A141" t="str">
        <f>'S25.14'!$F$3</f>
        <v>S25.14</v>
      </c>
      <c r="B141">
        <f>'S25.14'!$B$42</f>
        <v>13</v>
      </c>
      <c r="C141" t="str">
        <f>'S25.14'!D42</f>
        <v>ID-032</v>
      </c>
      <c r="D141" t="str">
        <f>'S25.14'!E42</f>
        <v>CBS</v>
      </c>
      <c r="E141">
        <f>'S25.14'!F42</f>
        <v>0</v>
      </c>
      <c r="G141" t="s">
        <v>303</v>
      </c>
      <c r="H141" t="s">
        <v>27</v>
      </c>
      <c r="I141" s="16">
        <f>'S25.14'!$R$42</f>
        <v>0</v>
      </c>
      <c r="J141">
        <f>VLOOKUP(A141,DM_CKDH!$B$5:$E$54,4,0)</f>
        <v>1</v>
      </c>
      <c r="K141" s="25">
        <f t="shared" si="3"/>
        <v>0</v>
      </c>
      <c r="L141" t="str">
        <f>VLOOKUP(A141,DM_CKDH!$B$5:$E$54,2,0)</f>
        <v>Dầm sàn tầng 1 (zone4) - Khu lõi</v>
      </c>
    </row>
    <row r="142" spans="1:12">
      <c r="A142" t="str">
        <f>'S25.14'!$F$3</f>
        <v>S25.14</v>
      </c>
      <c r="B142">
        <f>'S25.14'!$B$45</f>
        <v>14</v>
      </c>
      <c r="C142" t="str">
        <f>'S25.14'!D45</f>
        <v>ID-033</v>
      </c>
      <c r="D142">
        <f>'S25.14'!E45</f>
        <v>0</v>
      </c>
      <c r="E142" t="str">
        <f>'S25.14'!F45</f>
        <v>BOQ-037</v>
      </c>
      <c r="G142" t="s">
        <v>433</v>
      </c>
      <c r="H142" t="s">
        <v>27</v>
      </c>
      <c r="I142" s="16">
        <f>'S25.14'!$R$45</f>
        <v>0</v>
      </c>
      <c r="J142">
        <f>VLOOKUP(A142,DM_CKDH!$B$5:$E$54,4,0)</f>
        <v>1</v>
      </c>
      <c r="K142" s="25">
        <f t="shared" si="3"/>
        <v>0</v>
      </c>
      <c r="L142" t="str">
        <f>VLOOKUP(A142,DM_CKDH!$B$5:$E$54,2,0)</f>
        <v>Dầm sàn tầng 1 (zone4) - Khu lõi</v>
      </c>
    </row>
    <row r="143" spans="1:12">
      <c r="A143" t="str">
        <f>'S25.14'!$F$3</f>
        <v>S25.14</v>
      </c>
      <c r="B143">
        <f>'S25.14'!$B$48</f>
        <v>15</v>
      </c>
      <c r="C143" t="str">
        <f>'S25.14'!D48</f>
        <v>ID-033A</v>
      </c>
      <c r="D143" t="str">
        <f>'S25.14'!E48</f>
        <v>CBS</v>
      </c>
      <c r="E143">
        <f>'S25.14'!F48</f>
        <v>0</v>
      </c>
      <c r="G143" t="s">
        <v>324</v>
      </c>
      <c r="H143" t="s">
        <v>27</v>
      </c>
      <c r="I143" s="16">
        <f>'S25.14'!$R$48</f>
        <v>0</v>
      </c>
      <c r="J143">
        <f>VLOOKUP(A143,DM_CKDH!$B$5:$E$54,4,0)</f>
        <v>1</v>
      </c>
      <c r="K143" s="25">
        <f t="shared" si="3"/>
        <v>0</v>
      </c>
      <c r="L143" t="str">
        <f>VLOOKUP(A143,DM_CKDH!$B$5:$E$54,2,0)</f>
        <v>Dầm sàn tầng 1 (zone4) - Khu lõi</v>
      </c>
    </row>
    <row r="144" spans="1:12">
      <c r="A144" t="str">
        <f>'S25.14'!$F$3</f>
        <v>S25.14</v>
      </c>
      <c r="B144">
        <f>'S25.14'!$B$51</f>
        <v>16</v>
      </c>
      <c r="C144" t="str">
        <f>'S25.14'!D51</f>
        <v>ID-044</v>
      </c>
      <c r="D144" t="str">
        <f>'S25.14'!E51</f>
        <v>CBS</v>
      </c>
      <c r="E144" t="str">
        <f>'S25.14'!F51</f>
        <v>BOQ-065</v>
      </c>
      <c r="G144" t="s">
        <v>272</v>
      </c>
      <c r="H144" t="s">
        <v>27</v>
      </c>
      <c r="I144" s="16">
        <f>'S25.14'!$R$51</f>
        <v>0</v>
      </c>
      <c r="J144">
        <f>VLOOKUP(A144,DM_CKDH!$B$5:$E$54,4,0)</f>
        <v>1</v>
      </c>
      <c r="K144" s="25">
        <f t="shared" si="3"/>
        <v>0</v>
      </c>
      <c r="L144" t="str">
        <f>VLOOKUP(A144,DM_CKDH!$B$5:$E$54,2,0)</f>
        <v>Dầm sàn tầng 1 (zone4) - Khu lõi</v>
      </c>
    </row>
    <row r="145" spans="1:12">
      <c r="A145" t="str">
        <f>'S31.11'!$F$3</f>
        <v>S31.11</v>
      </c>
      <c r="B145">
        <f>'S31.11'!$B$6</f>
        <v>1</v>
      </c>
      <c r="C145" t="str">
        <f>'S31.11'!D6</f>
        <v>ID-033</v>
      </c>
      <c r="D145">
        <f>'S31.11'!E6</f>
        <v>0</v>
      </c>
      <c r="E145" t="str">
        <f>'S31.11'!F6</f>
        <v>BOQ-037</v>
      </c>
      <c r="G145" t="s">
        <v>433</v>
      </c>
      <c r="H145" t="s">
        <v>27</v>
      </c>
      <c r="I145" s="16">
        <f>'S31.11'!$R$6</f>
        <v>0</v>
      </c>
      <c r="J145">
        <f>VLOOKUP(A145,DM_CKDH!$B$5:$E$54,4,0)</f>
        <v>1</v>
      </c>
      <c r="K145" s="25">
        <f t="shared" si="3"/>
        <v>0</v>
      </c>
      <c r="L145" t="str">
        <f>VLOOKUP(A145,DM_CKDH!$B$5:$E$54,2,0)</f>
        <v>Thang bộ Tầng B1 lên T1</v>
      </c>
    </row>
    <row r="146" spans="1:12">
      <c r="A146" t="str">
        <f>'S31.11'!$F$3</f>
        <v>S31.11</v>
      </c>
      <c r="B146">
        <f>'S31.11'!$B$9</f>
        <v>2</v>
      </c>
      <c r="C146" t="str">
        <f>'S31.11'!D9</f>
        <v>ID-033A</v>
      </c>
      <c r="D146" t="str">
        <f>'S31.11'!E9</f>
        <v>CBS</v>
      </c>
      <c r="E146">
        <f>'S31.11'!F9</f>
        <v>0</v>
      </c>
      <c r="G146" t="s">
        <v>324</v>
      </c>
      <c r="H146" t="s">
        <v>27</v>
      </c>
      <c r="I146" s="16">
        <f>'S31.11'!$R$9</f>
        <v>0</v>
      </c>
      <c r="J146">
        <f>VLOOKUP(A146,DM_CKDH!$B$5:$E$54,4,0)</f>
        <v>1</v>
      </c>
      <c r="K146" s="25">
        <f t="shared" si="3"/>
        <v>0</v>
      </c>
      <c r="L146" t="str">
        <f>VLOOKUP(A146,DM_CKDH!$B$5:$E$54,2,0)</f>
        <v>Thang bộ Tầng B1 lên T1</v>
      </c>
    </row>
    <row r="147" spans="1:12">
      <c r="A147" t="str">
        <f>'S31.11'!$F$3</f>
        <v>S31.11</v>
      </c>
      <c r="B147">
        <f>'S31.11'!$B$12</f>
        <v>3</v>
      </c>
      <c r="C147" t="str">
        <f>'S31.11'!D12</f>
        <v>ID-034A</v>
      </c>
      <c r="D147">
        <f>'S31.11'!E12</f>
        <v>0</v>
      </c>
      <c r="E147" t="str">
        <f>'S31.11'!F12</f>
        <v>BOQ-039</v>
      </c>
      <c r="G147" t="s">
        <v>263</v>
      </c>
      <c r="H147" t="s">
        <v>27</v>
      </c>
      <c r="I147" s="16">
        <f>'S31.11'!$R$12</f>
        <v>0</v>
      </c>
      <c r="J147">
        <f>VLOOKUP(A147,DM_CKDH!$B$5:$E$54,4,0)</f>
        <v>1</v>
      </c>
      <c r="K147" s="25">
        <f t="shared" si="3"/>
        <v>0</v>
      </c>
      <c r="L147" t="str">
        <f>VLOOKUP(A147,DM_CKDH!$B$5:$E$54,2,0)</f>
        <v>Thang bộ Tầng B1 lên T1</v>
      </c>
    </row>
    <row r="148" spans="1:12">
      <c r="A148" t="str">
        <f>'S31.11'!$F$3</f>
        <v>S31.11</v>
      </c>
      <c r="B148">
        <f>'S31.11'!$B$15</f>
        <v>4</v>
      </c>
      <c r="C148" t="str">
        <f>'S31.11'!D15</f>
        <v>ID-035B</v>
      </c>
      <c r="D148">
        <f>'S31.11'!E15</f>
        <v>0</v>
      </c>
      <c r="E148" t="str">
        <f>'S31.11'!F15</f>
        <v>BOQ-040</v>
      </c>
      <c r="G148" t="s">
        <v>264</v>
      </c>
      <c r="H148" t="s">
        <v>27</v>
      </c>
      <c r="I148" s="16">
        <f>'S31.11'!$R$15</f>
        <v>0</v>
      </c>
      <c r="J148">
        <f>VLOOKUP(A148,DM_CKDH!$B$5:$E$54,4,0)</f>
        <v>1</v>
      </c>
      <c r="K148" s="25">
        <f t="shared" si="3"/>
        <v>0</v>
      </c>
      <c r="L148" t="str">
        <f>VLOOKUP(A148,DM_CKDH!$B$5:$E$54,2,0)</f>
        <v>Thang bộ Tầng B1 lên T1</v>
      </c>
    </row>
    <row r="149" spans="1:12">
      <c r="A149" t="str">
        <f>'S31.11'!$F$3</f>
        <v>S31.11</v>
      </c>
      <c r="B149">
        <f>'S31.11'!$B$18</f>
        <v>5</v>
      </c>
      <c r="C149" t="str">
        <f>'S31.11'!D18</f>
        <v>ID-035</v>
      </c>
      <c r="D149" t="str">
        <f>'S31.11'!E18</f>
        <v>CBS</v>
      </c>
      <c r="E149">
        <f>'S31.11'!F18</f>
        <v>0</v>
      </c>
      <c r="G149" t="s">
        <v>305</v>
      </c>
      <c r="H149" t="s">
        <v>27</v>
      </c>
      <c r="I149" s="16">
        <f>'S31.11'!$R$18</f>
        <v>0</v>
      </c>
      <c r="J149">
        <f>VLOOKUP(A149,DM_CKDH!$B$5:$E$54,4,0)</f>
        <v>1</v>
      </c>
      <c r="K149" s="25">
        <f t="shared" si="3"/>
        <v>0</v>
      </c>
      <c r="L149" t="str">
        <f>VLOOKUP(A149,DM_CKDH!$B$5:$E$54,2,0)</f>
        <v>Thang bộ Tầng B1 lên T1</v>
      </c>
    </row>
    <row r="150" spans="1:12">
      <c r="A150" t="str">
        <f>'S31.11'!$F$3</f>
        <v>S31.11</v>
      </c>
      <c r="B150">
        <f>'S31.11'!$B$21</f>
        <v>6</v>
      </c>
      <c r="C150" t="str">
        <f>'S31.11'!D21</f>
        <v>ID-036</v>
      </c>
      <c r="D150">
        <f>'S31.11'!E21</f>
        <v>0</v>
      </c>
      <c r="E150" t="str">
        <f>'S31.11'!F21</f>
        <v>BOQ-041</v>
      </c>
      <c r="G150" t="s">
        <v>526</v>
      </c>
      <c r="H150" t="s">
        <v>27</v>
      </c>
      <c r="I150" s="16">
        <f>'S31.11'!$R$21</f>
        <v>0</v>
      </c>
      <c r="J150">
        <f>VLOOKUP(A150,DM_CKDH!$B$5:$E$54,4,0)</f>
        <v>1</v>
      </c>
      <c r="K150" s="25">
        <f t="shared" si="3"/>
        <v>0</v>
      </c>
      <c r="L150" t="str">
        <f>VLOOKUP(A150,DM_CKDH!$B$5:$E$54,2,0)</f>
        <v>Thang bộ Tầng B1 lên T1</v>
      </c>
    </row>
    <row r="151" spans="1:12">
      <c r="A151" t="str">
        <f>'S31.11'!$F$3</f>
        <v>S31.11</v>
      </c>
      <c r="B151">
        <f>'S31.11'!$B$24</f>
        <v>7</v>
      </c>
      <c r="C151" t="str">
        <f>'S31.11'!D24</f>
        <v>ID-036A</v>
      </c>
      <c r="D151" t="str">
        <f>'S31.11'!E24</f>
        <v>CBS</v>
      </c>
      <c r="E151">
        <f>'S31.11'!F24</f>
        <v>0</v>
      </c>
      <c r="G151" t="s">
        <v>306</v>
      </c>
      <c r="H151" t="s">
        <v>27</v>
      </c>
      <c r="I151" s="16">
        <f>'S31.11'!$R$24</f>
        <v>0</v>
      </c>
      <c r="J151">
        <f>VLOOKUP(A151,DM_CKDH!$B$5:$E$54,4,0)</f>
        <v>1</v>
      </c>
      <c r="K151" s="25">
        <f t="shared" si="3"/>
        <v>0</v>
      </c>
      <c r="L151" t="str">
        <f>VLOOKUP(A151,DM_CKDH!$B$5:$E$54,2,0)</f>
        <v>Thang bộ Tầng B1 lên T1</v>
      </c>
    </row>
    <row r="152" spans="1:12">
      <c r="A152" t="str">
        <f>'S32.11'!$F$3</f>
        <v>S32.11</v>
      </c>
      <c r="B152">
        <f>'S32.11'!$B$6</f>
        <v>1</v>
      </c>
      <c r="C152" t="str">
        <f>'S32.11'!D6</f>
        <v>ID-033</v>
      </c>
      <c r="D152">
        <f>'S32.11'!E6</f>
        <v>0</v>
      </c>
      <c r="E152" t="str">
        <f>'S32.11'!F6</f>
        <v>BOQ-037</v>
      </c>
      <c r="G152" t="s">
        <v>433</v>
      </c>
      <c r="H152" t="s">
        <v>27</v>
      </c>
      <c r="I152" s="16">
        <f>'S32.11'!$R$6</f>
        <v>0</v>
      </c>
      <c r="J152">
        <f>VLOOKUP(A152,DM_CKDH!$B$5:$E$54,4,0)</f>
        <v>1</v>
      </c>
      <c r="K152" s="25">
        <f t="shared" si="3"/>
        <v>0</v>
      </c>
      <c r="L152" t="str">
        <f>VLOOKUP(A152,DM_CKDH!$B$5:$E$54,2,0)</f>
        <v>Đường dốc tầng B1 lên T1</v>
      </c>
    </row>
    <row r="153" spans="1:12">
      <c r="A153" t="str">
        <f>'S32.11'!$F$3</f>
        <v>S32.11</v>
      </c>
      <c r="B153">
        <f>'S32.11'!$B$9</f>
        <v>2</v>
      </c>
      <c r="C153" t="str">
        <f>'S32.11'!D9</f>
        <v>ID-033A</v>
      </c>
      <c r="D153" t="str">
        <f>'S32.11'!E9</f>
        <v>CBS</v>
      </c>
      <c r="E153">
        <f>'S32.11'!F9</f>
        <v>0</v>
      </c>
      <c r="G153" t="s">
        <v>324</v>
      </c>
      <c r="H153" t="s">
        <v>27</v>
      </c>
      <c r="I153" s="16">
        <f>'S32.11'!$R$9</f>
        <v>0</v>
      </c>
      <c r="J153">
        <f>VLOOKUP(A153,DM_CKDH!$B$5:$E$54,4,0)</f>
        <v>1</v>
      </c>
      <c r="K153" s="25">
        <f t="shared" si="3"/>
        <v>0</v>
      </c>
      <c r="L153" t="str">
        <f>VLOOKUP(A153,DM_CKDH!$B$5:$E$54,2,0)</f>
        <v>Đường dốc tầng B1 lên T1</v>
      </c>
    </row>
    <row r="154" spans="1:12">
      <c r="A154" t="str">
        <f>'S32.11'!$F$3</f>
        <v>S32.11</v>
      </c>
      <c r="B154">
        <f>'S32.11'!$B$12</f>
        <v>3</v>
      </c>
      <c r="C154" t="str">
        <f>'S32.11'!D12</f>
        <v>ID-034A</v>
      </c>
      <c r="D154">
        <f>'S32.11'!E12</f>
        <v>0</v>
      </c>
      <c r="E154" t="str">
        <f>'S32.11'!F12</f>
        <v>BOQ-039</v>
      </c>
      <c r="G154" t="s">
        <v>263</v>
      </c>
      <c r="H154" t="s">
        <v>27</v>
      </c>
      <c r="I154" s="16">
        <f>'S32.11'!$R$12</f>
        <v>0</v>
      </c>
      <c r="J154">
        <f>VLOOKUP(A154,DM_CKDH!$B$5:$E$54,4,0)</f>
        <v>1</v>
      </c>
      <c r="K154" s="25">
        <f t="shared" si="3"/>
        <v>0</v>
      </c>
      <c r="L154" t="str">
        <f>VLOOKUP(A154,DM_CKDH!$B$5:$E$54,2,0)</f>
        <v>Đường dốc tầng B1 lên T1</v>
      </c>
    </row>
    <row r="155" spans="1:12">
      <c r="A155" t="str">
        <f>'S32.11'!$F$3</f>
        <v>S32.11</v>
      </c>
      <c r="B155">
        <f>'S32.11'!$B$15</f>
        <v>4</v>
      </c>
      <c r="C155" t="str">
        <f>'S32.11'!D15</f>
        <v>ID-035B</v>
      </c>
      <c r="D155">
        <f>'S32.11'!E15</f>
        <v>0</v>
      </c>
      <c r="E155" t="str">
        <f>'S32.11'!F15</f>
        <v>BOQ-040</v>
      </c>
      <c r="G155" t="s">
        <v>264</v>
      </c>
      <c r="H155" t="s">
        <v>27</v>
      </c>
      <c r="I155" s="16">
        <f>'S32.11'!$R$15</f>
        <v>0</v>
      </c>
      <c r="J155">
        <f>VLOOKUP(A155,DM_CKDH!$B$5:$E$54,4,0)</f>
        <v>1</v>
      </c>
      <c r="K155" s="25">
        <f t="shared" si="3"/>
        <v>0</v>
      </c>
      <c r="L155" t="str">
        <f>VLOOKUP(A155,DM_CKDH!$B$5:$E$54,2,0)</f>
        <v>Đường dốc tầng B1 lên T1</v>
      </c>
    </row>
    <row r="156" spans="1:12">
      <c r="A156" t="str">
        <f>'S32.11'!$F$3</f>
        <v>S32.11</v>
      </c>
      <c r="B156">
        <f>'S32.11'!$B$18</f>
        <v>5</v>
      </c>
      <c r="C156" t="str">
        <f>'S32.11'!D18</f>
        <v>ID-035</v>
      </c>
      <c r="D156" t="str">
        <f>'S32.11'!E18</f>
        <v>CBS</v>
      </c>
      <c r="E156">
        <f>'S32.11'!F18</f>
        <v>0</v>
      </c>
      <c r="G156" t="s">
        <v>305</v>
      </c>
      <c r="H156" t="s">
        <v>27</v>
      </c>
      <c r="I156" s="16">
        <f>'S32.11'!$R$18</f>
        <v>0</v>
      </c>
      <c r="J156">
        <f>VLOOKUP(A156,DM_CKDH!$B$5:$E$54,4,0)</f>
        <v>1</v>
      </c>
      <c r="K156" s="25">
        <f t="shared" si="3"/>
        <v>0</v>
      </c>
      <c r="L156" t="str">
        <f>VLOOKUP(A156,DM_CKDH!$B$5:$E$54,2,0)</f>
        <v>Đường dốc tầng B1 lên T1</v>
      </c>
    </row>
    <row r="157" spans="1:12">
      <c r="A157" t="str">
        <f>'S32.11'!$F$3</f>
        <v>S32.11</v>
      </c>
      <c r="B157">
        <f>'S32.11'!$B$21</f>
        <v>6</v>
      </c>
      <c r="C157" t="str">
        <f>'S32.11'!D21</f>
        <v>ID-036</v>
      </c>
      <c r="D157">
        <f>'S32.11'!E21</f>
        <v>0</v>
      </c>
      <c r="E157" t="str">
        <f>'S32.11'!F21</f>
        <v>BOQ-041</v>
      </c>
      <c r="G157" t="s">
        <v>526</v>
      </c>
      <c r="H157" t="s">
        <v>27</v>
      </c>
      <c r="I157" s="16">
        <f>'S32.11'!$R$21</f>
        <v>0</v>
      </c>
      <c r="J157">
        <f>VLOOKUP(A157,DM_CKDH!$B$5:$E$54,4,0)</f>
        <v>1</v>
      </c>
      <c r="K157" s="25">
        <f t="shared" si="3"/>
        <v>0</v>
      </c>
      <c r="L157" t="str">
        <f>VLOOKUP(A157,DM_CKDH!$B$5:$E$54,2,0)</f>
        <v>Đường dốc tầng B1 lên T1</v>
      </c>
    </row>
    <row r="158" spans="1:12">
      <c r="A158" t="str">
        <f>'S32.11'!$F$3</f>
        <v>S32.11</v>
      </c>
      <c r="B158">
        <f>'S32.11'!$B$24</f>
        <v>7</v>
      </c>
      <c r="C158" t="str">
        <f>'S32.11'!D24</f>
        <v>ID-036B</v>
      </c>
      <c r="D158" t="str">
        <f>'S32.11'!E24</f>
        <v>CBS</v>
      </c>
      <c r="E158">
        <f>'S32.11'!F24</f>
        <v>0</v>
      </c>
      <c r="G158" t="s">
        <v>119</v>
      </c>
      <c r="H158" t="s">
        <v>27</v>
      </c>
      <c r="I158" s="16">
        <f>'S32.11'!$R$24</f>
        <v>0</v>
      </c>
      <c r="J158">
        <f>VLOOKUP(A158,DM_CKDH!$B$5:$E$54,4,0)</f>
        <v>1</v>
      </c>
      <c r="K158" s="25">
        <f t="shared" si="3"/>
        <v>0</v>
      </c>
      <c r="L158" t="str">
        <f>VLOOKUP(A158,DM_CKDH!$B$5:$E$54,2,0)</f>
        <v>Đường dốc tầng B1 lên T1</v>
      </c>
    </row>
    <row r="159" spans="1:12">
      <c r="A159" t="str">
        <f>'S32.11'!$F$3</f>
        <v>S32.11</v>
      </c>
      <c r="B159">
        <f>'S32.11'!$B$27</f>
        <v>8</v>
      </c>
      <c r="C159" t="str">
        <f>'S32.11'!D27</f>
        <v>ID-043</v>
      </c>
      <c r="D159" t="str">
        <f>'S32.11'!E27</f>
        <v>CBS</v>
      </c>
      <c r="E159" t="str">
        <f>'S32.11'!F27</f>
        <v>BOQ-064</v>
      </c>
      <c r="G159" t="s">
        <v>271</v>
      </c>
      <c r="H159" t="s">
        <v>27</v>
      </c>
      <c r="I159" s="16">
        <f>'S32.11'!$R$27</f>
        <v>0</v>
      </c>
      <c r="J159">
        <f>VLOOKUP(A159,DM_CKDH!$B$5:$E$54,4,0)</f>
        <v>1</v>
      </c>
      <c r="K159" s="25">
        <f t="shared" si="3"/>
        <v>0</v>
      </c>
      <c r="L159" t="str">
        <f>VLOOKUP(A159,DM_CKDH!$B$5:$E$54,2,0)</f>
        <v>Đường dốc tầng B1 lên T1</v>
      </c>
    </row>
    <row r="160" spans="1:12">
      <c r="A160" t="str">
        <f>'S33.11'!$F$3</f>
        <v>S33.11</v>
      </c>
      <c r="B160">
        <f>'S33.11'!$B$6</f>
        <v>1</v>
      </c>
      <c r="C160" t="str">
        <f>'S33.11'!D6</f>
        <v>ID-004</v>
      </c>
      <c r="D160">
        <f>'S33.11'!E6</f>
        <v>0</v>
      </c>
      <c r="E160" t="str">
        <f>'S33.11'!F6</f>
        <v>BOQ-004</v>
      </c>
      <c r="G160" t="s">
        <v>335</v>
      </c>
      <c r="H160" t="s">
        <v>27</v>
      </c>
      <c r="I160" s="16">
        <f>'S33.11'!$R$6</f>
        <v>0</v>
      </c>
      <c r="J160">
        <f>VLOOKUP(A160,DM_CKDH!$B$5:$E$54,4,0)</f>
        <v>1</v>
      </c>
      <c r="K160" s="25">
        <f t="shared" si="3"/>
        <v>0</v>
      </c>
      <c r="L160" t="str">
        <f>VLOOKUP(A160,DM_CKDH!$B$5:$E$54,2,0)</f>
        <v>Bể Dầu, XL</v>
      </c>
    </row>
    <row r="161" spans="1:12">
      <c r="A161" t="str">
        <f>'S33.11'!$F$3</f>
        <v>S33.11</v>
      </c>
      <c r="B161">
        <f>'S33.11'!$B$9</f>
        <v>2</v>
      </c>
      <c r="C161" t="str">
        <f>'S33.11'!D9</f>
        <v>ID-004A</v>
      </c>
      <c r="D161" t="str">
        <f>'S33.11'!E9</f>
        <v>CBS</v>
      </c>
      <c r="E161">
        <f>'S33.11'!F9</f>
        <v>0</v>
      </c>
      <c r="G161" t="s">
        <v>334</v>
      </c>
      <c r="H161" t="s">
        <v>27</v>
      </c>
      <c r="I161" s="16">
        <f>'S33.11'!$R$9</f>
        <v>0</v>
      </c>
      <c r="J161">
        <f>VLOOKUP(A161,DM_CKDH!$B$5:$E$54,4,0)</f>
        <v>1</v>
      </c>
      <c r="K161" s="25">
        <f t="shared" si="3"/>
        <v>0</v>
      </c>
      <c r="L161" t="str">
        <f>VLOOKUP(A161,DM_CKDH!$B$5:$E$54,2,0)</f>
        <v>Bể Dầu, XL</v>
      </c>
    </row>
    <row r="162" spans="1:12">
      <c r="A162" t="str">
        <f>'S33.11'!$F$3</f>
        <v>S33.11</v>
      </c>
      <c r="B162">
        <f>'S33.11'!$B$12</f>
        <v>3</v>
      </c>
      <c r="C162" t="str">
        <f>'S33.11'!D12</f>
        <v>ID-004B</v>
      </c>
      <c r="D162" t="str">
        <f>'S33.11'!E12</f>
        <v>CBS</v>
      </c>
      <c r="E162">
        <f>'S33.11'!F12</f>
        <v>0</v>
      </c>
      <c r="G162" t="s">
        <v>341</v>
      </c>
      <c r="H162" t="s">
        <v>27</v>
      </c>
      <c r="I162" s="16">
        <f>'S33.11'!$R$12</f>
        <v>0</v>
      </c>
      <c r="J162">
        <f>VLOOKUP(A162,DM_CKDH!$B$5:$E$54,4,0)</f>
        <v>1</v>
      </c>
      <c r="K162" s="25">
        <f t="shared" si="3"/>
        <v>0</v>
      </c>
      <c r="L162" t="str">
        <f>VLOOKUP(A162,DM_CKDH!$B$5:$E$54,2,0)</f>
        <v>Bể Dầu, XL</v>
      </c>
    </row>
    <row r="163" spans="1:12">
      <c r="A163" t="str">
        <f>'S33.11'!$F$3</f>
        <v>S33.11</v>
      </c>
      <c r="B163">
        <f>'S33.11'!$B$15</f>
        <v>4</v>
      </c>
      <c r="C163" t="str">
        <f>'S33.11'!D15</f>
        <v>ID-005</v>
      </c>
      <c r="D163" t="str">
        <f>'S33.11'!E15</f>
        <v>CBS</v>
      </c>
      <c r="E163" t="str">
        <f>'S33.11'!F15</f>
        <v>BOQ-005</v>
      </c>
      <c r="G163" t="s">
        <v>243</v>
      </c>
      <c r="H163" t="s">
        <v>27</v>
      </c>
      <c r="I163" s="16">
        <f>'S33.11'!$R$15</f>
        <v>0</v>
      </c>
      <c r="J163">
        <f>VLOOKUP(A163,DM_CKDH!$B$5:$E$54,4,0)</f>
        <v>1</v>
      </c>
      <c r="K163" s="25">
        <f t="shared" si="3"/>
        <v>0</v>
      </c>
      <c r="L163" t="str">
        <f>VLOOKUP(A163,DM_CKDH!$B$5:$E$54,2,0)</f>
        <v>Bể Dầu, XL</v>
      </c>
    </row>
    <row r="164" spans="1:12">
      <c r="A164" t="str">
        <f>'S33.11'!$F$3</f>
        <v>S33.11</v>
      </c>
      <c r="B164">
        <f>'S33.11'!$B$18</f>
        <v>5</v>
      </c>
      <c r="C164" t="str">
        <f>'S33.11'!D18</f>
        <v>ID-006</v>
      </c>
      <c r="D164">
        <f>'S33.11'!E18</f>
        <v>0</v>
      </c>
      <c r="E164" t="str">
        <f>'S33.11'!F18</f>
        <v>BOQ-006</v>
      </c>
      <c r="G164" t="s">
        <v>336</v>
      </c>
      <c r="H164" t="s">
        <v>27</v>
      </c>
      <c r="I164" s="16">
        <f>'S33.11'!$R$18</f>
        <v>0</v>
      </c>
      <c r="J164">
        <f>VLOOKUP(A164,DM_CKDH!$B$5:$E$54,4,0)</f>
        <v>1</v>
      </c>
      <c r="K164" s="25">
        <f t="shared" si="3"/>
        <v>0</v>
      </c>
      <c r="L164" t="str">
        <f>VLOOKUP(A164,DM_CKDH!$B$5:$E$54,2,0)</f>
        <v>Bể Dầu, XL</v>
      </c>
    </row>
    <row r="165" spans="1:12">
      <c r="A165" t="str">
        <f>'S33.11'!$F$3</f>
        <v>S33.11</v>
      </c>
      <c r="B165">
        <f>'S33.11'!$B$21</f>
        <v>6</v>
      </c>
      <c r="C165" t="str">
        <f>'S33.11'!D21</f>
        <v>ID-006A</v>
      </c>
      <c r="D165" t="str">
        <f>'S33.11'!E21</f>
        <v>CBS</v>
      </c>
      <c r="E165">
        <f>'S33.11'!F21</f>
        <v>0</v>
      </c>
      <c r="G165" t="s">
        <v>337</v>
      </c>
      <c r="H165" t="s">
        <v>27</v>
      </c>
      <c r="I165" s="16">
        <f>'S33.11'!$R$21</f>
        <v>0</v>
      </c>
      <c r="J165">
        <f>VLOOKUP(A165,DM_CKDH!$B$5:$E$54,4,0)</f>
        <v>1</v>
      </c>
      <c r="K165" s="25">
        <f t="shared" si="3"/>
        <v>0</v>
      </c>
      <c r="L165" t="str">
        <f>VLOOKUP(A165,DM_CKDH!$B$5:$E$54,2,0)</f>
        <v>Bể Dầu, XL</v>
      </c>
    </row>
    <row r="166" spans="1:12">
      <c r="A166" t="str">
        <f>'S33.11'!$F$3</f>
        <v>S33.11</v>
      </c>
      <c r="B166">
        <f>'S33.11'!$B$24</f>
        <v>7</v>
      </c>
      <c r="C166" t="str">
        <f>'S33.11'!D24</f>
        <v>ID-006B</v>
      </c>
      <c r="D166" t="str">
        <f>'S33.11'!E24</f>
        <v>CBS</v>
      </c>
      <c r="E166">
        <f>'S33.11'!F24</f>
        <v>0</v>
      </c>
      <c r="G166" t="s">
        <v>339</v>
      </c>
      <c r="H166" t="s">
        <v>27</v>
      </c>
      <c r="I166" s="16">
        <f>'S33.11'!$R$24</f>
        <v>0</v>
      </c>
      <c r="J166">
        <f>VLOOKUP(A166,DM_CKDH!$B$5:$E$54,4,0)</f>
        <v>1</v>
      </c>
      <c r="K166" s="25">
        <f t="shared" si="3"/>
        <v>0</v>
      </c>
      <c r="L166" t="str">
        <f>VLOOKUP(A166,DM_CKDH!$B$5:$E$54,2,0)</f>
        <v>Bể Dầu, XL</v>
      </c>
    </row>
    <row r="167" spans="1:12">
      <c r="A167" t="str">
        <f>'S33.11'!$F$3</f>
        <v>S33.11</v>
      </c>
      <c r="B167">
        <f>'S33.11'!$B$27</f>
        <v>8</v>
      </c>
      <c r="C167" t="str">
        <f>'S33.11'!D27</f>
        <v>ID-007A</v>
      </c>
      <c r="D167">
        <f>'S33.11'!E27</f>
        <v>0</v>
      </c>
      <c r="E167" t="str">
        <f>'S33.11'!F27</f>
        <v>BOQ-007</v>
      </c>
      <c r="G167" t="s">
        <v>239</v>
      </c>
      <c r="H167" t="s">
        <v>27</v>
      </c>
      <c r="I167" s="16">
        <f>'S33.11'!$R$27</f>
        <v>0</v>
      </c>
      <c r="J167">
        <f>VLOOKUP(A167,DM_CKDH!$B$5:$E$54,4,0)</f>
        <v>1</v>
      </c>
      <c r="K167" s="25">
        <f t="shared" si="3"/>
        <v>0</v>
      </c>
      <c r="L167" t="str">
        <f>VLOOKUP(A167,DM_CKDH!$B$5:$E$54,2,0)</f>
        <v>Bể Dầu, XL</v>
      </c>
    </row>
    <row r="168" spans="1:12">
      <c r="A168" t="str">
        <f>'S33.11'!$F$3</f>
        <v>S33.11</v>
      </c>
      <c r="B168">
        <f>'S33.11'!$B$30</f>
        <v>9</v>
      </c>
      <c r="C168" t="str">
        <f>'S33.11'!D30</f>
        <v>ID-007B</v>
      </c>
      <c r="D168">
        <f>'S33.11'!E30</f>
        <v>0</v>
      </c>
      <c r="E168" t="str">
        <f>'S33.11'!F30</f>
        <v>BOQ-008</v>
      </c>
      <c r="G168" t="s">
        <v>240</v>
      </c>
      <c r="H168" t="s">
        <v>27</v>
      </c>
      <c r="I168" s="16">
        <f>'S33.11'!$R$30</f>
        <v>0</v>
      </c>
      <c r="J168">
        <f>VLOOKUP(A168,DM_CKDH!$B$5:$E$54,4,0)</f>
        <v>1</v>
      </c>
      <c r="K168" s="25">
        <f t="shared" si="3"/>
        <v>0</v>
      </c>
      <c r="L168" t="str">
        <f>VLOOKUP(A168,DM_CKDH!$B$5:$E$54,2,0)</f>
        <v>Bể Dầu, XL</v>
      </c>
    </row>
    <row r="169" spans="1:12">
      <c r="A169" t="str">
        <f>'S33.11'!$F$3</f>
        <v>S33.11</v>
      </c>
      <c r="B169">
        <f>'S33.11'!$B$33</f>
        <v>10</v>
      </c>
      <c r="C169" t="str">
        <f>'S33.11'!D33</f>
        <v>ID-007C</v>
      </c>
      <c r="D169">
        <f>'S33.11'!E33</f>
        <v>0</v>
      </c>
      <c r="E169" t="str">
        <f>'S33.11'!F33</f>
        <v>BOQ-009</v>
      </c>
      <c r="G169" t="s">
        <v>241</v>
      </c>
      <c r="H169" t="s">
        <v>27</v>
      </c>
      <c r="I169" s="16">
        <f>'S33.11'!$R$33</f>
        <v>0</v>
      </c>
      <c r="J169">
        <f>VLOOKUP(A169,DM_CKDH!$B$5:$E$54,4,0)</f>
        <v>1</v>
      </c>
      <c r="K169" s="25">
        <f t="shared" si="3"/>
        <v>0</v>
      </c>
      <c r="L169" t="str">
        <f>VLOOKUP(A169,DM_CKDH!$B$5:$E$54,2,0)</f>
        <v>Bể Dầu, XL</v>
      </c>
    </row>
    <row r="170" spans="1:12">
      <c r="A170" t="str">
        <f>'S33.11'!$F$3</f>
        <v>S33.11</v>
      </c>
      <c r="B170">
        <f>'S33.11'!$B$36</f>
        <v>11</v>
      </c>
      <c r="C170" t="str">
        <f>'S33.11'!D36</f>
        <v>ID-007</v>
      </c>
      <c r="D170" t="str">
        <f>'S33.11'!E36</f>
        <v>CBS</v>
      </c>
      <c r="E170">
        <f>'S33.11'!F36</f>
        <v>0</v>
      </c>
      <c r="G170" t="s">
        <v>294</v>
      </c>
      <c r="H170" t="s">
        <v>27</v>
      </c>
      <c r="I170" s="16">
        <f>'S33.11'!$R$36</f>
        <v>0</v>
      </c>
      <c r="J170">
        <f>VLOOKUP(A170,DM_CKDH!$B$5:$E$54,4,0)</f>
        <v>1</v>
      </c>
      <c r="K170" s="25">
        <f t="shared" si="3"/>
        <v>0</v>
      </c>
      <c r="L170" t="str">
        <f>VLOOKUP(A170,DM_CKDH!$B$5:$E$54,2,0)</f>
        <v>Bể Dầu, XL</v>
      </c>
    </row>
    <row r="171" spans="1:12">
      <c r="A171" t="str">
        <f>'S33.11'!$F$3</f>
        <v>S33.11</v>
      </c>
      <c r="B171">
        <f>'S33.11'!$B$39</f>
        <v>12</v>
      </c>
      <c r="C171" t="str">
        <f>'S33.11'!D39</f>
        <v>ID-008</v>
      </c>
      <c r="D171" t="str">
        <f>'S33.11'!E39</f>
        <v>CBS</v>
      </c>
      <c r="E171" t="str">
        <f>'S33.11'!F39</f>
        <v>BOQ-010</v>
      </c>
      <c r="G171" t="s">
        <v>242</v>
      </c>
      <c r="H171" t="s">
        <v>27</v>
      </c>
      <c r="I171" s="16">
        <f>'S33.11'!$R$39</f>
        <v>0</v>
      </c>
      <c r="J171">
        <f>VLOOKUP(A171,DM_CKDH!$B$5:$E$54,4,0)</f>
        <v>1</v>
      </c>
      <c r="K171" s="25">
        <f t="shared" si="3"/>
        <v>0</v>
      </c>
      <c r="L171" t="str">
        <f>VLOOKUP(A171,DM_CKDH!$B$5:$E$54,2,0)</f>
        <v>Bể Dầu, XL</v>
      </c>
    </row>
    <row r="172" spans="1:12">
      <c r="A172" t="str">
        <f>'S33.11'!$F$3</f>
        <v>S33.11</v>
      </c>
      <c r="B172">
        <f>'S33.11'!$B$42</f>
        <v>13</v>
      </c>
      <c r="C172" t="str">
        <f>'S33.11'!D42</f>
        <v>ID-009</v>
      </c>
      <c r="D172" t="str">
        <f>'S33.11'!E42</f>
        <v>CBS</v>
      </c>
      <c r="E172" t="str">
        <f>'S33.11'!F42</f>
        <v>BOQ-011</v>
      </c>
      <c r="G172" t="s">
        <v>310</v>
      </c>
      <c r="H172" t="s">
        <v>27</v>
      </c>
      <c r="I172" s="16">
        <f>'S33.11'!$R$42</f>
        <v>0</v>
      </c>
      <c r="J172">
        <f>VLOOKUP(A172,DM_CKDH!$B$5:$E$54,4,0)</f>
        <v>1</v>
      </c>
      <c r="K172" s="25">
        <f t="shared" si="3"/>
        <v>0</v>
      </c>
      <c r="L172" t="str">
        <f>VLOOKUP(A172,DM_CKDH!$B$5:$E$54,2,0)</f>
        <v>Bể Dầu, XL</v>
      </c>
    </row>
    <row r="173" spans="1:12">
      <c r="A173" t="str">
        <f>'S33.11'!$F$3</f>
        <v>S33.11</v>
      </c>
      <c r="B173">
        <f>'S33.11'!$B$45</f>
        <v>14</v>
      </c>
      <c r="C173" t="str">
        <f>'S33.11'!D45</f>
        <v>ID-010</v>
      </c>
      <c r="D173">
        <f>'S33.11'!E45</f>
        <v>0</v>
      </c>
      <c r="E173" t="str">
        <f>'S33.11'!F45</f>
        <v>BOQ-012</v>
      </c>
      <c r="G173" t="s">
        <v>343</v>
      </c>
      <c r="H173" t="s">
        <v>27</v>
      </c>
      <c r="I173" s="16">
        <f>'S33.11'!$R$45</f>
        <v>0</v>
      </c>
      <c r="J173">
        <f>VLOOKUP(A173,DM_CKDH!$B$5:$E$54,4,0)</f>
        <v>1</v>
      </c>
      <c r="K173" s="25">
        <f t="shared" si="3"/>
        <v>0</v>
      </c>
      <c r="L173" t="str">
        <f>VLOOKUP(A173,DM_CKDH!$B$5:$E$54,2,0)</f>
        <v>Bể Dầu, XL</v>
      </c>
    </row>
    <row r="174" spans="1:12">
      <c r="A174" t="str">
        <f>'S33.11'!$F$3</f>
        <v>S33.11</v>
      </c>
      <c r="B174">
        <f>'S33.11'!$B$48</f>
        <v>15</v>
      </c>
      <c r="C174" t="str">
        <f>'S33.11'!D48</f>
        <v>ID-010A</v>
      </c>
      <c r="D174" t="str">
        <f>'S33.11'!E48</f>
        <v>CBS</v>
      </c>
      <c r="E174">
        <f>'S33.11'!F48</f>
        <v>0</v>
      </c>
      <c r="G174" t="s">
        <v>344</v>
      </c>
      <c r="H174" t="s">
        <v>27</v>
      </c>
      <c r="I174" s="16">
        <f>'S33.11'!$R$48</f>
        <v>0</v>
      </c>
      <c r="J174">
        <f>VLOOKUP(A174,DM_CKDH!$B$5:$E$54,4,0)</f>
        <v>1</v>
      </c>
      <c r="K174" s="25">
        <f t="shared" si="3"/>
        <v>0</v>
      </c>
      <c r="L174" t="str">
        <f>VLOOKUP(A174,DM_CKDH!$B$5:$E$54,2,0)</f>
        <v>Bể Dầu, XL</v>
      </c>
    </row>
    <row r="175" spans="1:12">
      <c r="A175" t="str">
        <f>'S33.11'!$F$3</f>
        <v>S33.11</v>
      </c>
      <c r="B175">
        <f>'S33.11'!$B$51</f>
        <v>16</v>
      </c>
      <c r="C175" t="str">
        <f>'S33.11'!D51</f>
        <v>ID-011</v>
      </c>
      <c r="D175">
        <f>'S33.11'!E51</f>
        <v>0</v>
      </c>
      <c r="E175" t="str">
        <f>'S33.11'!F51</f>
        <v>BOQ-013</v>
      </c>
      <c r="G175" t="s">
        <v>524</v>
      </c>
      <c r="H175" t="s">
        <v>27</v>
      </c>
      <c r="I175" s="16">
        <f>'S33.11'!$R$51</f>
        <v>0</v>
      </c>
      <c r="J175">
        <f>VLOOKUP(A175,DM_CKDH!$B$5:$E$54,4,0)</f>
        <v>1</v>
      </c>
      <c r="K175" s="25">
        <f t="shared" si="3"/>
        <v>0</v>
      </c>
      <c r="L175" t="str">
        <f>VLOOKUP(A175,DM_CKDH!$B$5:$E$54,2,0)</f>
        <v>Bể Dầu, XL</v>
      </c>
    </row>
    <row r="176" spans="1:12">
      <c r="A176" t="str">
        <f>'S33.11'!$F$3</f>
        <v>S33.11</v>
      </c>
      <c r="B176">
        <f>'S33.11'!$B$54</f>
        <v>17</v>
      </c>
      <c r="C176" t="str">
        <f>'S33.11'!D54</f>
        <v>ID-011A</v>
      </c>
      <c r="D176" t="str">
        <f>'S33.11'!E54</f>
        <v>CBS</v>
      </c>
      <c r="E176">
        <f>'S33.11'!F54</f>
        <v>0</v>
      </c>
      <c r="G176" t="s">
        <v>320</v>
      </c>
      <c r="H176" t="s">
        <v>27</v>
      </c>
      <c r="I176" s="16">
        <f>'S33.11'!$R$54</f>
        <v>0</v>
      </c>
      <c r="J176">
        <f>VLOOKUP(A176,DM_CKDH!$B$5:$E$54,4,0)</f>
        <v>1</v>
      </c>
      <c r="K176" s="25">
        <f t="shared" si="3"/>
        <v>0</v>
      </c>
      <c r="L176" t="str">
        <f>VLOOKUP(A176,DM_CKDH!$B$5:$E$54,2,0)</f>
        <v>Bể Dầu, XL</v>
      </c>
    </row>
    <row r="177" spans="1:12">
      <c r="A177" t="str">
        <f>'S33.11'!$F$3</f>
        <v>S33.11</v>
      </c>
      <c r="B177">
        <f>'S33.11'!$B$57</f>
        <v>18</v>
      </c>
      <c r="C177" t="str">
        <f>'S33.11'!D57</f>
        <v>ID-012</v>
      </c>
      <c r="D177">
        <f>'S33.11'!E57</f>
        <v>0</v>
      </c>
      <c r="E177" t="str">
        <f>'S33.11'!F57</f>
        <v>BOQ-014</v>
      </c>
      <c r="G177" t="s">
        <v>349</v>
      </c>
      <c r="H177" t="s">
        <v>27</v>
      </c>
      <c r="I177" s="16">
        <f>'S33.11'!$R$57</f>
        <v>0</v>
      </c>
      <c r="J177">
        <f>VLOOKUP(A177,DM_CKDH!$B$5:$E$54,4,0)</f>
        <v>1</v>
      </c>
      <c r="K177" s="25">
        <f t="shared" si="3"/>
        <v>0</v>
      </c>
      <c r="L177" t="str">
        <f>VLOOKUP(A177,DM_CKDH!$B$5:$E$54,2,0)</f>
        <v>Bể Dầu, XL</v>
      </c>
    </row>
    <row r="178" spans="1:12">
      <c r="A178" t="str">
        <f>'S33.11'!$F$3</f>
        <v>S33.11</v>
      </c>
      <c r="B178">
        <f>'S33.11'!$B$60</f>
        <v>19</v>
      </c>
      <c r="C178" t="str">
        <f>'S33.11'!D60</f>
        <v>ID-012B</v>
      </c>
      <c r="D178" t="str">
        <f>'S33.11'!E60</f>
        <v>CBS</v>
      </c>
      <c r="E178">
        <f>'S33.11'!F60</f>
        <v>0</v>
      </c>
      <c r="G178" t="s">
        <v>351</v>
      </c>
      <c r="H178" t="s">
        <v>27</v>
      </c>
      <c r="I178" s="16">
        <f>'S33.11'!$R$60</f>
        <v>0</v>
      </c>
      <c r="J178">
        <f>VLOOKUP(A178,DM_CKDH!$B$5:$E$54,4,0)</f>
        <v>1</v>
      </c>
      <c r="K178" s="25">
        <f t="shared" si="3"/>
        <v>0</v>
      </c>
      <c r="L178" t="str">
        <f>VLOOKUP(A178,DM_CKDH!$B$5:$E$54,2,0)</f>
        <v>Bể Dầu, XL</v>
      </c>
    </row>
    <row r="179" spans="1:12">
      <c r="A179" t="str">
        <f>'S33.11'!$F$3</f>
        <v>S33.11</v>
      </c>
      <c r="B179">
        <f>'S33.11'!$B$63</f>
        <v>20</v>
      </c>
      <c r="C179" t="str">
        <f>'S33.11'!D63</f>
        <v>ID-013A</v>
      </c>
      <c r="D179">
        <f>'S33.11'!E63</f>
        <v>0</v>
      </c>
      <c r="E179" t="str">
        <f>'S33.11'!F63</f>
        <v>BOQ-015</v>
      </c>
      <c r="G179" t="s">
        <v>244</v>
      </c>
      <c r="H179" t="s">
        <v>27</v>
      </c>
      <c r="I179" s="16">
        <f>'S33.11'!$R$63</f>
        <v>0</v>
      </c>
      <c r="J179">
        <f>VLOOKUP(A179,DM_CKDH!$B$5:$E$54,4,0)</f>
        <v>1</v>
      </c>
      <c r="K179" s="25">
        <f t="shared" si="3"/>
        <v>0</v>
      </c>
      <c r="L179" t="str">
        <f>VLOOKUP(A179,DM_CKDH!$B$5:$E$54,2,0)</f>
        <v>Bể Dầu, XL</v>
      </c>
    </row>
    <row r="180" spans="1:12">
      <c r="A180" t="str">
        <f>'S33.11'!$F$3</f>
        <v>S33.11</v>
      </c>
      <c r="B180">
        <f>'S33.11'!$B$66</f>
        <v>21</v>
      </c>
      <c r="C180" t="str">
        <f>'S33.11'!D66</f>
        <v>ID-013B</v>
      </c>
      <c r="D180">
        <f>'S33.11'!E66</f>
        <v>0</v>
      </c>
      <c r="E180" t="str">
        <f>'S33.11'!F66</f>
        <v>BOQ-016</v>
      </c>
      <c r="G180" t="s">
        <v>245</v>
      </c>
      <c r="H180" t="s">
        <v>27</v>
      </c>
      <c r="I180" s="16">
        <f>'S33.11'!$R$66</f>
        <v>0</v>
      </c>
      <c r="J180">
        <f>VLOOKUP(A180,DM_CKDH!$B$5:$E$54,4,0)</f>
        <v>1</v>
      </c>
      <c r="K180" s="25">
        <f t="shared" si="3"/>
        <v>0</v>
      </c>
      <c r="L180" t="str">
        <f>VLOOKUP(A180,DM_CKDH!$B$5:$E$54,2,0)</f>
        <v>Bể Dầu, XL</v>
      </c>
    </row>
    <row r="181" spans="1:12">
      <c r="A181" t="str">
        <f>'S33.11'!$F$3</f>
        <v>S33.11</v>
      </c>
      <c r="B181">
        <f>'S33.11'!$B$69</f>
        <v>22</v>
      </c>
      <c r="C181" t="str">
        <f>'S33.11'!D69</f>
        <v>ID-013</v>
      </c>
      <c r="D181" t="str">
        <f>'S33.11'!E69</f>
        <v>CBS</v>
      </c>
      <c r="E181">
        <f>'S33.11'!F69</f>
        <v>0</v>
      </c>
      <c r="G181" t="s">
        <v>295</v>
      </c>
      <c r="H181" t="s">
        <v>27</v>
      </c>
      <c r="I181" s="16">
        <f>'S33.11'!$R$69</f>
        <v>0</v>
      </c>
      <c r="J181">
        <f>VLOOKUP(A181,DM_CKDH!$B$5:$E$54,4,0)</f>
        <v>1</v>
      </c>
      <c r="K181" s="25">
        <f t="shared" si="3"/>
        <v>0</v>
      </c>
      <c r="L181" t="str">
        <f>VLOOKUP(A181,DM_CKDH!$B$5:$E$54,2,0)</f>
        <v>Bể Dầu, XL</v>
      </c>
    </row>
    <row r="182" spans="1:12">
      <c r="A182" t="str">
        <f>'S33.11'!$F$3</f>
        <v>S33.11</v>
      </c>
      <c r="B182">
        <f>'S33.11'!$B$72</f>
        <v>23</v>
      </c>
      <c r="C182" t="str">
        <f>'S33.11'!D72</f>
        <v>ID-014</v>
      </c>
      <c r="D182">
        <f>'S33.11'!E72</f>
        <v>0</v>
      </c>
      <c r="E182" t="str">
        <f>'S33.11'!F72</f>
        <v>BOQ-017</v>
      </c>
      <c r="G182" t="s">
        <v>525</v>
      </c>
      <c r="H182" t="s">
        <v>27</v>
      </c>
      <c r="I182" s="16">
        <f>'S33.11'!$R$72</f>
        <v>0</v>
      </c>
      <c r="J182">
        <f>VLOOKUP(A182,DM_CKDH!$B$5:$E$54,4,0)</f>
        <v>1</v>
      </c>
      <c r="K182" s="25">
        <f t="shared" si="3"/>
        <v>0</v>
      </c>
      <c r="L182" t="str">
        <f>VLOOKUP(A182,DM_CKDH!$B$5:$E$54,2,0)</f>
        <v>Bể Dầu, XL</v>
      </c>
    </row>
    <row r="183" spans="1:12">
      <c r="A183" t="str">
        <f>'S33.11'!$F$3</f>
        <v>S33.11</v>
      </c>
      <c r="B183">
        <f>'S33.11'!$B$75</f>
        <v>24</v>
      </c>
      <c r="C183" t="str">
        <f>'S33.11'!D75</f>
        <v>ID-014B</v>
      </c>
      <c r="D183" t="str">
        <f>'S33.11'!E75</f>
        <v>CBS</v>
      </c>
      <c r="E183">
        <f>'S33.11'!F75</f>
        <v>0</v>
      </c>
      <c r="G183" t="s">
        <v>338</v>
      </c>
      <c r="H183" t="s">
        <v>27</v>
      </c>
      <c r="I183" s="16">
        <f>'S33.11'!$R$75</f>
        <v>0</v>
      </c>
      <c r="J183">
        <f>VLOOKUP(A183,DM_CKDH!$B$5:$E$54,4,0)</f>
        <v>1</v>
      </c>
      <c r="K183" s="25">
        <f t="shared" si="3"/>
        <v>0</v>
      </c>
      <c r="L183" t="str">
        <f>VLOOKUP(A183,DM_CKDH!$B$5:$E$54,2,0)</f>
        <v>Bể Dầu, XL</v>
      </c>
    </row>
    <row r="184" spans="1:12">
      <c r="A184" t="str">
        <f>'S33.11'!$F$3</f>
        <v>S33.11</v>
      </c>
      <c r="B184">
        <f>'S33.11'!$B$78</f>
        <v>25</v>
      </c>
      <c r="C184" t="str">
        <f>'S33.11'!D78</f>
        <v>ID-X01</v>
      </c>
      <c r="D184" t="str">
        <f>'S33.11'!E78</f>
        <v>CBS</v>
      </c>
      <c r="E184" t="str">
        <f>'S33.11'!F78</f>
        <v>BOQ-018</v>
      </c>
      <c r="G184" t="s">
        <v>307</v>
      </c>
      <c r="H184" t="s">
        <v>27</v>
      </c>
      <c r="I184" s="16">
        <f>'S33.11'!$R$78</f>
        <v>0</v>
      </c>
      <c r="J184">
        <f>VLOOKUP(A184,DM_CKDH!$B$5:$E$54,4,0)</f>
        <v>1</v>
      </c>
      <c r="K184" s="25">
        <f t="shared" si="3"/>
        <v>0</v>
      </c>
      <c r="L184" t="str">
        <f>VLOOKUP(A184,DM_CKDH!$B$5:$E$54,2,0)</f>
        <v>Bể Dầu, XL</v>
      </c>
    </row>
    <row r="185" spans="1:12">
      <c r="A185" t="str">
        <f>'S33.11'!$F$3</f>
        <v>S33.11</v>
      </c>
      <c r="B185">
        <f>'S33.11'!$B$81</f>
        <v>26</v>
      </c>
      <c r="C185" t="str">
        <f>'S33.11'!D81</f>
        <v>ID-037</v>
      </c>
      <c r="D185" t="str">
        <f>'S33.11'!E81</f>
        <v>CBS</v>
      </c>
      <c r="E185" t="str">
        <f>'S33.11'!F81</f>
        <v>BOQ-058</v>
      </c>
      <c r="G185" t="s">
        <v>265</v>
      </c>
      <c r="H185" t="s">
        <v>27</v>
      </c>
      <c r="I185" s="16">
        <f>'S33.11'!$R$81</f>
        <v>0</v>
      </c>
      <c r="J185">
        <f>VLOOKUP(A185,DM_CKDH!$B$5:$E$54,4,0)</f>
        <v>1</v>
      </c>
      <c r="K185" s="25">
        <f t="shared" si="3"/>
        <v>0</v>
      </c>
      <c r="L185" t="str">
        <f>VLOOKUP(A185,DM_CKDH!$B$5:$E$54,2,0)</f>
        <v>Bể Dầu, XL</v>
      </c>
    </row>
    <row r="186" spans="1:12">
      <c r="A186" t="str">
        <f>'S33.11'!$F$3</f>
        <v>S33.11</v>
      </c>
      <c r="B186">
        <f>'S33.11'!$B$84</f>
        <v>27</v>
      </c>
      <c r="C186" t="str">
        <f>'S33.11'!D84</f>
        <v>ID-039</v>
      </c>
      <c r="D186" t="str">
        <f>'S33.11'!E84</f>
        <v>CBS</v>
      </c>
      <c r="E186" t="str">
        <f>'S33.11'!F84</f>
        <v>BOQ-060</v>
      </c>
      <c r="G186" t="s">
        <v>267</v>
      </c>
      <c r="H186" t="s">
        <v>27</v>
      </c>
      <c r="I186" s="16">
        <f>'S33.11'!$R$84</f>
        <v>0</v>
      </c>
      <c r="J186">
        <f>VLOOKUP(A186,DM_CKDH!$B$5:$E$54,4,0)</f>
        <v>1</v>
      </c>
      <c r="K186" s="25">
        <f t="shared" si="3"/>
        <v>0</v>
      </c>
      <c r="L186" t="str">
        <f>VLOOKUP(A186,DM_CKDH!$B$5:$E$54,2,0)</f>
        <v>Bể Dầu, XL</v>
      </c>
    </row>
    <row r="187" spans="1:12">
      <c r="A187" t="str">
        <f>'S33.11'!$F$3</f>
        <v>S33.11</v>
      </c>
      <c r="B187">
        <f>'S33.11'!$B$87</f>
        <v>28</v>
      </c>
      <c r="C187" t="str">
        <f>'S33.11'!D87</f>
        <v>ID-041</v>
      </c>
      <c r="D187" t="str">
        <f>'S33.11'!E87</f>
        <v>CBS</v>
      </c>
      <c r="E187" t="str">
        <f>'S33.11'!F87</f>
        <v>BOQ-062</v>
      </c>
      <c r="G187" t="s">
        <v>269</v>
      </c>
      <c r="H187" t="s">
        <v>27</v>
      </c>
      <c r="I187" s="16">
        <f>'S33.11'!$R$87</f>
        <v>0</v>
      </c>
      <c r="J187">
        <f>VLOOKUP(A187,DM_CKDH!$B$5:$E$54,4,0)</f>
        <v>1</v>
      </c>
      <c r="K187" s="25">
        <f t="shared" si="3"/>
        <v>0</v>
      </c>
      <c r="L187" t="str">
        <f>VLOOKUP(A187,DM_CKDH!$B$5:$E$54,2,0)</f>
        <v>Bể Dầu, XL</v>
      </c>
    </row>
    <row r="188" spans="1:12">
      <c r="A188" t="str">
        <f>'S33.11'!$F$3</f>
        <v>S33.11</v>
      </c>
      <c r="B188">
        <f>'S33.11'!$B$90</f>
        <v>29</v>
      </c>
      <c r="C188" t="str">
        <f>'S33.11'!D90</f>
        <v>ID-042</v>
      </c>
      <c r="D188" t="str">
        <f>'S33.11'!E90</f>
        <v>CBS</v>
      </c>
      <c r="E188" t="str">
        <f>'S33.11'!F90</f>
        <v>BOQ-063</v>
      </c>
      <c r="G188" t="s">
        <v>270</v>
      </c>
      <c r="H188" t="s">
        <v>27</v>
      </c>
      <c r="I188" s="16">
        <f>'S33.11'!$R$90</f>
        <v>0</v>
      </c>
      <c r="J188">
        <f>VLOOKUP(A188,DM_CKDH!$B$5:$E$54,4,0)</f>
        <v>1</v>
      </c>
      <c r="K188" s="25">
        <f t="shared" si="3"/>
        <v>0</v>
      </c>
      <c r="L188" t="str">
        <f>VLOOKUP(A188,DM_CKDH!$B$5:$E$54,2,0)</f>
        <v>Bể Dầu, XL</v>
      </c>
    </row>
    <row r="189" spans="1:12">
      <c r="A189" t="str">
        <f>'S33.11'!$F$3</f>
        <v>S33.11</v>
      </c>
      <c r="B189">
        <f>'S33.11'!$B$93</f>
        <v>30</v>
      </c>
      <c r="C189" t="str">
        <f>'S33.11'!D93</f>
        <v>ID-044</v>
      </c>
      <c r="D189" t="str">
        <f>'S33.11'!E93</f>
        <v>CBS</v>
      </c>
      <c r="E189" t="str">
        <f>'S33.11'!F93</f>
        <v>BOQ-065</v>
      </c>
      <c r="G189" t="s">
        <v>272</v>
      </c>
      <c r="H189" t="s">
        <v>27</v>
      </c>
      <c r="I189" s="16">
        <f>'S33.11'!$R$93</f>
        <v>0</v>
      </c>
      <c r="J189">
        <f>VLOOKUP(A189,DM_CKDH!$B$5:$E$54,4,0)</f>
        <v>1</v>
      </c>
      <c r="K189" s="25">
        <f t="shared" si="3"/>
        <v>0</v>
      </c>
      <c r="L189" t="str">
        <f>VLOOKUP(A189,DM_CKDH!$B$5:$E$54,2,0)</f>
        <v>Bể Dầu, XL</v>
      </c>
    </row>
    <row r="190" spans="1:12">
      <c r="A190" t="str">
        <f>'S33.12'!$F$3</f>
        <v>S33.12</v>
      </c>
      <c r="B190">
        <f>'S33.12'!$B$6</f>
        <v>1</v>
      </c>
      <c r="C190" t="str">
        <f>'S33.12'!D6</f>
        <v>ID-004</v>
      </c>
      <c r="D190">
        <f>'S33.12'!E6</f>
        <v>0</v>
      </c>
      <c r="E190" t="str">
        <f>'S33.12'!F6</f>
        <v>BOQ-004</v>
      </c>
      <c r="G190" t="s">
        <v>335</v>
      </c>
      <c r="H190" t="s">
        <v>27</v>
      </c>
      <c r="I190" s="16">
        <f>'S33.12'!$R$6</f>
        <v>0</v>
      </c>
      <c r="J190">
        <f>VLOOKUP(A190,DM_CKDH!$B$5:$E$54,4,0)</f>
        <v>1</v>
      </c>
      <c r="K190" s="25">
        <f t="shared" si="3"/>
        <v>0</v>
      </c>
      <c r="L190" t="str">
        <f>VLOOKUP(A190,DM_CKDH!$B$5:$E$54,2,0)</f>
        <v>Bể PCCC &amp; SH</v>
      </c>
    </row>
    <row r="191" spans="1:12">
      <c r="A191" t="str">
        <f>'S33.12'!$F$3</f>
        <v>S33.12</v>
      </c>
      <c r="B191">
        <f>'S33.12'!$B$9</f>
        <v>2</v>
      </c>
      <c r="C191" t="str">
        <f>'S33.12'!D9</f>
        <v>ID-004A</v>
      </c>
      <c r="D191" t="str">
        <f>'S33.12'!E9</f>
        <v>CBS</v>
      </c>
      <c r="E191">
        <f>'S33.12'!F9</f>
        <v>0</v>
      </c>
      <c r="G191" t="s">
        <v>334</v>
      </c>
      <c r="H191" t="s">
        <v>27</v>
      </c>
      <c r="I191" s="16">
        <f>'S33.12'!$R$9</f>
        <v>0</v>
      </c>
      <c r="J191">
        <f>VLOOKUP(A191,DM_CKDH!$B$5:$E$54,4,0)</f>
        <v>1</v>
      </c>
      <c r="K191" s="25">
        <f t="shared" si="3"/>
        <v>0</v>
      </c>
      <c r="L191" t="str">
        <f>VLOOKUP(A191,DM_CKDH!$B$5:$E$54,2,0)</f>
        <v>Bể PCCC &amp; SH</v>
      </c>
    </row>
    <row r="192" spans="1:12">
      <c r="A192" t="str">
        <f>'S33.12'!$F$3</f>
        <v>S33.12</v>
      </c>
      <c r="B192">
        <f>'S33.12'!$B$12</f>
        <v>3</v>
      </c>
      <c r="C192" t="str">
        <f>'S33.12'!D12</f>
        <v>ID-004B</v>
      </c>
      <c r="D192" t="str">
        <f>'S33.12'!E12</f>
        <v>CBS</v>
      </c>
      <c r="E192">
        <f>'S33.12'!F12</f>
        <v>0</v>
      </c>
      <c r="G192" t="s">
        <v>341</v>
      </c>
      <c r="H192" t="s">
        <v>27</v>
      </c>
      <c r="I192" s="16">
        <f>'S33.12'!$R$12</f>
        <v>0</v>
      </c>
      <c r="J192">
        <f>VLOOKUP(A192,DM_CKDH!$B$5:$E$54,4,0)</f>
        <v>1</v>
      </c>
      <c r="K192" s="25">
        <f t="shared" si="3"/>
        <v>0</v>
      </c>
      <c r="L192" t="str">
        <f>VLOOKUP(A192,DM_CKDH!$B$5:$E$54,2,0)</f>
        <v>Bể PCCC &amp; SH</v>
      </c>
    </row>
    <row r="193" spans="1:12">
      <c r="A193" t="str">
        <f>'S33.12'!$F$3</f>
        <v>S33.12</v>
      </c>
      <c r="B193">
        <f>'S33.12'!$B$15</f>
        <v>4</v>
      </c>
      <c r="C193" t="str">
        <f>'S33.12'!D15</f>
        <v>ID-005</v>
      </c>
      <c r="D193" t="str">
        <f>'S33.12'!E15</f>
        <v>CBS</v>
      </c>
      <c r="E193" t="str">
        <f>'S33.12'!F15</f>
        <v>BOQ-005</v>
      </c>
      <c r="G193" t="s">
        <v>243</v>
      </c>
      <c r="H193" t="s">
        <v>27</v>
      </c>
      <c r="I193" s="16">
        <f>'S33.12'!$R$15</f>
        <v>0</v>
      </c>
      <c r="J193">
        <f>VLOOKUP(A193,DM_CKDH!$B$5:$E$54,4,0)</f>
        <v>1</v>
      </c>
      <c r="K193" s="25">
        <f t="shared" si="3"/>
        <v>0</v>
      </c>
      <c r="L193" t="str">
        <f>VLOOKUP(A193,DM_CKDH!$B$5:$E$54,2,0)</f>
        <v>Bể PCCC &amp; SH</v>
      </c>
    </row>
    <row r="194" spans="1:12">
      <c r="A194" t="str">
        <f>'S33.12'!$F$3</f>
        <v>S33.12</v>
      </c>
      <c r="B194">
        <f>'S33.12'!$B$18</f>
        <v>5</v>
      </c>
      <c r="C194" t="str">
        <f>'S33.12'!D18</f>
        <v>ID-006</v>
      </c>
      <c r="D194">
        <f>'S33.12'!E18</f>
        <v>0</v>
      </c>
      <c r="E194" t="str">
        <f>'S33.12'!F18</f>
        <v>BOQ-006</v>
      </c>
      <c r="G194" t="s">
        <v>336</v>
      </c>
      <c r="H194" t="s">
        <v>27</v>
      </c>
      <c r="I194" s="16">
        <f>'S33.12'!$R$18</f>
        <v>0</v>
      </c>
      <c r="J194">
        <f>VLOOKUP(A194,DM_CKDH!$B$5:$E$54,4,0)</f>
        <v>1</v>
      </c>
      <c r="K194" s="25">
        <f t="shared" si="3"/>
        <v>0</v>
      </c>
      <c r="L194" t="str">
        <f>VLOOKUP(A194,DM_CKDH!$B$5:$E$54,2,0)</f>
        <v>Bể PCCC &amp; SH</v>
      </c>
    </row>
    <row r="195" spans="1:12">
      <c r="A195" t="str">
        <f>'S33.12'!$F$3</f>
        <v>S33.12</v>
      </c>
      <c r="B195">
        <f>'S33.12'!$B$21</f>
        <v>6</v>
      </c>
      <c r="C195" t="str">
        <f>'S33.12'!D21</f>
        <v>ID-006A</v>
      </c>
      <c r="D195" t="str">
        <f>'S33.12'!E21</f>
        <v>CBS</v>
      </c>
      <c r="E195">
        <f>'S33.12'!F21</f>
        <v>0</v>
      </c>
      <c r="G195" t="s">
        <v>337</v>
      </c>
      <c r="H195" t="s">
        <v>27</v>
      </c>
      <c r="I195" s="16">
        <f>'S33.12'!$R$21</f>
        <v>0</v>
      </c>
      <c r="J195">
        <f>VLOOKUP(A195,DM_CKDH!$B$5:$E$54,4,0)</f>
        <v>1</v>
      </c>
      <c r="K195" s="25">
        <f t="shared" si="3"/>
        <v>0</v>
      </c>
      <c r="L195" t="str">
        <f>VLOOKUP(A195,DM_CKDH!$B$5:$E$54,2,0)</f>
        <v>Bể PCCC &amp; SH</v>
      </c>
    </row>
    <row r="196" spans="1:12">
      <c r="A196" t="str">
        <f>'S33.12'!$F$3</f>
        <v>S33.12</v>
      </c>
      <c r="B196">
        <f>'S33.12'!$B$24</f>
        <v>7</v>
      </c>
      <c r="C196" t="str">
        <f>'S33.12'!D24</f>
        <v>ID-006B</v>
      </c>
      <c r="D196" t="str">
        <f>'S33.12'!E24</f>
        <v>CBS</v>
      </c>
      <c r="E196">
        <f>'S33.12'!F24</f>
        <v>0</v>
      </c>
      <c r="G196" t="s">
        <v>339</v>
      </c>
      <c r="H196" t="s">
        <v>27</v>
      </c>
      <c r="I196" s="16">
        <f>'S33.12'!$R$24</f>
        <v>0</v>
      </c>
      <c r="J196">
        <f>VLOOKUP(A196,DM_CKDH!$B$5:$E$54,4,0)</f>
        <v>1</v>
      </c>
      <c r="K196" s="25">
        <f t="shared" si="3"/>
        <v>0</v>
      </c>
      <c r="L196" t="str">
        <f>VLOOKUP(A196,DM_CKDH!$B$5:$E$54,2,0)</f>
        <v>Bể PCCC &amp; SH</v>
      </c>
    </row>
    <row r="197" spans="1:12">
      <c r="A197" t="str">
        <f>'S33.12'!$F$3</f>
        <v>S33.12</v>
      </c>
      <c r="B197">
        <f>'S33.12'!$B$27</f>
        <v>8</v>
      </c>
      <c r="C197" t="str">
        <f>'S33.12'!D27</f>
        <v>ID-007A</v>
      </c>
      <c r="D197">
        <f>'S33.12'!E27</f>
        <v>0</v>
      </c>
      <c r="E197" t="str">
        <f>'S33.12'!F27</f>
        <v>BOQ-007</v>
      </c>
      <c r="G197" t="s">
        <v>239</v>
      </c>
      <c r="H197" t="s">
        <v>27</v>
      </c>
      <c r="I197" s="16">
        <f>'S33.12'!$R$27</f>
        <v>0</v>
      </c>
      <c r="J197">
        <f>VLOOKUP(A197,DM_CKDH!$B$5:$E$54,4,0)</f>
        <v>1</v>
      </c>
      <c r="K197" s="25">
        <f t="shared" ref="K197:K260" si="4">I197*J197</f>
        <v>0</v>
      </c>
      <c r="L197" t="str">
        <f>VLOOKUP(A197,DM_CKDH!$B$5:$E$54,2,0)</f>
        <v>Bể PCCC &amp; SH</v>
      </c>
    </row>
    <row r="198" spans="1:12">
      <c r="A198" t="str">
        <f>'S33.12'!$F$3</f>
        <v>S33.12</v>
      </c>
      <c r="B198">
        <f>'S33.12'!$B$30</f>
        <v>9</v>
      </c>
      <c r="C198" t="str">
        <f>'S33.12'!D30</f>
        <v>ID-007B</v>
      </c>
      <c r="D198">
        <f>'S33.12'!E30</f>
        <v>0</v>
      </c>
      <c r="E198" t="str">
        <f>'S33.12'!F30</f>
        <v>BOQ-008</v>
      </c>
      <c r="G198" t="s">
        <v>240</v>
      </c>
      <c r="H198" t="s">
        <v>27</v>
      </c>
      <c r="I198" s="16">
        <f>'S33.12'!$R$30</f>
        <v>0</v>
      </c>
      <c r="J198">
        <f>VLOOKUP(A198,DM_CKDH!$B$5:$E$54,4,0)</f>
        <v>1</v>
      </c>
      <c r="K198" s="25">
        <f t="shared" si="4"/>
        <v>0</v>
      </c>
      <c r="L198" t="str">
        <f>VLOOKUP(A198,DM_CKDH!$B$5:$E$54,2,0)</f>
        <v>Bể PCCC &amp; SH</v>
      </c>
    </row>
    <row r="199" spans="1:12">
      <c r="A199" t="str">
        <f>'S33.12'!$F$3</f>
        <v>S33.12</v>
      </c>
      <c r="B199">
        <f>'S33.12'!$B$33</f>
        <v>10</v>
      </c>
      <c r="C199" t="str">
        <f>'S33.12'!D33</f>
        <v>ID-007C</v>
      </c>
      <c r="D199">
        <f>'S33.12'!E33</f>
        <v>0</v>
      </c>
      <c r="E199" t="str">
        <f>'S33.12'!F33</f>
        <v>BOQ-009</v>
      </c>
      <c r="G199" t="s">
        <v>241</v>
      </c>
      <c r="H199" t="s">
        <v>27</v>
      </c>
      <c r="I199" s="16">
        <f>'S33.12'!$R$33</f>
        <v>0</v>
      </c>
      <c r="J199">
        <f>VLOOKUP(A199,DM_CKDH!$B$5:$E$54,4,0)</f>
        <v>1</v>
      </c>
      <c r="K199" s="25">
        <f t="shared" si="4"/>
        <v>0</v>
      </c>
      <c r="L199" t="str">
        <f>VLOOKUP(A199,DM_CKDH!$B$5:$E$54,2,0)</f>
        <v>Bể PCCC &amp; SH</v>
      </c>
    </row>
    <row r="200" spans="1:12">
      <c r="A200" t="str">
        <f>'S33.12'!$F$3</f>
        <v>S33.12</v>
      </c>
      <c r="B200">
        <f>'S33.12'!$B$36</f>
        <v>11</v>
      </c>
      <c r="C200" t="str">
        <f>'S33.12'!D36</f>
        <v>ID-007</v>
      </c>
      <c r="D200" t="str">
        <f>'S33.12'!E36</f>
        <v>CBS</v>
      </c>
      <c r="E200">
        <f>'S33.12'!F36</f>
        <v>0</v>
      </c>
      <c r="G200" t="s">
        <v>294</v>
      </c>
      <c r="H200" t="s">
        <v>27</v>
      </c>
      <c r="I200" s="16">
        <f>'S33.12'!$R$36</f>
        <v>0</v>
      </c>
      <c r="J200">
        <f>VLOOKUP(A200,DM_CKDH!$B$5:$E$54,4,0)</f>
        <v>1</v>
      </c>
      <c r="K200" s="25">
        <f t="shared" si="4"/>
        <v>0</v>
      </c>
      <c r="L200" t="str">
        <f>VLOOKUP(A200,DM_CKDH!$B$5:$E$54,2,0)</f>
        <v>Bể PCCC &amp; SH</v>
      </c>
    </row>
    <row r="201" spans="1:12">
      <c r="A201" t="str">
        <f>'S33.12'!$F$3</f>
        <v>S33.12</v>
      </c>
      <c r="B201">
        <f>'S33.12'!$B$39</f>
        <v>12</v>
      </c>
      <c r="C201" t="str">
        <f>'S33.12'!D39</f>
        <v>ID-008</v>
      </c>
      <c r="D201" t="str">
        <f>'S33.12'!E39</f>
        <v>CBS</v>
      </c>
      <c r="E201" t="str">
        <f>'S33.12'!F39</f>
        <v>BOQ-010</v>
      </c>
      <c r="G201" t="s">
        <v>242</v>
      </c>
      <c r="H201" t="s">
        <v>27</v>
      </c>
      <c r="I201" s="16">
        <f>'S33.12'!$R$39</f>
        <v>0</v>
      </c>
      <c r="J201">
        <f>VLOOKUP(A201,DM_CKDH!$B$5:$E$54,4,0)</f>
        <v>1</v>
      </c>
      <c r="K201" s="25">
        <f t="shared" si="4"/>
        <v>0</v>
      </c>
      <c r="L201" t="str">
        <f>VLOOKUP(A201,DM_CKDH!$B$5:$E$54,2,0)</f>
        <v>Bể PCCC &amp; SH</v>
      </c>
    </row>
    <row r="202" spans="1:12">
      <c r="A202" t="str">
        <f>'S33.12'!$F$3</f>
        <v>S33.12</v>
      </c>
      <c r="B202">
        <f>'S33.12'!$B$42</f>
        <v>13</v>
      </c>
      <c r="C202" t="str">
        <f>'S33.12'!D42</f>
        <v>ID-009</v>
      </c>
      <c r="D202" t="str">
        <f>'S33.12'!E42</f>
        <v>CBS</v>
      </c>
      <c r="E202" t="str">
        <f>'S33.12'!F42</f>
        <v>BOQ-011</v>
      </c>
      <c r="G202" t="s">
        <v>310</v>
      </c>
      <c r="H202" t="s">
        <v>27</v>
      </c>
      <c r="I202" s="16">
        <f>'S33.12'!$R$42</f>
        <v>0</v>
      </c>
      <c r="J202">
        <f>VLOOKUP(A202,DM_CKDH!$B$5:$E$54,4,0)</f>
        <v>1</v>
      </c>
      <c r="K202" s="25">
        <f t="shared" si="4"/>
        <v>0</v>
      </c>
      <c r="L202" t="str">
        <f>VLOOKUP(A202,DM_CKDH!$B$5:$E$54,2,0)</f>
        <v>Bể PCCC &amp; SH</v>
      </c>
    </row>
    <row r="203" spans="1:12">
      <c r="A203" t="str">
        <f>'S33.12'!$F$3</f>
        <v>S33.12</v>
      </c>
      <c r="B203">
        <f>'S33.12'!$B$45</f>
        <v>14</v>
      </c>
      <c r="C203" t="str">
        <f>'S33.12'!D45</f>
        <v>ID-010</v>
      </c>
      <c r="D203">
        <f>'S33.12'!E45</f>
        <v>0</v>
      </c>
      <c r="E203" t="str">
        <f>'S33.12'!F45</f>
        <v>BOQ-012</v>
      </c>
      <c r="G203" t="s">
        <v>343</v>
      </c>
      <c r="H203" t="s">
        <v>27</v>
      </c>
      <c r="I203" s="16">
        <f>'S33.12'!$R$45</f>
        <v>0</v>
      </c>
      <c r="J203">
        <f>VLOOKUP(A203,DM_CKDH!$B$5:$E$54,4,0)</f>
        <v>1</v>
      </c>
      <c r="K203" s="25">
        <f t="shared" si="4"/>
        <v>0</v>
      </c>
      <c r="L203" t="str">
        <f>VLOOKUP(A203,DM_CKDH!$B$5:$E$54,2,0)</f>
        <v>Bể PCCC &amp; SH</v>
      </c>
    </row>
    <row r="204" spans="1:12">
      <c r="A204" t="str">
        <f>'S33.12'!$F$3</f>
        <v>S33.12</v>
      </c>
      <c r="B204">
        <f>'S33.12'!$B$48</f>
        <v>15</v>
      </c>
      <c r="C204" t="str">
        <f>'S33.12'!D48</f>
        <v>ID-010A</v>
      </c>
      <c r="D204" t="str">
        <f>'S33.12'!E48</f>
        <v>CBS</v>
      </c>
      <c r="E204">
        <f>'S33.12'!F48</f>
        <v>0</v>
      </c>
      <c r="G204" t="s">
        <v>344</v>
      </c>
      <c r="H204" t="s">
        <v>27</v>
      </c>
      <c r="I204" s="16">
        <f>'S33.12'!$R$48</f>
        <v>0</v>
      </c>
      <c r="J204">
        <f>VLOOKUP(A204,DM_CKDH!$B$5:$E$54,4,0)</f>
        <v>1</v>
      </c>
      <c r="K204" s="25">
        <f t="shared" si="4"/>
        <v>0</v>
      </c>
      <c r="L204" t="str">
        <f>VLOOKUP(A204,DM_CKDH!$B$5:$E$54,2,0)</f>
        <v>Bể PCCC &amp; SH</v>
      </c>
    </row>
    <row r="205" spans="1:12">
      <c r="A205" t="str">
        <f>'S33.12'!$F$3</f>
        <v>S33.12</v>
      </c>
      <c r="B205">
        <f>'S33.12'!$B$51</f>
        <v>16</v>
      </c>
      <c r="C205" t="str">
        <f>'S33.12'!D51</f>
        <v>ID-011</v>
      </c>
      <c r="D205">
        <f>'S33.12'!E51</f>
        <v>0</v>
      </c>
      <c r="E205" t="str">
        <f>'S33.12'!F51</f>
        <v>BOQ-013</v>
      </c>
      <c r="G205" t="s">
        <v>524</v>
      </c>
      <c r="H205" t="s">
        <v>27</v>
      </c>
      <c r="I205" s="16">
        <f>'S33.12'!$R$51</f>
        <v>0</v>
      </c>
      <c r="J205">
        <f>VLOOKUP(A205,DM_CKDH!$B$5:$E$54,4,0)</f>
        <v>1</v>
      </c>
      <c r="K205" s="25">
        <f t="shared" si="4"/>
        <v>0</v>
      </c>
      <c r="L205" t="str">
        <f>VLOOKUP(A205,DM_CKDH!$B$5:$E$54,2,0)</f>
        <v>Bể PCCC &amp; SH</v>
      </c>
    </row>
    <row r="206" spans="1:12">
      <c r="A206" t="str">
        <f>'S33.12'!$F$3</f>
        <v>S33.12</v>
      </c>
      <c r="B206">
        <f>'S33.12'!$B$54</f>
        <v>17</v>
      </c>
      <c r="C206" t="str">
        <f>'S33.12'!D54</f>
        <v>ID-011A</v>
      </c>
      <c r="D206" t="str">
        <f>'S33.12'!E54</f>
        <v>CBS</v>
      </c>
      <c r="E206">
        <f>'S33.12'!F54</f>
        <v>0</v>
      </c>
      <c r="G206" t="s">
        <v>320</v>
      </c>
      <c r="H206" t="s">
        <v>27</v>
      </c>
      <c r="I206" s="16">
        <f>'S33.12'!$R$54</f>
        <v>0</v>
      </c>
      <c r="J206">
        <f>VLOOKUP(A206,DM_CKDH!$B$5:$E$54,4,0)</f>
        <v>1</v>
      </c>
      <c r="K206" s="25">
        <f t="shared" si="4"/>
        <v>0</v>
      </c>
      <c r="L206" t="str">
        <f>VLOOKUP(A206,DM_CKDH!$B$5:$E$54,2,0)</f>
        <v>Bể PCCC &amp; SH</v>
      </c>
    </row>
    <row r="207" spans="1:12">
      <c r="A207" t="str">
        <f>'S33.12'!$F$3</f>
        <v>S33.12</v>
      </c>
      <c r="B207">
        <f>'S33.12'!$B$57</f>
        <v>18</v>
      </c>
      <c r="C207" t="str">
        <f>'S33.12'!D57</f>
        <v>ID-012</v>
      </c>
      <c r="D207">
        <f>'S33.12'!E57</f>
        <v>0</v>
      </c>
      <c r="E207" t="str">
        <f>'S33.12'!F57</f>
        <v>BOQ-014</v>
      </c>
      <c r="G207" t="s">
        <v>349</v>
      </c>
      <c r="H207" t="s">
        <v>27</v>
      </c>
      <c r="I207" s="16">
        <f>'S33.12'!$R$57</f>
        <v>0</v>
      </c>
      <c r="J207">
        <f>VLOOKUP(A207,DM_CKDH!$B$5:$E$54,4,0)</f>
        <v>1</v>
      </c>
      <c r="K207" s="25">
        <f t="shared" si="4"/>
        <v>0</v>
      </c>
      <c r="L207" t="str">
        <f>VLOOKUP(A207,DM_CKDH!$B$5:$E$54,2,0)</f>
        <v>Bể PCCC &amp; SH</v>
      </c>
    </row>
    <row r="208" spans="1:12">
      <c r="A208" t="str">
        <f>'S33.12'!$F$3</f>
        <v>S33.12</v>
      </c>
      <c r="B208">
        <f>'S33.12'!$B$60</f>
        <v>19</v>
      </c>
      <c r="C208" t="str">
        <f>'S33.12'!D60</f>
        <v>ID-012B</v>
      </c>
      <c r="D208" t="str">
        <f>'S33.12'!E60</f>
        <v>CBS</v>
      </c>
      <c r="E208">
        <f>'S33.12'!F60</f>
        <v>0</v>
      </c>
      <c r="G208" t="s">
        <v>351</v>
      </c>
      <c r="H208" t="s">
        <v>27</v>
      </c>
      <c r="I208" s="16">
        <f>'S33.12'!$R$60</f>
        <v>0</v>
      </c>
      <c r="J208">
        <f>VLOOKUP(A208,DM_CKDH!$B$5:$E$54,4,0)</f>
        <v>1</v>
      </c>
      <c r="K208" s="25">
        <f t="shared" si="4"/>
        <v>0</v>
      </c>
      <c r="L208" t="str">
        <f>VLOOKUP(A208,DM_CKDH!$B$5:$E$54,2,0)</f>
        <v>Bể PCCC &amp; SH</v>
      </c>
    </row>
    <row r="209" spans="1:12">
      <c r="A209" t="str">
        <f>'S33.12'!$F$3</f>
        <v>S33.12</v>
      </c>
      <c r="B209">
        <f>'S33.12'!$B$63</f>
        <v>20</v>
      </c>
      <c r="C209" t="str">
        <f>'S33.12'!D63</f>
        <v>ID-013A</v>
      </c>
      <c r="D209">
        <f>'S33.12'!E63</f>
        <v>0</v>
      </c>
      <c r="E209" t="str">
        <f>'S33.12'!F63</f>
        <v>BOQ-015</v>
      </c>
      <c r="G209" t="s">
        <v>244</v>
      </c>
      <c r="H209" t="s">
        <v>27</v>
      </c>
      <c r="I209" s="16">
        <f>'S33.12'!$R$63</f>
        <v>0</v>
      </c>
      <c r="J209">
        <f>VLOOKUP(A209,DM_CKDH!$B$5:$E$54,4,0)</f>
        <v>1</v>
      </c>
      <c r="K209" s="25">
        <f t="shared" si="4"/>
        <v>0</v>
      </c>
      <c r="L209" t="str">
        <f>VLOOKUP(A209,DM_CKDH!$B$5:$E$54,2,0)</f>
        <v>Bể PCCC &amp; SH</v>
      </c>
    </row>
    <row r="210" spans="1:12">
      <c r="A210" t="str">
        <f>'S33.12'!$F$3</f>
        <v>S33.12</v>
      </c>
      <c r="B210">
        <f>'S33.12'!$B$66</f>
        <v>21</v>
      </c>
      <c r="C210" t="str">
        <f>'S33.12'!D66</f>
        <v>ID-013B</v>
      </c>
      <c r="D210">
        <f>'S33.12'!E66</f>
        <v>0</v>
      </c>
      <c r="E210" t="str">
        <f>'S33.12'!F66</f>
        <v>BOQ-016</v>
      </c>
      <c r="G210" t="s">
        <v>245</v>
      </c>
      <c r="H210" t="s">
        <v>27</v>
      </c>
      <c r="I210" s="16">
        <f>'S33.12'!$R$66</f>
        <v>0</v>
      </c>
      <c r="J210">
        <f>VLOOKUP(A210,DM_CKDH!$B$5:$E$54,4,0)</f>
        <v>1</v>
      </c>
      <c r="K210" s="25">
        <f t="shared" si="4"/>
        <v>0</v>
      </c>
      <c r="L210" t="str">
        <f>VLOOKUP(A210,DM_CKDH!$B$5:$E$54,2,0)</f>
        <v>Bể PCCC &amp; SH</v>
      </c>
    </row>
    <row r="211" spans="1:12">
      <c r="A211" t="str">
        <f>'S33.12'!$F$3</f>
        <v>S33.12</v>
      </c>
      <c r="B211">
        <f>'S33.12'!$B$69</f>
        <v>22</v>
      </c>
      <c r="C211" t="str">
        <f>'S33.12'!D69</f>
        <v>ID-013</v>
      </c>
      <c r="D211" t="str">
        <f>'S33.12'!E69</f>
        <v>CBS</v>
      </c>
      <c r="E211">
        <f>'S33.12'!F69</f>
        <v>0</v>
      </c>
      <c r="G211" t="s">
        <v>295</v>
      </c>
      <c r="H211" t="s">
        <v>27</v>
      </c>
      <c r="I211" s="16">
        <f>'S33.12'!$R$69</f>
        <v>0</v>
      </c>
      <c r="J211">
        <f>VLOOKUP(A211,DM_CKDH!$B$5:$E$54,4,0)</f>
        <v>1</v>
      </c>
      <c r="K211" s="25">
        <f t="shared" si="4"/>
        <v>0</v>
      </c>
      <c r="L211" t="str">
        <f>VLOOKUP(A211,DM_CKDH!$B$5:$E$54,2,0)</f>
        <v>Bể PCCC &amp; SH</v>
      </c>
    </row>
    <row r="212" spans="1:12">
      <c r="A212" t="str">
        <f>'S33.12'!$F$3</f>
        <v>S33.12</v>
      </c>
      <c r="B212">
        <f>'S33.12'!$B$72</f>
        <v>23</v>
      </c>
      <c r="C212" t="str">
        <f>'S33.12'!D72</f>
        <v>ID-014</v>
      </c>
      <c r="D212">
        <f>'S33.12'!E72</f>
        <v>0</v>
      </c>
      <c r="E212" t="str">
        <f>'S33.12'!F72</f>
        <v>BOQ-017</v>
      </c>
      <c r="G212" t="s">
        <v>525</v>
      </c>
      <c r="H212" t="s">
        <v>27</v>
      </c>
      <c r="I212" s="16">
        <f>'S33.12'!$R$72</f>
        <v>0</v>
      </c>
      <c r="J212">
        <f>VLOOKUP(A212,DM_CKDH!$B$5:$E$54,4,0)</f>
        <v>1</v>
      </c>
      <c r="K212" s="25">
        <f t="shared" si="4"/>
        <v>0</v>
      </c>
      <c r="L212" t="str">
        <f>VLOOKUP(A212,DM_CKDH!$B$5:$E$54,2,0)</f>
        <v>Bể PCCC &amp; SH</v>
      </c>
    </row>
    <row r="213" spans="1:12">
      <c r="A213" t="str">
        <f>'S33.12'!$F$3</f>
        <v>S33.12</v>
      </c>
      <c r="B213">
        <f>'S33.12'!$B$75</f>
        <v>24</v>
      </c>
      <c r="C213" t="str">
        <f>'S33.12'!D75</f>
        <v>ID-014B</v>
      </c>
      <c r="D213" t="str">
        <f>'S33.12'!E75</f>
        <v>CBS</v>
      </c>
      <c r="E213">
        <f>'S33.12'!F75</f>
        <v>0</v>
      </c>
      <c r="G213" t="s">
        <v>338</v>
      </c>
      <c r="H213" t="s">
        <v>27</v>
      </c>
      <c r="I213" s="16">
        <f>'S33.12'!$R$75</f>
        <v>0</v>
      </c>
      <c r="J213">
        <f>VLOOKUP(A213,DM_CKDH!$B$5:$E$54,4,0)</f>
        <v>1</v>
      </c>
      <c r="K213" s="25">
        <f t="shared" si="4"/>
        <v>0</v>
      </c>
      <c r="L213" t="str">
        <f>VLOOKUP(A213,DM_CKDH!$B$5:$E$54,2,0)</f>
        <v>Bể PCCC &amp; SH</v>
      </c>
    </row>
    <row r="214" spans="1:12">
      <c r="A214" t="str">
        <f>'S33.12'!$F$3</f>
        <v>S33.12</v>
      </c>
      <c r="B214">
        <f>'S33.12'!$B$78</f>
        <v>25</v>
      </c>
      <c r="C214" t="str">
        <f>'S33.12'!D78</f>
        <v>ID-X01</v>
      </c>
      <c r="D214" t="str">
        <f>'S33.12'!E78</f>
        <v>CBS</v>
      </c>
      <c r="E214" t="str">
        <f>'S33.12'!F78</f>
        <v>BOQ-018</v>
      </c>
      <c r="G214" t="s">
        <v>307</v>
      </c>
      <c r="H214" t="s">
        <v>27</v>
      </c>
      <c r="I214" s="16">
        <f>'S33.12'!$R$78</f>
        <v>0</v>
      </c>
      <c r="J214">
        <f>VLOOKUP(A214,DM_CKDH!$B$5:$E$54,4,0)</f>
        <v>1</v>
      </c>
      <c r="K214" s="25">
        <f t="shared" si="4"/>
        <v>0</v>
      </c>
      <c r="L214" t="str">
        <f>VLOOKUP(A214,DM_CKDH!$B$5:$E$54,2,0)</f>
        <v>Bể PCCC &amp; SH</v>
      </c>
    </row>
    <row r="215" spans="1:12">
      <c r="A215" t="str">
        <f>'S33.12'!$F$3</f>
        <v>S33.12</v>
      </c>
      <c r="B215">
        <f>'S33.12'!$B$81</f>
        <v>26</v>
      </c>
      <c r="C215" t="str">
        <f>'S33.12'!D81</f>
        <v>ID-037</v>
      </c>
      <c r="D215" t="str">
        <f>'S33.12'!E81</f>
        <v>CBS</v>
      </c>
      <c r="E215" t="str">
        <f>'S33.12'!F81</f>
        <v>BOQ-058</v>
      </c>
      <c r="G215" t="s">
        <v>265</v>
      </c>
      <c r="H215" t="s">
        <v>27</v>
      </c>
      <c r="I215" s="16">
        <f>'S33.12'!$R$81</f>
        <v>0</v>
      </c>
      <c r="J215">
        <f>VLOOKUP(A215,DM_CKDH!$B$5:$E$54,4,0)</f>
        <v>1</v>
      </c>
      <c r="K215" s="25">
        <f t="shared" si="4"/>
        <v>0</v>
      </c>
      <c r="L215" t="str">
        <f>VLOOKUP(A215,DM_CKDH!$B$5:$E$54,2,0)</f>
        <v>Bể PCCC &amp; SH</v>
      </c>
    </row>
    <row r="216" spans="1:12">
      <c r="A216" t="str">
        <f>'S33.12'!$F$3</f>
        <v>S33.12</v>
      </c>
      <c r="B216">
        <f>'S33.12'!$B$84</f>
        <v>27</v>
      </c>
      <c r="C216" t="str">
        <f>'S33.12'!D84</f>
        <v>ID-039</v>
      </c>
      <c r="D216" t="str">
        <f>'S33.12'!E84</f>
        <v>CBS</v>
      </c>
      <c r="E216" t="str">
        <f>'S33.12'!F84</f>
        <v>BOQ-060</v>
      </c>
      <c r="G216" t="s">
        <v>267</v>
      </c>
      <c r="H216" t="s">
        <v>27</v>
      </c>
      <c r="I216" s="16">
        <f>'S33.12'!$R$84</f>
        <v>0</v>
      </c>
      <c r="J216">
        <f>VLOOKUP(A216,DM_CKDH!$B$5:$E$54,4,0)</f>
        <v>1</v>
      </c>
      <c r="K216" s="25">
        <f t="shared" si="4"/>
        <v>0</v>
      </c>
      <c r="L216" t="str">
        <f>VLOOKUP(A216,DM_CKDH!$B$5:$E$54,2,0)</f>
        <v>Bể PCCC &amp; SH</v>
      </c>
    </row>
    <row r="217" spans="1:12">
      <c r="A217" t="str">
        <f>'S33.12'!$F$3</f>
        <v>S33.12</v>
      </c>
      <c r="B217">
        <f>'S33.12'!$B$87</f>
        <v>28</v>
      </c>
      <c r="C217" t="str">
        <f>'S33.12'!D87</f>
        <v>ID-041</v>
      </c>
      <c r="D217" t="str">
        <f>'S33.12'!E87</f>
        <v>CBS</v>
      </c>
      <c r="E217" t="str">
        <f>'S33.12'!F87</f>
        <v>BOQ-062</v>
      </c>
      <c r="G217" t="s">
        <v>269</v>
      </c>
      <c r="H217" t="s">
        <v>27</v>
      </c>
      <c r="I217" s="16">
        <f>'S33.12'!$R$87</f>
        <v>0</v>
      </c>
      <c r="J217">
        <f>VLOOKUP(A217,DM_CKDH!$B$5:$E$54,4,0)</f>
        <v>1</v>
      </c>
      <c r="K217" s="25">
        <f t="shared" si="4"/>
        <v>0</v>
      </c>
      <c r="L217" t="str">
        <f>VLOOKUP(A217,DM_CKDH!$B$5:$E$54,2,0)</f>
        <v>Bể PCCC &amp; SH</v>
      </c>
    </row>
    <row r="218" spans="1:12">
      <c r="A218" t="str">
        <f>'S33.12'!$F$3</f>
        <v>S33.12</v>
      </c>
      <c r="B218">
        <f>'S33.12'!$B$90</f>
        <v>29</v>
      </c>
      <c r="C218" t="str">
        <f>'S33.12'!D90</f>
        <v>ID-042</v>
      </c>
      <c r="D218" t="str">
        <f>'S33.12'!E90</f>
        <v>CBS</v>
      </c>
      <c r="E218" t="str">
        <f>'S33.12'!F90</f>
        <v>BOQ-063</v>
      </c>
      <c r="G218" t="s">
        <v>270</v>
      </c>
      <c r="H218" t="s">
        <v>27</v>
      </c>
      <c r="I218" s="16">
        <f>'S33.12'!$R$90</f>
        <v>0</v>
      </c>
      <c r="J218">
        <f>VLOOKUP(A218,DM_CKDH!$B$5:$E$54,4,0)</f>
        <v>1</v>
      </c>
      <c r="K218" s="25">
        <f t="shared" si="4"/>
        <v>0</v>
      </c>
      <c r="L218" t="str">
        <f>VLOOKUP(A218,DM_CKDH!$B$5:$E$54,2,0)</f>
        <v>Bể PCCC &amp; SH</v>
      </c>
    </row>
    <row r="219" spans="1:12">
      <c r="A219" t="str">
        <f>'S33.12'!$F$3</f>
        <v>S33.12</v>
      </c>
      <c r="B219">
        <f>'S33.12'!$B$93</f>
        <v>30</v>
      </c>
      <c r="C219" t="str">
        <f>'S33.12'!D93</f>
        <v>ID-044</v>
      </c>
      <c r="D219" t="str">
        <f>'S33.12'!E93</f>
        <v>CBS</v>
      </c>
      <c r="E219" t="str">
        <f>'S33.12'!F93</f>
        <v>BOQ-065</v>
      </c>
      <c r="G219" t="s">
        <v>272</v>
      </c>
      <c r="H219" t="s">
        <v>27</v>
      </c>
      <c r="I219" s="16">
        <f>'S33.12'!$R$93</f>
        <v>0</v>
      </c>
      <c r="J219">
        <f>VLOOKUP(A219,DM_CKDH!$B$5:$E$54,4,0)</f>
        <v>1</v>
      </c>
      <c r="K219" s="25">
        <f t="shared" si="4"/>
        <v>0</v>
      </c>
      <c r="L219" t="str">
        <f>VLOOKUP(A219,DM_CKDH!$B$5:$E$54,2,0)</f>
        <v>Bể PCCC &amp; SH</v>
      </c>
    </row>
    <row r="220" spans="1:12">
      <c r="A220" t="str">
        <f>'S21.21'!$F$3</f>
        <v>S21.21</v>
      </c>
      <c r="B220">
        <f>'S21.21'!$B$6</f>
        <v>1</v>
      </c>
      <c r="C220">
        <f>'S21.21'!D6</f>
        <v>0</v>
      </c>
      <c r="D220" t="str">
        <f>'S21.21'!E6</f>
        <v>N/A</v>
      </c>
      <c r="E220">
        <f>'S21.21'!F6</f>
        <v>0</v>
      </c>
      <c r="G220">
        <v>0</v>
      </c>
      <c r="H220" t="s">
        <v>27</v>
      </c>
      <c r="I220" s="16">
        <f>'S21.21'!$R$6</f>
        <v>3.751533213084878</v>
      </c>
      <c r="J220">
        <f>VLOOKUP(A220,DM_CKDH!$B$5:$E$54,4,0)</f>
        <v>1</v>
      </c>
      <c r="K220" s="25">
        <f t="shared" si="4"/>
        <v>3.751533213084878</v>
      </c>
      <c r="L220" t="str">
        <f>VLOOKUP(A220,DM_CKDH!$B$5:$E$54,2,0)</f>
        <v>Đài - Khu biên</v>
      </c>
    </row>
    <row r="221" spans="1:12">
      <c r="A221" t="str">
        <f>'S21.21'!$F$3</f>
        <v>S21.21</v>
      </c>
      <c r="B221">
        <f>'S21.21'!$B$9</f>
        <v>2</v>
      </c>
      <c r="C221">
        <f>'S21.21'!D9</f>
        <v>0</v>
      </c>
      <c r="D221" t="str">
        <f>'S21.21'!E9</f>
        <v>N/A</v>
      </c>
      <c r="E221">
        <f>'S21.21'!F9</f>
        <v>0</v>
      </c>
      <c r="G221">
        <v>0</v>
      </c>
      <c r="H221" t="s">
        <v>27</v>
      </c>
      <c r="I221" s="16">
        <f>'S21.21'!$R$9</f>
        <v>375.15332130848782</v>
      </c>
      <c r="J221">
        <f>VLOOKUP(A221,DM_CKDH!$B$5:$E$54,4,0)</f>
        <v>1</v>
      </c>
      <c r="K221" s="25">
        <f t="shared" si="4"/>
        <v>375.15332130848782</v>
      </c>
      <c r="L221" t="str">
        <f>VLOOKUP(A221,DM_CKDH!$B$5:$E$54,2,0)</f>
        <v>Đài - Khu biên</v>
      </c>
    </row>
    <row r="222" spans="1:12">
      <c r="A222" t="str">
        <f>'S21.21'!$F$3</f>
        <v>S21.21</v>
      </c>
      <c r="B222">
        <f>'S21.21'!$B$20</f>
        <v>3</v>
      </c>
      <c r="C222">
        <f>'S21.21'!D20</f>
        <v>0</v>
      </c>
      <c r="D222" t="str">
        <f>'S21.21'!E20</f>
        <v>N/A</v>
      </c>
      <c r="E222">
        <f>'S21.21'!F20</f>
        <v>0</v>
      </c>
      <c r="G222">
        <v>0</v>
      </c>
      <c r="H222" t="s">
        <v>27</v>
      </c>
      <c r="I222" s="16">
        <f>'S21.21'!$R$20</f>
        <v>3.1812233539842119</v>
      </c>
      <c r="J222">
        <f>VLOOKUP(A222,DM_CKDH!$B$5:$E$54,4,0)</f>
        <v>1</v>
      </c>
      <c r="K222" s="25">
        <f t="shared" si="4"/>
        <v>3.1812233539842119</v>
      </c>
      <c r="L222" t="str">
        <f>VLOOKUP(A222,DM_CKDH!$B$5:$E$54,2,0)</f>
        <v>Đài - Khu biên</v>
      </c>
    </row>
    <row r="223" spans="1:12">
      <c r="A223" t="str">
        <f>'S21.21'!$F$3</f>
        <v>S21.21</v>
      </c>
      <c r="B223">
        <f>'S21.21'!$B$23</f>
        <v>4</v>
      </c>
      <c r="C223">
        <f>'S21.21'!D23</f>
        <v>0</v>
      </c>
      <c r="D223" t="str">
        <f>'S21.21'!E23</f>
        <v>N/A</v>
      </c>
      <c r="E223">
        <f>'S21.21'!F23</f>
        <v>0</v>
      </c>
      <c r="G223">
        <v>0</v>
      </c>
      <c r="H223" t="s">
        <v>27</v>
      </c>
      <c r="I223" s="16">
        <f>'S21.21'!$R$23</f>
        <v>318.12233539842117</v>
      </c>
      <c r="J223">
        <f>VLOOKUP(A223,DM_CKDH!$B$5:$E$54,4,0)</f>
        <v>1</v>
      </c>
      <c r="K223" s="25">
        <f t="shared" si="4"/>
        <v>318.12233539842117</v>
      </c>
      <c r="L223" t="str">
        <f>VLOOKUP(A223,DM_CKDH!$B$5:$E$54,2,0)</f>
        <v>Đài - Khu biên</v>
      </c>
    </row>
    <row r="224" spans="1:12">
      <c r="A224" t="str">
        <f>'S21.21'!$F$3</f>
        <v>S21.21</v>
      </c>
      <c r="B224">
        <f>'S21.21'!$B$33</f>
        <v>5</v>
      </c>
      <c r="C224">
        <f>'S21.21'!D33</f>
        <v>0</v>
      </c>
      <c r="D224" t="str">
        <f>'S21.21'!E33</f>
        <v>N/A</v>
      </c>
      <c r="E224">
        <f>'S21.21'!F33</f>
        <v>0</v>
      </c>
      <c r="G224">
        <v>0</v>
      </c>
      <c r="H224" t="s">
        <v>27</v>
      </c>
      <c r="I224" s="16">
        <f>'S21.21'!$R$33</f>
        <v>0.57030985910066645</v>
      </c>
      <c r="J224">
        <f>VLOOKUP(A224,DM_CKDH!$B$5:$E$54,4,0)</f>
        <v>1</v>
      </c>
      <c r="K224" s="25">
        <f t="shared" si="4"/>
        <v>0.57030985910066645</v>
      </c>
      <c r="L224" t="str">
        <f>VLOOKUP(A224,DM_CKDH!$B$5:$E$54,2,0)</f>
        <v>Đài - Khu biên</v>
      </c>
    </row>
    <row r="225" spans="1:12">
      <c r="A225" t="str">
        <f>'S21.21'!$F$3</f>
        <v>S21.21</v>
      </c>
      <c r="B225">
        <f>'S21.21'!$B$36</f>
        <v>6</v>
      </c>
      <c r="C225">
        <f>'S21.21'!D36</f>
        <v>0</v>
      </c>
      <c r="D225" t="str">
        <f>'S21.21'!E36</f>
        <v>N/A</v>
      </c>
      <c r="E225">
        <f>'S21.21'!F36</f>
        <v>0</v>
      </c>
      <c r="G225">
        <v>0</v>
      </c>
      <c r="H225" t="s">
        <v>27</v>
      </c>
      <c r="I225" s="16">
        <f>'S21.21'!$R$36</f>
        <v>57.030985910066647</v>
      </c>
      <c r="J225">
        <f>VLOOKUP(A225,DM_CKDH!$B$5:$E$54,4,0)</f>
        <v>1</v>
      </c>
      <c r="K225" s="25">
        <f t="shared" si="4"/>
        <v>57.030985910066647</v>
      </c>
      <c r="L225" t="str">
        <f>VLOOKUP(A225,DM_CKDH!$B$5:$E$54,2,0)</f>
        <v>Đài - Khu biên</v>
      </c>
    </row>
    <row r="226" spans="1:12">
      <c r="A226" t="str">
        <f>'S21.21'!$F$3</f>
        <v>S21.21</v>
      </c>
      <c r="B226">
        <f>'S21.21'!$B$40</f>
        <v>7</v>
      </c>
      <c r="C226" t="str">
        <f>'S21.21'!D40</f>
        <v>ID-004</v>
      </c>
      <c r="D226">
        <f>'S21.21'!E40</f>
        <v>0</v>
      </c>
      <c r="E226" t="str">
        <f>'S21.21'!F40</f>
        <v>BOQ-004</v>
      </c>
      <c r="G226" t="s">
        <v>335</v>
      </c>
      <c r="H226" t="s">
        <v>27</v>
      </c>
      <c r="I226" s="16">
        <f>'S21.21'!$R$40</f>
        <v>0.11946000000000001</v>
      </c>
      <c r="J226">
        <f>VLOOKUP(A226,DM_CKDH!$B$5:$E$54,4,0)</f>
        <v>1</v>
      </c>
      <c r="K226" s="25">
        <f t="shared" si="4"/>
        <v>0.11946000000000001</v>
      </c>
      <c r="L226" t="str">
        <f>VLOOKUP(A226,DM_CKDH!$B$5:$E$54,2,0)</f>
        <v>Đài - Khu biên</v>
      </c>
    </row>
    <row r="227" spans="1:12">
      <c r="A227" t="str">
        <f>'S21.21'!$F$3</f>
        <v>S21.21</v>
      </c>
      <c r="B227">
        <f>'S21.21'!$B$43</f>
        <v>8</v>
      </c>
      <c r="C227" t="str">
        <f>'S21.21'!D43</f>
        <v>ID-004A</v>
      </c>
      <c r="D227" t="str">
        <f>'S21.21'!E43</f>
        <v>CBS</v>
      </c>
      <c r="E227">
        <f>'S21.21'!F43</f>
        <v>0</v>
      </c>
      <c r="G227" t="s">
        <v>334</v>
      </c>
      <c r="H227" t="s">
        <v>27</v>
      </c>
      <c r="I227" s="16">
        <f>'S21.21'!$R$43</f>
        <v>11.946000000000002</v>
      </c>
      <c r="J227">
        <f>VLOOKUP(A227,DM_CKDH!$B$5:$E$54,4,0)</f>
        <v>1</v>
      </c>
      <c r="K227" s="25">
        <f t="shared" si="4"/>
        <v>11.946000000000002</v>
      </c>
      <c r="L227" t="str">
        <f>VLOOKUP(A227,DM_CKDH!$B$5:$E$54,2,0)</f>
        <v>Đài - Khu biên</v>
      </c>
    </row>
    <row r="228" spans="1:12">
      <c r="A228" t="str">
        <f>'S21.21'!$F$3</f>
        <v>S21.21</v>
      </c>
      <c r="B228">
        <f>'S21.21'!$B$50</f>
        <v>9</v>
      </c>
      <c r="C228" t="str">
        <f>'S21.21'!D50</f>
        <v>ID-005</v>
      </c>
      <c r="D228" t="str">
        <f>'S21.21'!E50</f>
        <v>CBS</v>
      </c>
      <c r="E228" t="str">
        <f>'S21.21'!F50</f>
        <v>BOQ-005</v>
      </c>
      <c r="G228" t="s">
        <v>243</v>
      </c>
      <c r="H228" t="s">
        <v>27</v>
      </c>
      <c r="I228" s="16">
        <f>'S21.21'!$R$50</f>
        <v>5.0427859100666561</v>
      </c>
      <c r="J228">
        <f>VLOOKUP(A228,DM_CKDH!$B$5:$E$54,4,0)</f>
        <v>1</v>
      </c>
      <c r="K228" s="25">
        <f t="shared" si="4"/>
        <v>5.0427859100666561</v>
      </c>
      <c r="L228" t="str">
        <f>VLOOKUP(A228,DM_CKDH!$B$5:$E$54,2,0)</f>
        <v>Đài - Khu biên</v>
      </c>
    </row>
    <row r="229" spans="1:12">
      <c r="A229" t="str">
        <f>'S21.21'!$F$3</f>
        <v>S21.21</v>
      </c>
      <c r="B229">
        <f>'S21.21'!$B$58</f>
        <v>10</v>
      </c>
      <c r="C229" t="str">
        <f>'S21.21'!D58</f>
        <v>ID-006</v>
      </c>
      <c r="D229">
        <f>'S21.21'!E58</f>
        <v>0</v>
      </c>
      <c r="E229" t="str">
        <f>'S21.21'!F58</f>
        <v>BOQ-006</v>
      </c>
      <c r="G229" t="s">
        <v>336</v>
      </c>
      <c r="H229" t="s">
        <v>27</v>
      </c>
      <c r="I229" s="16">
        <f>'S21.21'!$R$58</f>
        <v>1.1792799999999999</v>
      </c>
      <c r="J229">
        <f>VLOOKUP(A229,DM_CKDH!$B$5:$E$54,4,0)</f>
        <v>1</v>
      </c>
      <c r="K229" s="25">
        <f t="shared" si="4"/>
        <v>1.1792799999999999</v>
      </c>
      <c r="L229" t="str">
        <f>VLOOKUP(A229,DM_CKDH!$B$5:$E$54,2,0)</f>
        <v>Đài - Khu biên</v>
      </c>
    </row>
    <row r="230" spans="1:12">
      <c r="A230" t="str">
        <f>'S21.21'!$F$3</f>
        <v>S21.21</v>
      </c>
      <c r="B230">
        <f>'S21.21'!$B$61</f>
        <v>11</v>
      </c>
      <c r="C230" t="str">
        <f>'S21.21'!D61</f>
        <v>ID-006A</v>
      </c>
      <c r="D230" t="str">
        <f>'S21.21'!E61</f>
        <v>CBS</v>
      </c>
      <c r="E230">
        <f>'S21.21'!F61</f>
        <v>0</v>
      </c>
      <c r="G230" t="s">
        <v>337</v>
      </c>
      <c r="H230" t="s">
        <v>27</v>
      </c>
      <c r="I230" s="16">
        <f>'S21.21'!$R$61</f>
        <v>117.92799999999998</v>
      </c>
      <c r="J230">
        <f>VLOOKUP(A230,DM_CKDH!$B$5:$E$54,4,0)</f>
        <v>1</v>
      </c>
      <c r="K230" s="25">
        <f t="shared" si="4"/>
        <v>117.92799999999998</v>
      </c>
      <c r="L230" t="str">
        <f>VLOOKUP(A230,DM_CKDH!$B$5:$E$54,2,0)</f>
        <v>Đài - Khu biên</v>
      </c>
    </row>
    <row r="231" spans="1:12">
      <c r="A231" t="str">
        <f>'S21.21'!$F$3</f>
        <v>S21.21</v>
      </c>
      <c r="B231">
        <f>'S21.21'!$B$71</f>
        <v>12</v>
      </c>
      <c r="C231" t="str">
        <f>'S21.21'!D71</f>
        <v>ID-007A</v>
      </c>
      <c r="D231">
        <f>'S21.21'!E71</f>
        <v>0</v>
      </c>
      <c r="E231" t="str">
        <f>'S21.21'!F71</f>
        <v>BOQ-007</v>
      </c>
      <c r="G231" t="s">
        <v>239</v>
      </c>
      <c r="H231" t="s">
        <v>27</v>
      </c>
      <c r="I231" s="16">
        <f>'S21.21'!$R$71</f>
        <v>0</v>
      </c>
      <c r="J231">
        <f>VLOOKUP(A231,DM_CKDH!$B$5:$E$54,4,0)</f>
        <v>1</v>
      </c>
      <c r="K231" s="25">
        <f t="shared" si="4"/>
        <v>0</v>
      </c>
      <c r="L231" t="str">
        <f>VLOOKUP(A231,DM_CKDH!$B$5:$E$54,2,0)</f>
        <v>Đài - Khu biên</v>
      </c>
    </row>
    <row r="232" spans="1:12">
      <c r="A232" t="str">
        <f>'S21.21'!$F$3</f>
        <v>S21.21</v>
      </c>
      <c r="B232">
        <f>'S21.21'!$B$74</f>
        <v>13</v>
      </c>
      <c r="C232" t="str">
        <f>'S21.21'!D74</f>
        <v>ID-007B</v>
      </c>
      <c r="D232">
        <f>'S21.21'!E74</f>
        <v>0</v>
      </c>
      <c r="E232" t="str">
        <f>'S21.21'!F74</f>
        <v>BOQ-008</v>
      </c>
      <c r="G232" t="s">
        <v>240</v>
      </c>
      <c r="H232" t="s">
        <v>27</v>
      </c>
      <c r="I232" s="16">
        <f>'S21.21'!$R$74</f>
        <v>0</v>
      </c>
      <c r="J232">
        <f>VLOOKUP(A232,DM_CKDH!$B$5:$E$54,4,0)</f>
        <v>1</v>
      </c>
      <c r="K232" s="25">
        <f t="shared" si="4"/>
        <v>0</v>
      </c>
      <c r="L232" t="str">
        <f>VLOOKUP(A232,DM_CKDH!$B$5:$E$54,2,0)</f>
        <v>Đài - Khu biên</v>
      </c>
    </row>
    <row r="233" spans="1:12">
      <c r="A233" t="str">
        <f>'S21.21'!$F$3</f>
        <v>S21.21</v>
      </c>
      <c r="B233">
        <f>'S21.21'!$B$77</f>
        <v>14</v>
      </c>
      <c r="C233" t="str">
        <f>'S21.21'!D77</f>
        <v>ID-007C</v>
      </c>
      <c r="D233">
        <f>'S21.21'!E77</f>
        <v>0</v>
      </c>
      <c r="E233" t="str">
        <f>'S21.21'!F77</f>
        <v>BOQ-009</v>
      </c>
      <c r="G233" t="s">
        <v>241</v>
      </c>
      <c r="H233" t="s">
        <v>27</v>
      </c>
      <c r="I233" s="16">
        <f>'S21.21'!$R$77</f>
        <v>0</v>
      </c>
      <c r="J233">
        <f>VLOOKUP(A233,DM_CKDH!$B$5:$E$54,4,0)</f>
        <v>1</v>
      </c>
      <c r="K233" s="25">
        <f t="shared" si="4"/>
        <v>0</v>
      </c>
      <c r="L233" t="str">
        <f>VLOOKUP(A233,DM_CKDH!$B$5:$E$54,2,0)</f>
        <v>Đài - Khu biên</v>
      </c>
    </row>
    <row r="234" spans="1:12">
      <c r="A234" t="str">
        <f>'S21.21'!$F$3</f>
        <v>S21.21</v>
      </c>
      <c r="B234">
        <f>'S21.21'!$B$80</f>
        <v>15</v>
      </c>
      <c r="C234" t="str">
        <f>'S21.21'!D80</f>
        <v>ID-007</v>
      </c>
      <c r="D234" t="str">
        <f>'S21.21'!E80</f>
        <v>CBS</v>
      </c>
      <c r="E234">
        <f>'S21.21'!F80</f>
        <v>0</v>
      </c>
      <c r="G234" t="s">
        <v>294</v>
      </c>
      <c r="H234" t="s">
        <v>27</v>
      </c>
      <c r="I234" s="16">
        <f>'S21.21'!$R$80</f>
        <v>0</v>
      </c>
      <c r="J234">
        <f>VLOOKUP(A234,DM_CKDH!$B$5:$E$54,4,0)</f>
        <v>1</v>
      </c>
      <c r="K234" s="25">
        <f t="shared" si="4"/>
        <v>0</v>
      </c>
      <c r="L234" t="str">
        <f>VLOOKUP(A234,DM_CKDH!$B$5:$E$54,2,0)</f>
        <v>Đài - Khu biên</v>
      </c>
    </row>
    <row r="235" spans="1:12">
      <c r="A235" t="str">
        <f>'S21.21'!$F$3</f>
        <v>S21.21</v>
      </c>
      <c r="B235">
        <f>'S21.21'!$B$83</f>
        <v>16</v>
      </c>
      <c r="C235" t="str">
        <f>'S21.21'!D83</f>
        <v>ID-008</v>
      </c>
      <c r="D235" t="str">
        <f>'S21.21'!E83</f>
        <v>CBS</v>
      </c>
      <c r="E235" t="str">
        <f>'S21.21'!F83</f>
        <v>BOQ-010</v>
      </c>
      <c r="G235" t="s">
        <v>242</v>
      </c>
      <c r="H235" t="s">
        <v>27</v>
      </c>
      <c r="I235" s="16">
        <f>'S21.21'!$R$83</f>
        <v>56.714399999999998</v>
      </c>
      <c r="J235">
        <f>VLOOKUP(A235,DM_CKDH!$B$5:$E$54,4,0)</f>
        <v>1</v>
      </c>
      <c r="K235" s="25">
        <f t="shared" si="4"/>
        <v>56.714399999999998</v>
      </c>
      <c r="L235" t="str">
        <f>VLOOKUP(A235,DM_CKDH!$B$5:$E$54,2,0)</f>
        <v>Đài - Khu biên</v>
      </c>
    </row>
    <row r="236" spans="1:12">
      <c r="A236" t="str">
        <f>'S21.21'!$F$3</f>
        <v>S21.21</v>
      </c>
      <c r="B236">
        <f>'S21.21'!$B$89</f>
        <v>17</v>
      </c>
      <c r="C236" t="str">
        <f>'S21.21'!D89</f>
        <v>ID-041</v>
      </c>
      <c r="D236" t="str">
        <f>'S21.21'!E89</f>
        <v>CBS</v>
      </c>
      <c r="E236" t="str">
        <f>'S21.21'!F89</f>
        <v>BOQ-062</v>
      </c>
      <c r="G236" t="s">
        <v>269</v>
      </c>
      <c r="H236" t="s">
        <v>27</v>
      </c>
      <c r="I236" s="16">
        <f>'S21.21'!$R$89</f>
        <v>11.435397259066846</v>
      </c>
      <c r="J236">
        <f>VLOOKUP(A236,DM_CKDH!$B$5:$E$54,4,0)</f>
        <v>1</v>
      </c>
      <c r="K236" s="25">
        <f t="shared" si="4"/>
        <v>11.435397259066846</v>
      </c>
      <c r="L236" t="str">
        <f>VLOOKUP(A236,DM_CKDH!$B$5:$E$54,2,0)</f>
        <v>Đài - Khu biên</v>
      </c>
    </row>
    <row r="237" spans="1:12">
      <c r="A237" t="str">
        <f>'S21.21'!$F$3</f>
        <v>S21.21</v>
      </c>
      <c r="B237">
        <f>'S21.21'!$B$93</f>
        <v>18</v>
      </c>
      <c r="C237" t="str">
        <f>'S21.21'!D93</f>
        <v>ID-042</v>
      </c>
      <c r="D237" t="str">
        <f>'S21.21'!E93</f>
        <v>CBS</v>
      </c>
      <c r="E237" t="str">
        <f>'S21.21'!F93</f>
        <v>BOQ-063</v>
      </c>
      <c r="G237" t="s">
        <v>270</v>
      </c>
      <c r="H237" t="s">
        <v>27</v>
      </c>
      <c r="I237" s="16">
        <f>'S21.21'!$R$93</f>
        <v>15</v>
      </c>
      <c r="J237">
        <f>VLOOKUP(A237,DM_CKDH!$B$5:$E$54,4,0)</f>
        <v>1</v>
      </c>
      <c r="K237" s="25">
        <f t="shared" si="4"/>
        <v>15</v>
      </c>
      <c r="L237" t="str">
        <f>VLOOKUP(A237,DM_CKDH!$B$5:$E$54,2,0)</f>
        <v>Đài - Khu biên</v>
      </c>
    </row>
    <row r="238" spans="1:12">
      <c r="A238" t="str">
        <f>'S22.21'!$F$3</f>
        <v>S22.21</v>
      </c>
      <c r="B238">
        <f>'S22.21'!$B$6</f>
        <v>1</v>
      </c>
      <c r="C238" t="str">
        <f>'S22.21'!D6</f>
        <v>ID-004</v>
      </c>
      <c r="D238">
        <f>'S22.21'!E6</f>
        <v>0</v>
      </c>
      <c r="E238" t="str">
        <f>'S22.21'!F6</f>
        <v>BOQ-004</v>
      </c>
      <c r="G238" t="s">
        <v>335</v>
      </c>
      <c r="H238" t="s">
        <v>27</v>
      </c>
      <c r="I238" s="16">
        <f>'S22.21'!$R$6</f>
        <v>0</v>
      </c>
      <c r="J238">
        <f>VLOOKUP(A238,DM_CKDH!$B$5:$E$54,4,0)</f>
        <v>1</v>
      </c>
      <c r="K238" s="25">
        <f t="shared" si="4"/>
        <v>0</v>
      </c>
      <c r="L238" t="str">
        <f>VLOOKUP(A238,DM_CKDH!$B$5:$E$54,2,0)</f>
        <v>giằng, sàn - Khu biên</v>
      </c>
    </row>
    <row r="239" spans="1:12">
      <c r="A239" t="str">
        <f>'S22.21'!$F$3</f>
        <v>S22.21</v>
      </c>
      <c r="B239">
        <f>'S22.21'!$B$9</f>
        <v>2</v>
      </c>
      <c r="C239" t="str">
        <f>'S22.21'!D9</f>
        <v>ID-004B</v>
      </c>
      <c r="D239" t="str">
        <f>'S22.21'!E9</f>
        <v>CBS</v>
      </c>
      <c r="E239">
        <f>'S22.21'!F9</f>
        <v>0</v>
      </c>
      <c r="G239" t="s">
        <v>341</v>
      </c>
      <c r="H239" t="s">
        <v>27</v>
      </c>
      <c r="I239" s="16">
        <f>'S22.21'!$R$9</f>
        <v>0</v>
      </c>
      <c r="J239">
        <f>VLOOKUP(A239,DM_CKDH!$B$5:$E$54,4,0)</f>
        <v>1</v>
      </c>
      <c r="K239" s="25">
        <f t="shared" si="4"/>
        <v>0</v>
      </c>
      <c r="L239" t="str">
        <f>VLOOKUP(A239,DM_CKDH!$B$5:$E$54,2,0)</f>
        <v>giằng, sàn - Khu biên</v>
      </c>
    </row>
    <row r="240" spans="1:12">
      <c r="A240" t="str">
        <f>'S22.21'!$F$3</f>
        <v>S22.21</v>
      </c>
      <c r="B240">
        <f>'S22.21'!$B$12</f>
        <v>3</v>
      </c>
      <c r="C240" t="str">
        <f>'S22.21'!D12</f>
        <v>ID-006</v>
      </c>
      <c r="D240">
        <f>'S22.21'!E12</f>
        <v>0</v>
      </c>
      <c r="E240" t="str">
        <f>'S22.21'!F12</f>
        <v>BOQ-006</v>
      </c>
      <c r="G240" t="s">
        <v>336</v>
      </c>
      <c r="H240" t="s">
        <v>27</v>
      </c>
      <c r="I240" s="16">
        <f>'S22.21'!$R$12</f>
        <v>0</v>
      </c>
      <c r="J240">
        <f>VLOOKUP(A240,DM_CKDH!$B$5:$E$54,4,0)</f>
        <v>1</v>
      </c>
      <c r="K240" s="25">
        <f t="shared" si="4"/>
        <v>0</v>
      </c>
      <c r="L240" t="str">
        <f>VLOOKUP(A240,DM_CKDH!$B$5:$E$54,2,0)</f>
        <v>giằng, sàn - Khu biên</v>
      </c>
    </row>
    <row r="241" spans="1:12">
      <c r="A241" t="str">
        <f>'S22.21'!$F$3</f>
        <v>S22.21</v>
      </c>
      <c r="B241">
        <f>'S22.21'!$B$15</f>
        <v>4</v>
      </c>
      <c r="C241" t="str">
        <f>'S22.21'!D15</f>
        <v>ID-006B</v>
      </c>
      <c r="D241" t="str">
        <f>'S22.21'!E15</f>
        <v>CBS</v>
      </c>
      <c r="E241">
        <f>'S22.21'!F15</f>
        <v>0</v>
      </c>
      <c r="G241" t="s">
        <v>339</v>
      </c>
      <c r="H241" t="s">
        <v>27</v>
      </c>
      <c r="I241" s="16">
        <f>'S22.21'!$R$15</f>
        <v>0</v>
      </c>
      <c r="J241">
        <f>VLOOKUP(A241,DM_CKDH!$B$5:$E$54,4,0)</f>
        <v>1</v>
      </c>
      <c r="K241" s="25">
        <f t="shared" si="4"/>
        <v>0</v>
      </c>
      <c r="L241" t="str">
        <f>VLOOKUP(A241,DM_CKDH!$B$5:$E$54,2,0)</f>
        <v>giằng, sàn - Khu biên</v>
      </c>
    </row>
    <row r="242" spans="1:12">
      <c r="A242" t="str">
        <f>'S22.21'!$F$3</f>
        <v>S22.21</v>
      </c>
      <c r="B242">
        <f>'S22.21'!$B$18</f>
        <v>5</v>
      </c>
      <c r="C242" t="str">
        <f>'S22.21'!D18</f>
        <v>ID-009</v>
      </c>
      <c r="D242" t="str">
        <f>'S22.21'!E18</f>
        <v>CBS</v>
      </c>
      <c r="E242" t="str">
        <f>'S22.21'!F18</f>
        <v>BOQ-011</v>
      </c>
      <c r="G242" t="s">
        <v>310</v>
      </c>
      <c r="H242" t="s">
        <v>27</v>
      </c>
      <c r="I242" s="16">
        <f>'S22.21'!$R$18</f>
        <v>0</v>
      </c>
      <c r="J242">
        <f>VLOOKUP(A242,DM_CKDH!$B$5:$E$54,4,0)</f>
        <v>1</v>
      </c>
      <c r="K242" s="25">
        <f t="shared" si="4"/>
        <v>0</v>
      </c>
      <c r="L242" t="str">
        <f>VLOOKUP(A242,DM_CKDH!$B$5:$E$54,2,0)</f>
        <v>giằng, sàn - Khu biên</v>
      </c>
    </row>
    <row r="243" spans="1:12">
      <c r="A243" t="str">
        <f>'S22.21'!$F$3</f>
        <v>S22.21</v>
      </c>
      <c r="B243">
        <f>'S22.21'!$B$21</f>
        <v>6</v>
      </c>
      <c r="C243" t="str">
        <f>'S22.21'!D21</f>
        <v>ID-010</v>
      </c>
      <c r="D243">
        <f>'S22.21'!E21</f>
        <v>0</v>
      </c>
      <c r="E243" t="str">
        <f>'S22.21'!F21</f>
        <v>BOQ-012</v>
      </c>
      <c r="G243" t="s">
        <v>343</v>
      </c>
      <c r="H243" t="s">
        <v>27</v>
      </c>
      <c r="I243" s="16">
        <f>'S22.21'!$R$21</f>
        <v>0</v>
      </c>
      <c r="J243">
        <f>VLOOKUP(A243,DM_CKDH!$B$5:$E$54,4,0)</f>
        <v>1</v>
      </c>
      <c r="K243" s="25">
        <f t="shared" si="4"/>
        <v>0</v>
      </c>
      <c r="L243" t="str">
        <f>VLOOKUP(A243,DM_CKDH!$B$5:$E$54,2,0)</f>
        <v>giằng, sàn - Khu biên</v>
      </c>
    </row>
    <row r="244" spans="1:12">
      <c r="A244" t="str">
        <f>'S22.21'!$F$3</f>
        <v>S22.21</v>
      </c>
      <c r="B244">
        <f>'S22.21'!$B$24</f>
        <v>7</v>
      </c>
      <c r="C244" t="str">
        <f>'S22.21'!D24</f>
        <v>ID-010A</v>
      </c>
      <c r="D244" t="str">
        <f>'S22.21'!E24</f>
        <v>CBS</v>
      </c>
      <c r="E244">
        <f>'S22.21'!F24</f>
        <v>0</v>
      </c>
      <c r="G244" t="s">
        <v>344</v>
      </c>
      <c r="H244" t="s">
        <v>27</v>
      </c>
      <c r="I244" s="16">
        <f>'S22.21'!$R$24</f>
        <v>0</v>
      </c>
      <c r="J244">
        <f>VLOOKUP(A244,DM_CKDH!$B$5:$E$54,4,0)</f>
        <v>1</v>
      </c>
      <c r="K244" s="25">
        <f t="shared" si="4"/>
        <v>0</v>
      </c>
      <c r="L244" t="str">
        <f>VLOOKUP(A244,DM_CKDH!$B$5:$E$54,2,0)</f>
        <v>giằng, sàn - Khu biên</v>
      </c>
    </row>
    <row r="245" spans="1:12">
      <c r="A245" t="str">
        <f>'S22.21'!$F$3</f>
        <v>S22.21</v>
      </c>
      <c r="B245">
        <f>'S22.21'!$B$27</f>
        <v>8</v>
      </c>
      <c r="C245" t="str">
        <f>'S22.21'!D27</f>
        <v>ID-011</v>
      </c>
      <c r="D245">
        <f>'S22.21'!E27</f>
        <v>0</v>
      </c>
      <c r="E245" t="str">
        <f>'S22.21'!F27</f>
        <v>BOQ-013</v>
      </c>
      <c r="G245" t="s">
        <v>524</v>
      </c>
      <c r="H245" t="s">
        <v>27</v>
      </c>
      <c r="I245" s="16">
        <f>'S22.21'!$R$27</f>
        <v>0</v>
      </c>
      <c r="J245">
        <f>VLOOKUP(A245,DM_CKDH!$B$5:$E$54,4,0)</f>
        <v>1</v>
      </c>
      <c r="K245" s="25">
        <f t="shared" si="4"/>
        <v>0</v>
      </c>
      <c r="L245" t="str">
        <f>VLOOKUP(A245,DM_CKDH!$B$5:$E$54,2,0)</f>
        <v>giằng, sàn - Khu biên</v>
      </c>
    </row>
    <row r="246" spans="1:12">
      <c r="A246" t="str">
        <f>'S22.21'!$F$3</f>
        <v>S22.21</v>
      </c>
      <c r="B246">
        <f>'S22.21'!$B$30</f>
        <v>9</v>
      </c>
      <c r="C246" t="str">
        <f>'S22.21'!D30</f>
        <v>ID-011A</v>
      </c>
      <c r="D246" t="str">
        <f>'S22.21'!E30</f>
        <v>CBS</v>
      </c>
      <c r="E246">
        <f>'S22.21'!F30</f>
        <v>0</v>
      </c>
      <c r="G246" t="s">
        <v>320</v>
      </c>
      <c r="H246" t="s">
        <v>27</v>
      </c>
      <c r="I246" s="16">
        <f>'S22.21'!$R$30</f>
        <v>0</v>
      </c>
      <c r="J246">
        <f>VLOOKUP(A246,DM_CKDH!$B$5:$E$54,4,0)</f>
        <v>1</v>
      </c>
      <c r="K246" s="25">
        <f t="shared" si="4"/>
        <v>0</v>
      </c>
      <c r="L246" t="str">
        <f>VLOOKUP(A246,DM_CKDH!$B$5:$E$54,2,0)</f>
        <v>giằng, sàn - Khu biên</v>
      </c>
    </row>
    <row r="247" spans="1:12">
      <c r="A247" t="str">
        <f>'S22.21'!$F$3</f>
        <v>S22.21</v>
      </c>
      <c r="B247">
        <f>'S22.21'!$B$33</f>
        <v>10</v>
      </c>
      <c r="C247" t="str">
        <f>'S22.21'!D33</f>
        <v>ID-037</v>
      </c>
      <c r="D247" t="str">
        <f>'S22.21'!E33</f>
        <v>CBS</v>
      </c>
      <c r="E247" t="str">
        <f>'S22.21'!F33</f>
        <v>BOQ-058</v>
      </c>
      <c r="G247" t="s">
        <v>265</v>
      </c>
      <c r="H247" t="s">
        <v>27</v>
      </c>
      <c r="I247" s="16">
        <f>'S22.21'!$R$33</f>
        <v>0</v>
      </c>
      <c r="J247">
        <f>VLOOKUP(A247,DM_CKDH!$B$5:$E$54,4,0)</f>
        <v>1</v>
      </c>
      <c r="K247" s="25">
        <f t="shared" si="4"/>
        <v>0</v>
      </c>
      <c r="L247" t="str">
        <f>VLOOKUP(A247,DM_CKDH!$B$5:$E$54,2,0)</f>
        <v>giằng, sàn - Khu biên</v>
      </c>
    </row>
    <row r="248" spans="1:12">
      <c r="A248" t="str">
        <f>'S22.21'!$F$3</f>
        <v>S22.21</v>
      </c>
      <c r="B248">
        <f>'S22.21'!$B$36</f>
        <v>11</v>
      </c>
      <c r="C248" t="str">
        <f>'S22.21'!D36</f>
        <v>ID-039</v>
      </c>
      <c r="D248" t="str">
        <f>'S22.21'!E36</f>
        <v>CBS</v>
      </c>
      <c r="E248" t="str">
        <f>'S22.21'!F36</f>
        <v>BOQ-060</v>
      </c>
      <c r="G248" t="s">
        <v>267</v>
      </c>
      <c r="H248" t="s">
        <v>27</v>
      </c>
      <c r="I248" s="16">
        <f>'S22.21'!$R$36</f>
        <v>0</v>
      </c>
      <c r="J248">
        <f>VLOOKUP(A248,DM_CKDH!$B$5:$E$54,4,0)</f>
        <v>1</v>
      </c>
      <c r="K248" s="25">
        <f t="shared" si="4"/>
        <v>0</v>
      </c>
      <c r="L248" t="str">
        <f>VLOOKUP(A248,DM_CKDH!$B$5:$E$54,2,0)</f>
        <v>giằng, sàn - Khu biên</v>
      </c>
    </row>
    <row r="249" spans="1:12">
      <c r="A249" t="str">
        <f>'S23.21 '!$F$3</f>
        <v>S23.21</v>
      </c>
      <c r="B249">
        <f>'S23.21 '!$B$6</f>
        <v>1</v>
      </c>
      <c r="C249" t="str">
        <f>'S23.21 '!D6</f>
        <v>ID-012A</v>
      </c>
      <c r="D249" t="str">
        <f>'S23.21 '!E6</f>
        <v>CBS</v>
      </c>
      <c r="E249">
        <f>'S23.21 '!F6</f>
        <v>0</v>
      </c>
      <c r="G249" t="s">
        <v>350</v>
      </c>
      <c r="H249" t="s">
        <v>27</v>
      </c>
      <c r="I249" s="16">
        <f>'S23.21 '!$R$6</f>
        <v>0</v>
      </c>
      <c r="J249">
        <f>VLOOKUP(A249,DM_CKDH!$B$5:$E$54,4,0)</f>
        <v>1</v>
      </c>
      <c r="K249" s="25">
        <f t="shared" si="4"/>
        <v>0</v>
      </c>
      <c r="L249" t="str">
        <f>VLOOKUP(A249,DM_CKDH!$B$5:$E$54,2,0)</f>
        <v>Tường bao tầng hầm - Khu biên</v>
      </c>
    </row>
    <row r="250" spans="1:12">
      <c r="A250" t="str">
        <f>'S23.21 '!$F$3</f>
        <v>S23.21</v>
      </c>
      <c r="B250">
        <f>'S23.21 '!$B$9</f>
        <v>2</v>
      </c>
      <c r="C250" t="str">
        <f>'S23.21 '!D9</f>
        <v>ID-013A</v>
      </c>
      <c r="D250">
        <f>'S23.21 '!E9</f>
        <v>0</v>
      </c>
      <c r="E250" t="str">
        <f>'S23.21 '!F9</f>
        <v>BOQ-015</v>
      </c>
      <c r="G250" t="s">
        <v>244</v>
      </c>
      <c r="H250" t="s">
        <v>27</v>
      </c>
      <c r="I250" s="16">
        <f>'S23.21 '!$R$9</f>
        <v>0</v>
      </c>
      <c r="J250">
        <f>VLOOKUP(A250,DM_CKDH!$B$5:$E$54,4,0)</f>
        <v>1</v>
      </c>
      <c r="K250" s="25">
        <f t="shared" si="4"/>
        <v>0</v>
      </c>
      <c r="L250" t="str">
        <f>VLOOKUP(A250,DM_CKDH!$B$5:$E$54,2,0)</f>
        <v>Tường bao tầng hầm - Khu biên</v>
      </c>
    </row>
    <row r="251" spans="1:12">
      <c r="A251" t="str">
        <f>'S23.21 '!$F$3</f>
        <v>S23.21</v>
      </c>
      <c r="B251">
        <f>'S23.21 '!$B$12</f>
        <v>3</v>
      </c>
      <c r="C251" t="str">
        <f>'S23.21 '!D12</f>
        <v>ID-013B</v>
      </c>
      <c r="D251">
        <f>'S23.21 '!E12</f>
        <v>0</v>
      </c>
      <c r="E251" t="str">
        <f>'S23.21 '!F12</f>
        <v>BOQ-016</v>
      </c>
      <c r="G251" t="s">
        <v>245</v>
      </c>
      <c r="H251" t="s">
        <v>27</v>
      </c>
      <c r="I251" s="16">
        <f>'S23.21 '!$R$12</f>
        <v>0</v>
      </c>
      <c r="J251">
        <f>VLOOKUP(A251,DM_CKDH!$B$5:$E$54,4,0)</f>
        <v>1</v>
      </c>
      <c r="K251" s="25">
        <f t="shared" si="4"/>
        <v>0</v>
      </c>
      <c r="L251" t="str">
        <f>VLOOKUP(A251,DM_CKDH!$B$5:$E$54,2,0)</f>
        <v>Tường bao tầng hầm - Khu biên</v>
      </c>
    </row>
    <row r="252" spans="1:12">
      <c r="A252" t="str">
        <f>'S23.21 '!$F$3</f>
        <v>S23.21</v>
      </c>
      <c r="B252">
        <f>'S23.21 '!$B$15</f>
        <v>4</v>
      </c>
      <c r="C252" t="str">
        <f>'S23.21 '!D15</f>
        <v>ID-013</v>
      </c>
      <c r="D252" t="str">
        <f>'S23.21 '!E15</f>
        <v>CBS</v>
      </c>
      <c r="E252">
        <f>'S23.21 '!F15</f>
        <v>0</v>
      </c>
      <c r="G252" t="s">
        <v>295</v>
      </c>
      <c r="H252" t="s">
        <v>27</v>
      </c>
      <c r="I252" s="16">
        <f>'S23.21 '!$R$15</f>
        <v>0</v>
      </c>
      <c r="J252">
        <f>VLOOKUP(A252,DM_CKDH!$B$5:$E$54,4,0)</f>
        <v>1</v>
      </c>
      <c r="K252" s="25">
        <f t="shared" si="4"/>
        <v>0</v>
      </c>
      <c r="L252" t="str">
        <f>VLOOKUP(A252,DM_CKDH!$B$5:$E$54,2,0)</f>
        <v>Tường bao tầng hầm - Khu biên</v>
      </c>
    </row>
    <row r="253" spans="1:12">
      <c r="A253" t="str">
        <f>'S23.21 '!$F$3</f>
        <v>S23.21</v>
      </c>
      <c r="B253">
        <f>'S23.21 '!$B$18</f>
        <v>5</v>
      </c>
      <c r="C253" t="str">
        <f>'S23.21 '!D18</f>
        <v>ID-014</v>
      </c>
      <c r="D253">
        <f>'S23.21 '!E18</f>
        <v>0</v>
      </c>
      <c r="E253" t="str">
        <f>'S23.21 '!F18</f>
        <v>BOQ-017</v>
      </c>
      <c r="G253" t="s">
        <v>525</v>
      </c>
      <c r="H253" t="s">
        <v>27</v>
      </c>
      <c r="I253" s="16">
        <f>'S23.21 '!$R$18</f>
        <v>0</v>
      </c>
      <c r="J253">
        <f>VLOOKUP(A253,DM_CKDH!$B$5:$E$54,4,0)</f>
        <v>1</v>
      </c>
      <c r="K253" s="25">
        <f t="shared" si="4"/>
        <v>0</v>
      </c>
      <c r="L253" t="str">
        <f>VLOOKUP(A253,DM_CKDH!$B$5:$E$54,2,0)</f>
        <v>Tường bao tầng hầm - Khu biên</v>
      </c>
    </row>
    <row r="254" spans="1:12">
      <c r="A254" t="str">
        <f>'S23.21 '!$F$3</f>
        <v>S23.21</v>
      </c>
      <c r="B254">
        <f>'S23.21 '!$B$21</f>
        <v>6</v>
      </c>
      <c r="C254" t="str">
        <f>'S23.21 '!D21</f>
        <v>ID-014A</v>
      </c>
      <c r="D254" t="str">
        <f>'S23.21 '!E21</f>
        <v>CBS</v>
      </c>
      <c r="E254">
        <f>'S23.21 '!F21</f>
        <v>0</v>
      </c>
      <c r="G254" t="s">
        <v>322</v>
      </c>
      <c r="H254" t="s">
        <v>27</v>
      </c>
      <c r="I254" s="16">
        <f>'S23.21 '!$R$21</f>
        <v>0</v>
      </c>
      <c r="J254">
        <f>VLOOKUP(A254,DM_CKDH!$B$5:$E$54,4,0)</f>
        <v>1</v>
      </c>
      <c r="K254" s="25">
        <f t="shared" si="4"/>
        <v>0</v>
      </c>
      <c r="L254" t="str">
        <f>VLOOKUP(A254,DM_CKDH!$B$5:$E$54,2,0)</f>
        <v>Tường bao tầng hầm - Khu biên</v>
      </c>
    </row>
    <row r="255" spans="1:12">
      <c r="A255" t="str">
        <f>'S23.21 '!$F$3</f>
        <v>S23.21</v>
      </c>
      <c r="B255">
        <f>'S23.21 '!$B$24</f>
        <v>7</v>
      </c>
      <c r="C255" t="str">
        <f>'S23.21 '!D24</f>
        <v>ID-X01</v>
      </c>
      <c r="D255" t="str">
        <f>'S23.21 '!E24</f>
        <v>CBS</v>
      </c>
      <c r="E255" t="str">
        <f>'S23.21 '!F24</f>
        <v>BOQ-018</v>
      </c>
      <c r="G255" t="s">
        <v>307</v>
      </c>
      <c r="H255" t="s">
        <v>27</v>
      </c>
      <c r="I255" s="16">
        <f>'S23.21 '!$R$24</f>
        <v>0</v>
      </c>
      <c r="J255">
        <f>VLOOKUP(A255,DM_CKDH!$B$5:$E$54,4,0)</f>
        <v>1</v>
      </c>
      <c r="K255" s="25">
        <f t="shared" si="4"/>
        <v>0</v>
      </c>
      <c r="L255" t="str">
        <f>VLOOKUP(A255,DM_CKDH!$B$5:$E$54,2,0)</f>
        <v>Tường bao tầng hầm - Khu biên</v>
      </c>
    </row>
    <row r="256" spans="1:12">
      <c r="A256" t="str">
        <f>'S23.21 '!$F$3</f>
        <v>S23.21</v>
      </c>
      <c r="B256">
        <f>'S23.21 '!$B$27</f>
        <v>8</v>
      </c>
      <c r="C256" t="str">
        <f>'S23.21 '!D27</f>
        <v>ID-038</v>
      </c>
      <c r="D256" t="str">
        <f>'S23.21 '!E27</f>
        <v>CBS</v>
      </c>
      <c r="E256" t="str">
        <f>'S23.21 '!F27</f>
        <v>BOQ-059</v>
      </c>
      <c r="G256" t="s">
        <v>266</v>
      </c>
      <c r="H256" t="s">
        <v>27</v>
      </c>
      <c r="I256" s="16">
        <f>'S23.21 '!$R$27</f>
        <v>0</v>
      </c>
      <c r="J256">
        <f>VLOOKUP(A256,DM_CKDH!$B$5:$E$54,4,0)</f>
        <v>1</v>
      </c>
      <c r="K256" s="25">
        <f t="shared" si="4"/>
        <v>0</v>
      </c>
      <c r="L256" t="str">
        <f>VLOOKUP(A256,DM_CKDH!$B$5:$E$54,2,0)</f>
        <v>Tường bao tầng hầm - Khu biên</v>
      </c>
    </row>
    <row r="257" spans="1:12">
      <c r="A257" t="str">
        <f>'S23.21 '!$F$3</f>
        <v>S23.21</v>
      </c>
      <c r="B257">
        <f>'S23.21 '!$B$30</f>
        <v>9</v>
      </c>
      <c r="C257" t="str">
        <f>'S23.21 '!D30</f>
        <v>ID-040</v>
      </c>
      <c r="D257" t="str">
        <f>'S23.21 '!E30</f>
        <v>CBS</v>
      </c>
      <c r="E257" t="str">
        <f>'S23.21 '!F30</f>
        <v>BOQ-061</v>
      </c>
      <c r="G257" t="s">
        <v>268</v>
      </c>
      <c r="H257" t="s">
        <v>27</v>
      </c>
      <c r="I257" s="16">
        <f>'S23.21 '!$R$30</f>
        <v>0</v>
      </c>
      <c r="J257">
        <f>VLOOKUP(A257,DM_CKDH!$B$5:$E$54,4,0)</f>
        <v>1</v>
      </c>
      <c r="K257" s="25">
        <f t="shared" si="4"/>
        <v>0</v>
      </c>
      <c r="L257" t="str">
        <f>VLOOKUP(A257,DM_CKDH!$B$5:$E$54,2,0)</f>
        <v>Tường bao tầng hầm - Khu biên</v>
      </c>
    </row>
    <row r="258" spans="1:12">
      <c r="A258" t="str">
        <f>'S23.21 '!$F$3</f>
        <v>S23.21</v>
      </c>
      <c r="B258">
        <f>'S23.21 '!$B$33</f>
        <v>10</v>
      </c>
      <c r="C258" t="str">
        <f>'S23.21 '!D33</f>
        <v>ID-044</v>
      </c>
      <c r="D258" t="str">
        <f>'S23.21 '!E33</f>
        <v>CBS</v>
      </c>
      <c r="E258" t="str">
        <f>'S23.21 '!F33</f>
        <v>BOQ-065</v>
      </c>
      <c r="G258" t="s">
        <v>272</v>
      </c>
      <c r="H258" t="s">
        <v>27</v>
      </c>
      <c r="I258" s="16">
        <f>'S23.21 '!$R$33</f>
        <v>0</v>
      </c>
      <c r="J258">
        <f>VLOOKUP(A258,DM_CKDH!$B$5:$E$54,4,0)</f>
        <v>1</v>
      </c>
      <c r="K258" s="25">
        <f t="shared" si="4"/>
        <v>0</v>
      </c>
      <c r="L258" t="str">
        <f>VLOOKUP(A258,DM_CKDH!$B$5:$E$54,2,0)</f>
        <v>Tường bao tầng hầm - Khu biên</v>
      </c>
    </row>
    <row r="259" spans="1:12">
      <c r="A259" t="str">
        <f>'S24.21'!$F$3</f>
        <v>S24.21</v>
      </c>
      <c r="B259">
        <f>'S24.21'!$B$6</f>
        <v>1</v>
      </c>
      <c r="C259" t="str">
        <f>'S24.21'!D6</f>
        <v>ID-015</v>
      </c>
      <c r="D259">
        <f>'S24.21'!E6</f>
        <v>0</v>
      </c>
      <c r="E259" t="str">
        <f>'S24.21'!F6</f>
        <v>BOQ-019</v>
      </c>
      <c r="G259" t="s">
        <v>246</v>
      </c>
      <c r="H259" t="s">
        <v>27</v>
      </c>
      <c r="I259" s="16">
        <f>'S24.21'!$R$6</f>
        <v>0</v>
      </c>
      <c r="J259">
        <f>VLOOKUP(A259,DM_CKDH!$B$5:$E$54,4,0)</f>
        <v>1</v>
      </c>
      <c r="K259" s="25">
        <f t="shared" si="4"/>
        <v>0</v>
      </c>
      <c r="L259" t="str">
        <f>VLOOKUP(A259,DM_CKDH!$B$5:$E$54,2,0)</f>
        <v>Cột Tầng B1 - Khu biên</v>
      </c>
    </row>
    <row r="260" spans="1:12">
      <c r="A260" t="str">
        <f>'S24.21'!$F$3</f>
        <v>S24.21</v>
      </c>
      <c r="B260">
        <f>'S24.21'!$B$9</f>
        <v>2</v>
      </c>
      <c r="C260" t="str">
        <f>'S24.21'!D9</f>
        <v>ID-015A</v>
      </c>
      <c r="D260" t="str">
        <f>'S24.21'!E9</f>
        <v>CBS</v>
      </c>
      <c r="E260">
        <f>'S24.21'!F9</f>
        <v>0</v>
      </c>
      <c r="G260" t="s">
        <v>296</v>
      </c>
      <c r="H260" t="s">
        <v>27</v>
      </c>
      <c r="I260" s="16">
        <f>'S24.21'!$R$9</f>
        <v>0</v>
      </c>
      <c r="J260">
        <f>VLOOKUP(A260,DM_CKDH!$B$5:$E$54,4,0)</f>
        <v>1</v>
      </c>
      <c r="K260" s="25">
        <f t="shared" si="4"/>
        <v>0</v>
      </c>
      <c r="L260" t="str">
        <f>VLOOKUP(A260,DM_CKDH!$B$5:$E$54,2,0)</f>
        <v>Cột Tầng B1 - Khu biên</v>
      </c>
    </row>
    <row r="261" spans="1:12">
      <c r="A261" t="str">
        <f>'S24.21'!$F$3</f>
        <v>S24.21</v>
      </c>
      <c r="B261">
        <f>'S24.21'!$B$12</f>
        <v>3</v>
      </c>
      <c r="C261" t="str">
        <f>'S24.21'!D12</f>
        <v>ID-016A</v>
      </c>
      <c r="D261">
        <f>'S24.21'!E12</f>
        <v>0</v>
      </c>
      <c r="E261" t="str">
        <f>'S24.21'!F12</f>
        <v>BOQ-020</v>
      </c>
      <c r="G261" t="s">
        <v>247</v>
      </c>
      <c r="H261" t="s">
        <v>27</v>
      </c>
      <c r="I261" s="16">
        <f>'S24.21'!$R$12</f>
        <v>0</v>
      </c>
      <c r="J261">
        <f>VLOOKUP(A261,DM_CKDH!$B$5:$E$54,4,0)</f>
        <v>1</v>
      </c>
      <c r="K261" s="25">
        <f t="shared" ref="K261:K313" si="5">I261*J261</f>
        <v>0</v>
      </c>
      <c r="L261" t="str">
        <f>VLOOKUP(A261,DM_CKDH!$B$5:$E$54,2,0)</f>
        <v>Cột Tầng B1 - Khu biên</v>
      </c>
    </row>
    <row r="262" spans="1:12">
      <c r="A262" t="str">
        <f>'S24.21'!$F$3</f>
        <v>S24.21</v>
      </c>
      <c r="B262">
        <f>'S24.21'!$B$15</f>
        <v>4</v>
      </c>
      <c r="C262" t="str">
        <f>'S24.21'!D15</f>
        <v>ID-016B</v>
      </c>
      <c r="D262">
        <f>'S24.21'!E15</f>
        <v>0</v>
      </c>
      <c r="E262" t="str">
        <f>'S24.21'!F15</f>
        <v>BOQ-021</v>
      </c>
      <c r="G262" t="s">
        <v>248</v>
      </c>
      <c r="H262" t="s">
        <v>27</v>
      </c>
      <c r="I262" s="16">
        <f>'S24.21'!$R$15</f>
        <v>0</v>
      </c>
      <c r="J262">
        <f>VLOOKUP(A262,DM_CKDH!$B$5:$E$54,4,0)</f>
        <v>1</v>
      </c>
      <c r="K262" s="25">
        <f t="shared" si="5"/>
        <v>0</v>
      </c>
      <c r="L262" t="str">
        <f>VLOOKUP(A262,DM_CKDH!$B$5:$E$54,2,0)</f>
        <v>Cột Tầng B1 - Khu biên</v>
      </c>
    </row>
    <row r="263" spans="1:12">
      <c r="A263" t="str">
        <f>'S24.21'!$F$3</f>
        <v>S24.21</v>
      </c>
      <c r="B263">
        <f>'S24.21'!$B$18</f>
        <v>5</v>
      </c>
      <c r="C263" t="str">
        <f>'S24.21'!D18</f>
        <v>ID-016C</v>
      </c>
      <c r="D263">
        <f>'S24.21'!E18</f>
        <v>0</v>
      </c>
      <c r="E263" t="str">
        <f>'S24.21'!F18</f>
        <v>BOQ-022</v>
      </c>
      <c r="G263" t="s">
        <v>249</v>
      </c>
      <c r="H263" t="s">
        <v>27</v>
      </c>
      <c r="I263" s="16">
        <f>'S24.21'!$R$18</f>
        <v>0</v>
      </c>
      <c r="J263">
        <f>VLOOKUP(A263,DM_CKDH!$B$5:$E$54,4,0)</f>
        <v>1</v>
      </c>
      <c r="K263" s="25">
        <f t="shared" si="5"/>
        <v>0</v>
      </c>
      <c r="L263" t="str">
        <f>VLOOKUP(A263,DM_CKDH!$B$5:$E$54,2,0)</f>
        <v>Cột Tầng B1 - Khu biên</v>
      </c>
    </row>
    <row r="264" spans="1:12">
      <c r="A264" t="str">
        <f>'S24.21'!$F$3</f>
        <v>S24.21</v>
      </c>
      <c r="B264">
        <f>'S24.21'!$B$21</f>
        <v>6</v>
      </c>
      <c r="C264" t="str">
        <f>'S24.21'!D21</f>
        <v>ID-016</v>
      </c>
      <c r="D264" t="str">
        <f>'S24.21'!E21</f>
        <v>CBS</v>
      </c>
      <c r="E264">
        <f>'S24.21'!F21</f>
        <v>0</v>
      </c>
      <c r="G264" t="s">
        <v>297</v>
      </c>
      <c r="H264" t="s">
        <v>27</v>
      </c>
      <c r="I264" s="16">
        <f>'S24.21'!$R$21</f>
        <v>0</v>
      </c>
      <c r="J264">
        <f>VLOOKUP(A264,DM_CKDH!$B$5:$E$54,4,0)</f>
        <v>1</v>
      </c>
      <c r="K264" s="25">
        <f t="shared" si="5"/>
        <v>0</v>
      </c>
      <c r="L264" t="str">
        <f>VLOOKUP(A264,DM_CKDH!$B$5:$E$54,2,0)</f>
        <v>Cột Tầng B1 - Khu biên</v>
      </c>
    </row>
    <row r="265" spans="1:12">
      <c r="A265" t="str">
        <f>'S24.21'!$F$3</f>
        <v>S24.21</v>
      </c>
      <c r="B265">
        <f>'S24.21'!$B$24</f>
        <v>7</v>
      </c>
      <c r="C265" t="str">
        <f>'S24.21'!D24</f>
        <v>ID-017</v>
      </c>
      <c r="D265" t="str">
        <f>'S24.21'!E24</f>
        <v>CBS</v>
      </c>
      <c r="E265">
        <f>'S24.21'!F24</f>
        <v>0</v>
      </c>
      <c r="G265" t="s">
        <v>311</v>
      </c>
      <c r="H265" t="s">
        <v>27</v>
      </c>
      <c r="I265" s="16">
        <f>'S24.21'!$R$24</f>
        <v>0</v>
      </c>
      <c r="J265">
        <f>VLOOKUP(A265,DM_CKDH!$B$5:$E$54,4,0)</f>
        <v>1</v>
      </c>
      <c r="K265" s="25">
        <f t="shared" si="5"/>
        <v>0</v>
      </c>
      <c r="L265" t="str">
        <f>VLOOKUP(A265,DM_CKDH!$B$5:$E$54,2,0)</f>
        <v>Cột Tầng B1 - Khu biên</v>
      </c>
    </row>
    <row r="266" spans="1:12">
      <c r="A266" t="str">
        <f>'S24.21'!$F$3</f>
        <v>S24.21</v>
      </c>
      <c r="B266">
        <f>'S24.21'!$B$27</f>
        <v>8</v>
      </c>
      <c r="C266" t="str">
        <f>'S24.21'!D27</f>
        <v>ID-018</v>
      </c>
      <c r="D266" t="str">
        <f>'S24.21'!E27</f>
        <v>CBS</v>
      </c>
      <c r="E266">
        <f>'S24.21'!F27</f>
        <v>0</v>
      </c>
      <c r="G266" t="s">
        <v>312</v>
      </c>
      <c r="H266" t="s">
        <v>27</v>
      </c>
      <c r="I266" s="16">
        <f>'S24.21'!$R$27</f>
        <v>0</v>
      </c>
      <c r="J266">
        <f>VLOOKUP(A266,DM_CKDH!$B$5:$E$54,4,0)</f>
        <v>1</v>
      </c>
      <c r="K266" s="25">
        <f t="shared" si="5"/>
        <v>0</v>
      </c>
      <c r="L266" t="str">
        <f>VLOOKUP(A266,DM_CKDH!$B$5:$E$54,2,0)</f>
        <v>Cột Tầng B1 - Khu biên</v>
      </c>
    </row>
    <row r="267" spans="1:12">
      <c r="A267" t="str">
        <f>'S24.21'!$F$3</f>
        <v>S24.21</v>
      </c>
      <c r="B267">
        <f>'S24.21'!$B$30</f>
        <v>9</v>
      </c>
      <c r="C267" t="str">
        <f>'S24.21'!D30</f>
        <v>ID-019</v>
      </c>
      <c r="D267" t="str">
        <f>'S24.21'!E30</f>
        <v>CBS</v>
      </c>
      <c r="E267">
        <f>'S24.21'!F30</f>
        <v>0</v>
      </c>
      <c r="G267" t="s">
        <v>313</v>
      </c>
      <c r="H267" t="s">
        <v>27</v>
      </c>
      <c r="I267" s="16">
        <f>'S24.21'!$R$30</f>
        <v>0</v>
      </c>
      <c r="J267">
        <f>VLOOKUP(A267,DM_CKDH!$B$5:$E$54,4,0)</f>
        <v>1</v>
      </c>
      <c r="K267" s="25">
        <f t="shared" si="5"/>
        <v>0</v>
      </c>
      <c r="L267" t="str">
        <f>VLOOKUP(A267,DM_CKDH!$B$5:$E$54,2,0)</f>
        <v>Cột Tầng B1 - Khu biên</v>
      </c>
    </row>
    <row r="268" spans="1:12">
      <c r="A268" t="str">
        <f>'S24.21'!$F$3</f>
        <v>S24.21</v>
      </c>
      <c r="B268">
        <f>'S24.21'!$B$33</f>
        <v>10</v>
      </c>
      <c r="C268" t="str">
        <f>'S24.21'!D33</f>
        <v>ID-020</v>
      </c>
      <c r="D268" t="str">
        <f>'S24.21'!E33</f>
        <v>CBS</v>
      </c>
      <c r="E268">
        <f>'S24.21'!F33</f>
        <v>0</v>
      </c>
      <c r="G268" t="s">
        <v>348</v>
      </c>
      <c r="H268" t="s">
        <v>27</v>
      </c>
      <c r="I268" s="16">
        <f>'S24.21'!$R$33</f>
        <v>0</v>
      </c>
      <c r="J268">
        <f>VLOOKUP(A268,DM_CKDH!$B$5:$E$54,4,0)</f>
        <v>1</v>
      </c>
      <c r="K268" s="25">
        <f t="shared" si="5"/>
        <v>0</v>
      </c>
      <c r="L268" t="str">
        <f>VLOOKUP(A268,DM_CKDH!$B$5:$E$54,2,0)</f>
        <v>Cột Tầng B1 - Khu biên</v>
      </c>
    </row>
    <row r="269" spans="1:12">
      <c r="A269" t="str">
        <f>'S24.21'!$F$3</f>
        <v>S24.21</v>
      </c>
      <c r="B269">
        <f>'S24.21'!$B$36</f>
        <v>11</v>
      </c>
      <c r="C269" t="str">
        <f>'S24.21'!D36</f>
        <v>ID-021</v>
      </c>
      <c r="D269" t="str">
        <f>'S24.21'!E36</f>
        <v>CBS</v>
      </c>
      <c r="E269">
        <f>'S24.21'!F36</f>
        <v>0</v>
      </c>
      <c r="G269" t="s">
        <v>347</v>
      </c>
      <c r="H269" t="s">
        <v>27</v>
      </c>
      <c r="I269" s="16">
        <f>'S24.21'!$R$36</f>
        <v>0</v>
      </c>
      <c r="J269">
        <f>VLOOKUP(A269,DM_CKDH!$B$5:$E$54,4,0)</f>
        <v>1</v>
      </c>
      <c r="K269" s="25">
        <f t="shared" si="5"/>
        <v>0</v>
      </c>
      <c r="L269" t="str">
        <f>VLOOKUP(A269,DM_CKDH!$B$5:$E$54,2,0)</f>
        <v>Cột Tầng B1 - Khu biên</v>
      </c>
    </row>
    <row r="270" spans="1:12">
      <c r="A270" t="str">
        <f>'S24.21'!$F$3</f>
        <v>S24.21</v>
      </c>
      <c r="B270">
        <f>'S24.21'!$B$39</f>
        <v>12</v>
      </c>
      <c r="C270" t="str">
        <f>'S24.21'!D39</f>
        <v>ID-022</v>
      </c>
      <c r="D270" t="str">
        <f>'S24.21'!E39</f>
        <v>CBS</v>
      </c>
      <c r="E270" t="str">
        <f>'S24.21'!F39</f>
        <v>BOQ-023</v>
      </c>
      <c r="G270" t="s">
        <v>250</v>
      </c>
      <c r="H270" t="s">
        <v>27</v>
      </c>
      <c r="I270" s="16">
        <f>'S24.21'!$R$39</f>
        <v>0</v>
      </c>
      <c r="J270">
        <f>VLOOKUP(A270,DM_CKDH!$B$5:$E$54,4,0)</f>
        <v>1</v>
      </c>
      <c r="K270" s="25">
        <f t="shared" si="5"/>
        <v>0</v>
      </c>
      <c r="L270" t="str">
        <f>VLOOKUP(A270,DM_CKDH!$B$5:$E$54,2,0)</f>
        <v>Cột Tầng B1 - Khu biên</v>
      </c>
    </row>
    <row r="271" spans="1:12">
      <c r="A271" t="str">
        <f>'S24.21'!$F$3</f>
        <v>S24.21</v>
      </c>
      <c r="B271">
        <f>'S24.21'!$B$42</f>
        <v>13</v>
      </c>
      <c r="C271" t="str">
        <f>'S24.21'!D42</f>
        <v>ID-044</v>
      </c>
      <c r="D271" t="str">
        <f>'S24.21'!E42</f>
        <v>CBS</v>
      </c>
      <c r="E271" t="str">
        <f>'S24.21'!F42</f>
        <v>BOQ-065</v>
      </c>
      <c r="G271" t="s">
        <v>272</v>
      </c>
      <c r="H271" t="s">
        <v>27</v>
      </c>
      <c r="I271" s="16">
        <f>'S24.21'!$R$42</f>
        <v>0</v>
      </c>
      <c r="J271">
        <f>VLOOKUP(A271,DM_CKDH!$B$5:$E$54,4,0)</f>
        <v>1</v>
      </c>
      <c r="K271" s="25">
        <f t="shared" si="5"/>
        <v>0</v>
      </c>
      <c r="L271" t="str">
        <f>VLOOKUP(A271,DM_CKDH!$B$5:$E$54,2,0)</f>
        <v>Cột Tầng B1 - Khu biên</v>
      </c>
    </row>
    <row r="272" spans="1:12">
      <c r="A272" t="str">
        <f>'S25.21'!$F$3</f>
        <v>S25.21</v>
      </c>
      <c r="B272">
        <f>'S25.21'!$B$6</f>
        <v>1</v>
      </c>
      <c r="C272" t="str">
        <f>'S25.21'!D6</f>
        <v>ID-028</v>
      </c>
      <c r="D272">
        <f>'S25.21'!E6</f>
        <v>0</v>
      </c>
      <c r="E272" t="str">
        <f>'S25.21'!F6</f>
        <v>BOQ-029</v>
      </c>
      <c r="G272" t="s">
        <v>255</v>
      </c>
      <c r="H272" t="s">
        <v>27</v>
      </c>
      <c r="I272" s="16">
        <f>'S25.21'!$R$6</f>
        <v>2.8320800000000004</v>
      </c>
      <c r="J272">
        <f>VLOOKUP(A272,DM_CKDH!$B$5:$E$54,4,0)</f>
        <v>1</v>
      </c>
      <c r="K272" s="25">
        <f t="shared" si="5"/>
        <v>2.8320800000000004</v>
      </c>
      <c r="L272" t="str">
        <f>VLOOKUP(A272,DM_CKDH!$B$5:$E$54,2,0)</f>
        <v>Dầm sàn tầng 1- Khu biên</v>
      </c>
    </row>
    <row r="273" spans="1:12">
      <c r="A273" t="str">
        <f>'S25.21'!$F$3</f>
        <v>S25.21</v>
      </c>
      <c r="B273">
        <f>'S25.21'!$B$9</f>
        <v>2</v>
      </c>
      <c r="C273" t="str">
        <f>'S25.21'!D9</f>
        <v>ID-028A</v>
      </c>
      <c r="D273" t="str">
        <f>'S25.21'!E9</f>
        <v>CBS</v>
      </c>
      <c r="E273">
        <f>'S25.21'!F9</f>
        <v>0</v>
      </c>
      <c r="G273" t="s">
        <v>300</v>
      </c>
      <c r="H273" t="s">
        <v>27</v>
      </c>
      <c r="I273" s="16">
        <f>'S25.21'!$R$9</f>
        <v>283.20800000000003</v>
      </c>
      <c r="J273">
        <f>VLOOKUP(A273,DM_CKDH!$B$5:$E$54,4,0)</f>
        <v>1</v>
      </c>
      <c r="K273" s="25">
        <f t="shared" si="5"/>
        <v>283.20800000000003</v>
      </c>
      <c r="L273" t="str">
        <f>VLOOKUP(A273,DM_CKDH!$B$5:$E$54,2,0)</f>
        <v>Dầm sàn tầng 1- Khu biên</v>
      </c>
    </row>
    <row r="274" spans="1:12">
      <c r="A274" t="str">
        <f>'S25.21'!$F$3</f>
        <v>S25.21</v>
      </c>
      <c r="B274">
        <f>'S25.21'!$B$16</f>
        <v>3</v>
      </c>
      <c r="C274" t="str">
        <f>'S25.21'!D16</f>
        <v>ID-029A</v>
      </c>
      <c r="D274">
        <f>'S25.21'!E16</f>
        <v>0</v>
      </c>
      <c r="E274" t="str">
        <f>'S25.21'!F16</f>
        <v>BOQ-030</v>
      </c>
      <c r="G274" t="s">
        <v>256</v>
      </c>
      <c r="H274" t="s">
        <v>27</v>
      </c>
      <c r="I274" s="16">
        <f>'S25.21'!$R$16</f>
        <v>0</v>
      </c>
      <c r="J274">
        <f>VLOOKUP(A274,DM_CKDH!$B$5:$E$54,4,0)</f>
        <v>1</v>
      </c>
      <c r="K274" s="25">
        <f t="shared" si="5"/>
        <v>0</v>
      </c>
      <c r="L274" t="str">
        <f>VLOOKUP(A274,DM_CKDH!$B$5:$E$54,2,0)</f>
        <v>Dầm sàn tầng 1- Khu biên</v>
      </c>
    </row>
    <row r="275" spans="1:12">
      <c r="A275" t="str">
        <f>'S25.21'!$F$3</f>
        <v>S25.21</v>
      </c>
      <c r="B275">
        <f>'S25.21'!$B$19</f>
        <v>4</v>
      </c>
      <c r="C275" t="str">
        <f>'S25.21'!D19</f>
        <v>ID-029B</v>
      </c>
      <c r="D275">
        <f>'S25.21'!E19</f>
        <v>0</v>
      </c>
      <c r="E275" t="str">
        <f>'S25.21'!F19</f>
        <v>BOQ-031</v>
      </c>
      <c r="G275" t="s">
        <v>257</v>
      </c>
      <c r="H275" t="s">
        <v>27</v>
      </c>
      <c r="I275" s="16">
        <f>'S25.21'!$R$19</f>
        <v>0</v>
      </c>
      <c r="J275">
        <f>VLOOKUP(A275,DM_CKDH!$B$5:$E$54,4,0)</f>
        <v>1</v>
      </c>
      <c r="K275" s="25">
        <f t="shared" si="5"/>
        <v>0</v>
      </c>
      <c r="L275" t="str">
        <f>VLOOKUP(A275,DM_CKDH!$B$5:$E$54,2,0)</f>
        <v>Dầm sàn tầng 1- Khu biên</v>
      </c>
    </row>
    <row r="276" spans="1:12">
      <c r="A276" t="str">
        <f>'S25.21'!$F$3</f>
        <v>S25.21</v>
      </c>
      <c r="B276">
        <f>'S25.21'!$B$22</f>
        <v>5</v>
      </c>
      <c r="C276" t="str">
        <f>'S25.21'!D22</f>
        <v>ID-029C</v>
      </c>
      <c r="D276">
        <f>'S25.21'!E22</f>
        <v>0</v>
      </c>
      <c r="E276" t="str">
        <f>'S25.21'!F22</f>
        <v>BOQ-032</v>
      </c>
      <c r="G276" t="s">
        <v>258</v>
      </c>
      <c r="H276" t="s">
        <v>27</v>
      </c>
      <c r="I276" s="16">
        <f>'S25.21'!$R$22</f>
        <v>0</v>
      </c>
      <c r="J276">
        <f>VLOOKUP(A276,DM_CKDH!$B$5:$E$54,4,0)</f>
        <v>1</v>
      </c>
      <c r="K276" s="25">
        <f t="shared" si="5"/>
        <v>0</v>
      </c>
      <c r="L276" t="str">
        <f>VLOOKUP(A276,DM_CKDH!$B$5:$E$54,2,0)</f>
        <v>Dầm sàn tầng 1- Khu biên</v>
      </c>
    </row>
    <row r="277" spans="1:12">
      <c r="A277" t="str">
        <f>'S25.21'!$F$3</f>
        <v>S25.21</v>
      </c>
      <c r="B277">
        <f>'S25.21'!$B$25</f>
        <v>6</v>
      </c>
      <c r="C277" t="str">
        <f>'S25.21'!D25</f>
        <v>ID-029</v>
      </c>
      <c r="D277" t="str">
        <f>'S25.21'!E25</f>
        <v>CBS</v>
      </c>
      <c r="E277">
        <f>'S25.21'!F25</f>
        <v>0</v>
      </c>
      <c r="G277" t="s">
        <v>301</v>
      </c>
      <c r="H277" t="s">
        <v>27</v>
      </c>
      <c r="I277" s="16">
        <f>'S25.21'!$R$25</f>
        <v>0</v>
      </c>
      <c r="J277">
        <f>VLOOKUP(A277,DM_CKDH!$B$5:$E$54,4,0)</f>
        <v>1</v>
      </c>
      <c r="K277" s="25">
        <f t="shared" si="5"/>
        <v>0</v>
      </c>
      <c r="L277" t="str">
        <f>VLOOKUP(A277,DM_CKDH!$B$5:$E$54,2,0)</f>
        <v>Dầm sàn tầng 1- Khu biên</v>
      </c>
    </row>
    <row r="278" spans="1:12">
      <c r="A278" t="str">
        <f>'S25.21'!$F$3</f>
        <v>S25.21</v>
      </c>
      <c r="B278">
        <f>'S25.21'!$B$28</f>
        <v>7</v>
      </c>
      <c r="C278" t="str">
        <f>'S25.21'!D28</f>
        <v>ID-030</v>
      </c>
      <c r="D278">
        <f>'S25.21'!E28</f>
        <v>0</v>
      </c>
      <c r="E278" t="str">
        <f>'S25.21'!F28</f>
        <v>BOQ-033</v>
      </c>
      <c r="G278" t="s">
        <v>432</v>
      </c>
      <c r="H278" t="s">
        <v>27</v>
      </c>
      <c r="I278" s="16">
        <f>'S25.21'!$R$28</f>
        <v>50.438000000000009</v>
      </c>
      <c r="J278">
        <f>VLOOKUP(A278,DM_CKDH!$B$5:$E$54,4,0)</f>
        <v>1</v>
      </c>
      <c r="K278" s="25">
        <f t="shared" si="5"/>
        <v>50.438000000000009</v>
      </c>
      <c r="L278" t="str">
        <f>VLOOKUP(A278,DM_CKDH!$B$5:$E$54,2,0)</f>
        <v>Dầm sàn tầng 1- Khu biên</v>
      </c>
    </row>
    <row r="279" spans="1:12">
      <c r="A279" t="str">
        <f>'S25.21'!$F$3</f>
        <v>S25.21</v>
      </c>
      <c r="B279">
        <f>'S25.21'!$B$31</f>
        <v>8</v>
      </c>
      <c r="C279" t="str">
        <f>'S25.21'!D31</f>
        <v>ID-030A</v>
      </c>
      <c r="D279" t="str">
        <f>'S25.21'!E31</f>
        <v>CBS</v>
      </c>
      <c r="E279">
        <f>'S25.21'!F31</f>
        <v>0</v>
      </c>
      <c r="G279" t="s">
        <v>323</v>
      </c>
      <c r="H279" t="s">
        <v>27</v>
      </c>
      <c r="I279" s="16">
        <f>'S25.21'!$R$31</f>
        <v>50.438000000000009</v>
      </c>
      <c r="J279">
        <f>VLOOKUP(A279,DM_CKDH!$B$5:$E$54,4,0)</f>
        <v>1</v>
      </c>
      <c r="K279" s="25">
        <f t="shared" si="5"/>
        <v>50.438000000000009</v>
      </c>
      <c r="L279" t="str">
        <f>VLOOKUP(A279,DM_CKDH!$B$5:$E$54,2,0)</f>
        <v>Dầm sàn tầng 1- Khu biên</v>
      </c>
    </row>
    <row r="280" spans="1:12">
      <c r="A280" t="str">
        <f>'S25.21'!$F$3</f>
        <v>S25.21</v>
      </c>
      <c r="B280">
        <f>'S25.21'!$B$37</f>
        <v>9</v>
      </c>
      <c r="C280" t="str">
        <f>'S25.21'!D37</f>
        <v>ID-031</v>
      </c>
      <c r="D280">
        <f>'S25.21'!E37</f>
        <v>0</v>
      </c>
      <c r="E280" t="str">
        <f>'S25.21'!F37</f>
        <v>BOQ-034</v>
      </c>
      <c r="G280" t="s">
        <v>259</v>
      </c>
      <c r="H280" t="s">
        <v>27</v>
      </c>
      <c r="I280" s="16">
        <f>'S25.21'!$R$37</f>
        <v>5.7204000000000006</v>
      </c>
      <c r="J280">
        <f>VLOOKUP(A280,DM_CKDH!$B$5:$E$54,4,0)</f>
        <v>1</v>
      </c>
      <c r="K280" s="25">
        <f t="shared" si="5"/>
        <v>5.7204000000000006</v>
      </c>
      <c r="L280" t="str">
        <f>VLOOKUP(A280,DM_CKDH!$B$5:$E$54,2,0)</f>
        <v>Dầm sàn tầng 1- Khu biên</v>
      </c>
    </row>
    <row r="281" spans="1:12">
      <c r="A281" t="str">
        <f>'S25.21'!$F$3</f>
        <v>S25.21</v>
      </c>
      <c r="B281">
        <f>'S25.21'!$B$40</f>
        <v>10</v>
      </c>
      <c r="C281" t="str">
        <f>'S25.21'!D40</f>
        <v>ID-031A</v>
      </c>
      <c r="D281" t="str">
        <f>'S25.21'!E40</f>
        <v>CBS</v>
      </c>
      <c r="E281">
        <f>'S25.21'!F40</f>
        <v>0</v>
      </c>
      <c r="G281" t="s">
        <v>302</v>
      </c>
      <c r="H281" t="s">
        <v>27</v>
      </c>
      <c r="I281" s="16">
        <f>'S25.21'!$R$40</f>
        <v>572.04000000000008</v>
      </c>
      <c r="J281">
        <f>VLOOKUP(A281,DM_CKDH!$B$5:$E$54,4,0)</f>
        <v>1</v>
      </c>
      <c r="K281" s="25">
        <f t="shared" si="5"/>
        <v>572.04000000000008</v>
      </c>
      <c r="L281" t="str">
        <f>VLOOKUP(A281,DM_CKDH!$B$5:$E$54,2,0)</f>
        <v>Dầm sàn tầng 1- Khu biên</v>
      </c>
    </row>
    <row r="282" spans="1:12">
      <c r="A282" t="str">
        <f>'S25.21'!$F$3</f>
        <v>S25.21</v>
      </c>
      <c r="B282">
        <f>'S25.21'!$B$45</f>
        <v>11</v>
      </c>
      <c r="C282" t="str">
        <f>'S25.21'!D45</f>
        <v>ID-032A</v>
      </c>
      <c r="D282">
        <f>'S25.21'!E45</f>
        <v>0</v>
      </c>
      <c r="E282" t="str">
        <f>'S25.21'!F45</f>
        <v>BOQ-035</v>
      </c>
      <c r="G282" t="s">
        <v>260</v>
      </c>
      <c r="H282" t="s">
        <v>27</v>
      </c>
      <c r="I282" s="16">
        <f>'S25.21'!$R$45</f>
        <v>0</v>
      </c>
      <c r="J282">
        <f>VLOOKUP(A282,DM_CKDH!$B$5:$E$54,4,0)</f>
        <v>1</v>
      </c>
      <c r="K282" s="25">
        <f t="shared" si="5"/>
        <v>0</v>
      </c>
      <c r="L282" t="str">
        <f>VLOOKUP(A282,DM_CKDH!$B$5:$E$54,2,0)</f>
        <v>Dầm sàn tầng 1- Khu biên</v>
      </c>
    </row>
    <row r="283" spans="1:12">
      <c r="A283" t="str">
        <f>'S25.21'!$F$3</f>
        <v>S25.21</v>
      </c>
      <c r="B283">
        <f>'S25.21'!$B$48</f>
        <v>12</v>
      </c>
      <c r="C283" t="str">
        <f>'S25.21'!D48</f>
        <v>ID-032B</v>
      </c>
      <c r="D283">
        <f>'S25.21'!E48</f>
        <v>0</v>
      </c>
      <c r="E283" t="str">
        <f>'S25.21'!F48</f>
        <v>BOQ-036</v>
      </c>
      <c r="G283" t="s">
        <v>261</v>
      </c>
      <c r="H283" t="s">
        <v>27</v>
      </c>
      <c r="I283" s="16">
        <f>'S25.21'!$R$48</f>
        <v>0</v>
      </c>
      <c r="J283">
        <f>VLOOKUP(A283,DM_CKDH!$B$5:$E$54,4,0)</f>
        <v>1</v>
      </c>
      <c r="K283" s="25">
        <f t="shared" si="5"/>
        <v>0</v>
      </c>
      <c r="L283" t="str">
        <f>VLOOKUP(A283,DM_CKDH!$B$5:$E$54,2,0)</f>
        <v>Dầm sàn tầng 1- Khu biên</v>
      </c>
    </row>
    <row r="284" spans="1:12">
      <c r="A284" t="str">
        <f>'S25.21'!$F$3</f>
        <v>S25.21</v>
      </c>
      <c r="B284">
        <f>'S25.21'!$B$51</f>
        <v>13</v>
      </c>
      <c r="C284" t="str">
        <f>'S25.21'!D51</f>
        <v>ID-032</v>
      </c>
      <c r="D284" t="str">
        <f>'S25.21'!E51</f>
        <v>CBS</v>
      </c>
      <c r="E284">
        <f>'S25.21'!F51</f>
        <v>0</v>
      </c>
      <c r="G284" t="s">
        <v>303</v>
      </c>
      <c r="H284" t="s">
        <v>27</v>
      </c>
      <c r="I284" s="16">
        <f>'S25.21'!$R$51</f>
        <v>0</v>
      </c>
      <c r="J284">
        <f>VLOOKUP(A284,DM_CKDH!$B$5:$E$54,4,0)</f>
        <v>1</v>
      </c>
      <c r="K284" s="25">
        <f t="shared" si="5"/>
        <v>0</v>
      </c>
      <c r="L284" t="str">
        <f>VLOOKUP(A284,DM_CKDH!$B$5:$E$54,2,0)</f>
        <v>Dầm sàn tầng 1- Khu biên</v>
      </c>
    </row>
    <row r="285" spans="1:12">
      <c r="A285" t="str">
        <f>'S25.21'!$F$3</f>
        <v>S25.21</v>
      </c>
      <c r="B285">
        <f>'S25.21'!$B$54</f>
        <v>14</v>
      </c>
      <c r="C285" t="str">
        <f>'S25.21'!D54</f>
        <v>ID-033</v>
      </c>
      <c r="D285">
        <f>'S25.21'!E54</f>
        <v>0</v>
      </c>
      <c r="E285" t="str">
        <f>'S25.21'!F54</f>
        <v>BOQ-037</v>
      </c>
      <c r="G285" t="s">
        <v>433</v>
      </c>
      <c r="H285" t="s">
        <v>27</v>
      </c>
      <c r="I285" s="16">
        <f>'S25.21'!$R$54</f>
        <v>208.44900000000001</v>
      </c>
      <c r="J285">
        <f>VLOOKUP(A285,DM_CKDH!$B$5:$E$54,4,0)</f>
        <v>1</v>
      </c>
      <c r="K285" s="25">
        <f t="shared" si="5"/>
        <v>208.44900000000001</v>
      </c>
      <c r="L285" t="str">
        <f>VLOOKUP(A285,DM_CKDH!$B$5:$E$54,2,0)</f>
        <v>Dầm sàn tầng 1- Khu biên</v>
      </c>
    </row>
    <row r="286" spans="1:12">
      <c r="A286" t="str">
        <f>'S25.21'!$F$3</f>
        <v>S25.21</v>
      </c>
      <c r="B286">
        <f>'S25.21'!$B$57</f>
        <v>15</v>
      </c>
      <c r="C286" t="str">
        <f>'S25.21'!D57</f>
        <v>ID-033A</v>
      </c>
      <c r="D286" t="str">
        <f>'S25.21'!E57</f>
        <v>CBS</v>
      </c>
      <c r="E286">
        <f>'S25.21'!F57</f>
        <v>0</v>
      </c>
      <c r="G286" t="s">
        <v>324</v>
      </c>
      <c r="H286" t="s">
        <v>27</v>
      </c>
      <c r="I286" s="16">
        <f>'S25.21'!$R$57</f>
        <v>208.44900000000001</v>
      </c>
      <c r="J286">
        <f>VLOOKUP(A286,DM_CKDH!$B$5:$E$54,4,0)</f>
        <v>1</v>
      </c>
      <c r="K286" s="25">
        <f t="shared" si="5"/>
        <v>208.44900000000001</v>
      </c>
      <c r="L286" t="str">
        <f>VLOOKUP(A286,DM_CKDH!$B$5:$E$54,2,0)</f>
        <v>Dầm sàn tầng 1- Khu biên</v>
      </c>
    </row>
    <row r="287" spans="1:12">
      <c r="A287" t="str">
        <f>'S25.21'!$F$3</f>
        <v>S25.21</v>
      </c>
      <c r="B287">
        <f>'S25.21'!$B$61</f>
        <v>16</v>
      </c>
      <c r="C287" t="str">
        <f>'S25.21'!D61</f>
        <v>ID-044</v>
      </c>
      <c r="D287" t="str">
        <f>'S25.21'!E61</f>
        <v>CBS</v>
      </c>
      <c r="E287" t="str">
        <f>'S25.21'!F61</f>
        <v>BOQ-065</v>
      </c>
      <c r="G287" t="s">
        <v>272</v>
      </c>
      <c r="H287" t="s">
        <v>27</v>
      </c>
      <c r="I287" s="16">
        <f>'S25.21'!$R$61</f>
        <v>855.24800000000005</v>
      </c>
      <c r="J287">
        <f>VLOOKUP(A287,DM_CKDH!$B$5:$E$54,4,0)</f>
        <v>1</v>
      </c>
      <c r="K287" s="25">
        <f t="shared" si="5"/>
        <v>855.24800000000005</v>
      </c>
      <c r="L287" t="str">
        <f>VLOOKUP(A287,DM_CKDH!$B$5:$E$54,2,0)</f>
        <v>Dầm sàn tầng 1- Khu biên</v>
      </c>
    </row>
    <row r="288" spans="1:12">
      <c r="A288" t="str">
        <f>'X11.11'!$F$3</f>
        <v>X11.11</v>
      </c>
      <c r="B288">
        <f>'X11.11'!$B$6</f>
        <v>1</v>
      </c>
      <c r="C288" t="str">
        <f>'X11.11'!D6</f>
        <v>ID-X01</v>
      </c>
      <c r="D288" t="str">
        <f>'X11.11'!E6</f>
        <v>CBS</v>
      </c>
      <c r="E288" t="str">
        <f>'X11.11'!F6</f>
        <v>BOQ-018</v>
      </c>
      <c r="G288" t="s">
        <v>307</v>
      </c>
      <c r="H288" t="s">
        <v>27</v>
      </c>
      <c r="I288" s="16">
        <f>'X11.11'!$R$6</f>
        <v>0</v>
      </c>
      <c r="J288">
        <f>VLOOKUP(A288,DM_CKDH!$B$5:$E$54,4,0)</f>
        <v>1</v>
      </c>
      <c r="K288" s="25">
        <f t="shared" si="5"/>
        <v>0</v>
      </c>
      <c r="L288" t="str">
        <f>VLOOKUP(A288,DM_CKDH!$B$5:$E$54,2,0)</f>
        <v>Biện Pháp khác</v>
      </c>
    </row>
    <row r="289" spans="1:12">
      <c r="A289" t="str">
        <f>'X11.11'!$F$3</f>
        <v>X11.11</v>
      </c>
      <c r="B289">
        <f>'X11.11'!$B$9</f>
        <v>2</v>
      </c>
      <c r="C289" t="str">
        <f>'X11.11'!D9</f>
        <v>ID-X02</v>
      </c>
      <c r="D289" t="str">
        <f>'X11.11'!E9</f>
        <v>CBS</v>
      </c>
      <c r="E289" t="str">
        <f>'X11.11'!F9</f>
        <v>BOQ-042</v>
      </c>
      <c r="G289" t="s">
        <v>218</v>
      </c>
      <c r="H289" t="s">
        <v>27</v>
      </c>
      <c r="I289" s="16">
        <f>'X11.11'!$R$9</f>
        <v>0</v>
      </c>
      <c r="J289">
        <f>VLOOKUP(A289,DM_CKDH!$B$5:$E$54,4,0)</f>
        <v>1</v>
      </c>
      <c r="K289" s="25">
        <f t="shared" si="5"/>
        <v>0</v>
      </c>
      <c r="L289" t="str">
        <f>VLOOKUP(A289,DM_CKDH!$B$5:$E$54,2,0)</f>
        <v>Biện Pháp khác</v>
      </c>
    </row>
    <row r="290" spans="1:12">
      <c r="A290" t="str">
        <f>'X11.11'!$F$3</f>
        <v>X11.11</v>
      </c>
      <c r="B290">
        <f>'X11.11'!$B$12</f>
        <v>3</v>
      </c>
      <c r="C290" t="str">
        <f>'X11.11'!D12</f>
        <v>ID-X03</v>
      </c>
      <c r="D290" t="str">
        <f>'X11.11'!E12</f>
        <v>CBS</v>
      </c>
      <c r="E290" t="str">
        <f>'X11.11'!F12</f>
        <v>BOQ-043</v>
      </c>
      <c r="G290" t="s">
        <v>219</v>
      </c>
      <c r="H290" t="s">
        <v>27</v>
      </c>
      <c r="I290" s="16">
        <f>'X11.11'!$R$12</f>
        <v>0</v>
      </c>
      <c r="J290">
        <f>VLOOKUP(A290,DM_CKDH!$B$5:$E$54,4,0)</f>
        <v>1</v>
      </c>
      <c r="K290" s="25">
        <f t="shared" si="5"/>
        <v>0</v>
      </c>
      <c r="L290" t="str">
        <f>VLOOKUP(A290,DM_CKDH!$B$5:$E$54,2,0)</f>
        <v>Biện Pháp khác</v>
      </c>
    </row>
    <row r="291" spans="1:12">
      <c r="A291" t="str">
        <f>'X11.11'!$F$3</f>
        <v>X11.11</v>
      </c>
      <c r="B291">
        <f>'X11.11'!$B$15</f>
        <v>4</v>
      </c>
      <c r="C291" t="str">
        <f>'X11.11'!D15</f>
        <v>ID-X04</v>
      </c>
      <c r="D291" t="str">
        <f>'X11.11'!E15</f>
        <v>CBS</v>
      </c>
      <c r="E291" t="str">
        <f>'X11.11'!F15</f>
        <v>BOQ-044</v>
      </c>
      <c r="G291" t="s">
        <v>220</v>
      </c>
      <c r="H291" t="s">
        <v>27</v>
      </c>
      <c r="I291" s="16">
        <f>'X11.11'!$R$15</f>
        <v>0</v>
      </c>
      <c r="J291">
        <f>VLOOKUP(A291,DM_CKDH!$B$5:$E$54,4,0)</f>
        <v>1</v>
      </c>
      <c r="K291" s="25">
        <f t="shared" si="5"/>
        <v>0</v>
      </c>
      <c r="L291" t="str">
        <f>VLOOKUP(A291,DM_CKDH!$B$5:$E$54,2,0)</f>
        <v>Biện Pháp khác</v>
      </c>
    </row>
    <row r="292" spans="1:12">
      <c r="A292" t="str">
        <f>'X11.11'!$F$3</f>
        <v>X11.11</v>
      </c>
      <c r="B292">
        <f>'X11.11'!$B$18</f>
        <v>5</v>
      </c>
      <c r="C292" t="str">
        <f>'X11.11'!D18</f>
        <v>ID-X05</v>
      </c>
      <c r="D292" t="str">
        <f>'X11.11'!E18</f>
        <v>CBS</v>
      </c>
      <c r="E292" t="str">
        <f>'X11.11'!F18</f>
        <v>BOQ-045</v>
      </c>
      <c r="G292" t="s">
        <v>221</v>
      </c>
      <c r="H292" t="s">
        <v>27</v>
      </c>
      <c r="I292" s="16">
        <f>'X11.11'!$R$18</f>
        <v>0</v>
      </c>
      <c r="J292">
        <f>VLOOKUP(A292,DM_CKDH!$B$5:$E$54,4,0)</f>
        <v>1</v>
      </c>
      <c r="K292" s="25">
        <f t="shared" si="5"/>
        <v>0</v>
      </c>
      <c r="L292" t="str">
        <f>VLOOKUP(A292,DM_CKDH!$B$5:$E$54,2,0)</f>
        <v>Biện Pháp khác</v>
      </c>
    </row>
    <row r="293" spans="1:12">
      <c r="A293" t="str">
        <f>'X11.11'!$F$3</f>
        <v>X11.11</v>
      </c>
      <c r="B293">
        <f>'X11.11'!$B$21</f>
        <v>6</v>
      </c>
      <c r="C293" t="str">
        <f>'X11.11'!D21</f>
        <v>ID-X06</v>
      </c>
      <c r="D293" t="str">
        <f>'X11.11'!E21</f>
        <v>CBS</v>
      </c>
      <c r="E293" t="str">
        <f>'X11.11'!F21</f>
        <v>BOQ-046</v>
      </c>
      <c r="G293" t="s">
        <v>222</v>
      </c>
      <c r="H293" t="s">
        <v>27</v>
      </c>
      <c r="I293" s="16">
        <f>'X11.11'!$R$21</f>
        <v>0</v>
      </c>
      <c r="J293">
        <f>VLOOKUP(A293,DM_CKDH!$B$5:$E$54,4,0)</f>
        <v>1</v>
      </c>
      <c r="K293" s="25">
        <f t="shared" si="5"/>
        <v>0</v>
      </c>
      <c r="L293" t="str">
        <f>VLOOKUP(A293,DM_CKDH!$B$5:$E$54,2,0)</f>
        <v>Biện Pháp khác</v>
      </c>
    </row>
    <row r="294" spans="1:12">
      <c r="A294" t="str">
        <f>'X11.11'!$F$3</f>
        <v>X11.11</v>
      </c>
      <c r="B294">
        <f>'X11.11'!$B$24</f>
        <v>7</v>
      </c>
      <c r="C294" t="str">
        <f>'X11.11'!D24</f>
        <v>ID-X07</v>
      </c>
      <c r="D294" t="str">
        <f>'X11.11'!E24</f>
        <v>CBS</v>
      </c>
      <c r="E294" t="str">
        <f>'X11.11'!F24</f>
        <v>BOQ-047</v>
      </c>
      <c r="G294" t="s">
        <v>223</v>
      </c>
      <c r="H294" t="s">
        <v>27</v>
      </c>
      <c r="I294" s="16">
        <f>'X11.11'!$R$24</f>
        <v>0</v>
      </c>
      <c r="J294">
        <f>VLOOKUP(A294,DM_CKDH!$B$5:$E$54,4,0)</f>
        <v>1</v>
      </c>
      <c r="K294" s="25">
        <f t="shared" si="5"/>
        <v>0</v>
      </c>
      <c r="L294" t="str">
        <f>VLOOKUP(A294,DM_CKDH!$B$5:$E$54,2,0)</f>
        <v>Biện Pháp khác</v>
      </c>
    </row>
    <row r="295" spans="1:12">
      <c r="A295" t="str">
        <f>'X11.11'!$F$3</f>
        <v>X11.11</v>
      </c>
      <c r="B295">
        <f>'X11.11'!$B$27</f>
        <v>8</v>
      </c>
      <c r="C295" t="str">
        <f>'X11.11'!D27</f>
        <v>ID-X08</v>
      </c>
      <c r="D295" t="str">
        <f>'X11.11'!E27</f>
        <v>CBS</v>
      </c>
      <c r="E295" t="str">
        <f>'X11.11'!F27</f>
        <v>BOQ-048</v>
      </c>
      <c r="G295" t="s">
        <v>224</v>
      </c>
      <c r="H295" t="s">
        <v>27</v>
      </c>
      <c r="I295" s="16">
        <f>'X11.11'!$R$27</f>
        <v>0</v>
      </c>
      <c r="J295">
        <f>VLOOKUP(A295,DM_CKDH!$B$5:$E$54,4,0)</f>
        <v>1</v>
      </c>
      <c r="K295" s="25">
        <f t="shared" si="5"/>
        <v>0</v>
      </c>
      <c r="L295" t="str">
        <f>VLOOKUP(A295,DM_CKDH!$B$5:$E$54,2,0)</f>
        <v>Biện Pháp khác</v>
      </c>
    </row>
    <row r="296" spans="1:12">
      <c r="A296" t="str">
        <f>'X11.11'!$F$3</f>
        <v>X11.11</v>
      </c>
      <c r="B296">
        <f>'X11.11'!$B$30</f>
        <v>9</v>
      </c>
      <c r="C296" t="str">
        <f>'X11.11'!D30</f>
        <v>ID-X09</v>
      </c>
      <c r="D296" t="str">
        <f>'X11.11'!E30</f>
        <v>CBS</v>
      </c>
      <c r="E296" t="str">
        <f>'X11.11'!F30</f>
        <v>BOQ-049</v>
      </c>
      <c r="G296" t="s">
        <v>225</v>
      </c>
      <c r="H296" t="s">
        <v>27</v>
      </c>
      <c r="I296" s="16">
        <f>'X11.11'!$R$30</f>
        <v>0</v>
      </c>
      <c r="J296">
        <f>VLOOKUP(A296,DM_CKDH!$B$5:$E$54,4,0)</f>
        <v>1</v>
      </c>
      <c r="K296" s="25">
        <f t="shared" si="5"/>
        <v>0</v>
      </c>
      <c r="L296" t="str">
        <f>VLOOKUP(A296,DM_CKDH!$B$5:$E$54,2,0)</f>
        <v>Biện Pháp khác</v>
      </c>
    </row>
    <row r="297" spans="1:12">
      <c r="A297" t="str">
        <f>'X11.11'!$F$3</f>
        <v>X11.11</v>
      </c>
      <c r="B297">
        <f>'X11.11'!$B$33</f>
        <v>10</v>
      </c>
      <c r="C297" t="str">
        <f>'X11.11'!D33</f>
        <v>ID-X10</v>
      </c>
      <c r="D297" t="str">
        <f>'X11.11'!E33</f>
        <v>CBS</v>
      </c>
      <c r="E297" t="str">
        <f>'X11.11'!F33</f>
        <v>BOQ-050</v>
      </c>
      <c r="G297" t="s">
        <v>229</v>
      </c>
      <c r="H297" t="s">
        <v>27</v>
      </c>
      <c r="I297" s="16">
        <f>'X11.11'!$R$33</f>
        <v>0</v>
      </c>
      <c r="J297">
        <f>VLOOKUP(A297,DM_CKDH!$B$5:$E$54,4,0)</f>
        <v>1</v>
      </c>
      <c r="K297" s="25">
        <f t="shared" si="5"/>
        <v>0</v>
      </c>
      <c r="L297" t="str">
        <f>VLOOKUP(A297,DM_CKDH!$B$5:$E$54,2,0)</f>
        <v>Biện Pháp khác</v>
      </c>
    </row>
    <row r="298" spans="1:12">
      <c r="A298" t="str">
        <f>'X11.11'!$F$3</f>
        <v>X11.11</v>
      </c>
      <c r="B298">
        <f>'X11.11'!$B$36</f>
        <v>11</v>
      </c>
      <c r="C298" t="str">
        <f>'X11.11'!D36</f>
        <v>ID-X11</v>
      </c>
      <c r="D298" t="str">
        <f>'X11.11'!E36</f>
        <v>CBS</v>
      </c>
      <c r="E298" t="str">
        <f>'X11.11'!F36</f>
        <v>BOQ-051</v>
      </c>
      <c r="G298" t="s">
        <v>230</v>
      </c>
      <c r="H298" t="s">
        <v>27</v>
      </c>
      <c r="I298" s="16">
        <f>'X11.11'!$R$36</f>
        <v>0</v>
      </c>
      <c r="J298">
        <f>VLOOKUP(A298,DM_CKDH!$B$5:$E$54,4,0)</f>
        <v>1</v>
      </c>
      <c r="K298" s="25">
        <f t="shared" si="5"/>
        <v>0</v>
      </c>
      <c r="L298" t="str">
        <f>VLOOKUP(A298,DM_CKDH!$B$5:$E$54,2,0)</f>
        <v>Biện Pháp khác</v>
      </c>
    </row>
    <row r="299" spans="1:12">
      <c r="A299" t="str">
        <f>'X11.11'!$F$3</f>
        <v>X11.11</v>
      </c>
      <c r="B299">
        <f>'X11.11'!$B$39</f>
        <v>12</v>
      </c>
      <c r="C299" t="str">
        <f>'X11.11'!D39</f>
        <v>ID-X12</v>
      </c>
      <c r="D299" t="str">
        <f>'X11.11'!E39</f>
        <v>CBS</v>
      </c>
      <c r="E299" t="str">
        <f>'X11.11'!F39</f>
        <v>BOQ-052</v>
      </c>
      <c r="G299" t="s">
        <v>231</v>
      </c>
      <c r="H299" t="s">
        <v>27</v>
      </c>
      <c r="I299" s="16">
        <f>'X11.11'!$R$39</f>
        <v>0</v>
      </c>
      <c r="J299">
        <f>VLOOKUP(A299,DM_CKDH!$B$5:$E$54,4,0)</f>
        <v>1</v>
      </c>
      <c r="K299" s="25">
        <f t="shared" si="5"/>
        <v>0</v>
      </c>
      <c r="L299" t="str">
        <f>VLOOKUP(A299,DM_CKDH!$B$5:$E$54,2,0)</f>
        <v>Biện Pháp khác</v>
      </c>
    </row>
    <row r="300" spans="1:12">
      <c r="A300" t="str">
        <f>'X11.11'!$F$3</f>
        <v>X11.11</v>
      </c>
      <c r="B300">
        <f>'X11.11'!$B$42</f>
        <v>13</v>
      </c>
      <c r="C300" t="str">
        <f>'X11.11'!D42</f>
        <v>ID-X13</v>
      </c>
      <c r="D300" t="str">
        <f>'X11.11'!E42</f>
        <v>CBS</v>
      </c>
      <c r="E300" t="str">
        <f>'X11.11'!F42</f>
        <v>BOQ-053</v>
      </c>
      <c r="G300" t="s">
        <v>232</v>
      </c>
      <c r="H300" t="s">
        <v>27</v>
      </c>
      <c r="I300" s="16">
        <f>'X11.11'!$R$42</f>
        <v>0</v>
      </c>
      <c r="J300">
        <f>VLOOKUP(A300,DM_CKDH!$B$5:$E$54,4,0)</f>
        <v>1</v>
      </c>
      <c r="K300" s="25">
        <f t="shared" si="5"/>
        <v>0</v>
      </c>
      <c r="L300" t="str">
        <f>VLOOKUP(A300,DM_CKDH!$B$5:$E$54,2,0)</f>
        <v>Biện Pháp khác</v>
      </c>
    </row>
    <row r="301" spans="1:12">
      <c r="A301" t="str">
        <f>'X11.11'!$F$3</f>
        <v>X11.11</v>
      </c>
      <c r="B301">
        <f>'X11.11'!$B$45</f>
        <v>14</v>
      </c>
      <c r="C301" t="str">
        <f>'X11.11'!D45</f>
        <v>ID-X14</v>
      </c>
      <c r="D301" t="str">
        <f>'X11.11'!E45</f>
        <v>CBS</v>
      </c>
      <c r="E301" t="str">
        <f>'X11.11'!F45</f>
        <v>BOQ-054</v>
      </c>
      <c r="G301" t="s">
        <v>233</v>
      </c>
      <c r="H301" t="s">
        <v>27</v>
      </c>
      <c r="I301" s="16">
        <f>'X11.11'!$R$45</f>
        <v>0</v>
      </c>
      <c r="J301">
        <f>VLOOKUP(A301,DM_CKDH!$B$5:$E$54,4,0)</f>
        <v>1</v>
      </c>
      <c r="K301" s="25">
        <f t="shared" si="5"/>
        <v>0</v>
      </c>
      <c r="L301" t="str">
        <f>VLOOKUP(A301,DM_CKDH!$B$5:$E$54,2,0)</f>
        <v>Biện Pháp khác</v>
      </c>
    </row>
    <row r="302" spans="1:12">
      <c r="A302" t="str">
        <f>'X11.11'!$F$3</f>
        <v>X11.11</v>
      </c>
      <c r="B302">
        <f>'X11.11'!$B$48</f>
        <v>15</v>
      </c>
      <c r="C302" t="str">
        <f>'X11.11'!D48</f>
        <v>ID-X15</v>
      </c>
      <c r="D302" t="str">
        <f>'X11.11'!E48</f>
        <v>CBS</v>
      </c>
      <c r="E302" t="str">
        <f>'X11.11'!F48</f>
        <v>BOQ-055</v>
      </c>
      <c r="G302" t="s">
        <v>285</v>
      </c>
      <c r="H302" t="s">
        <v>27</v>
      </c>
      <c r="I302" s="16">
        <f>'X11.11'!$R$48</f>
        <v>0</v>
      </c>
      <c r="J302">
        <f>VLOOKUP(A302,DM_CKDH!$B$5:$E$54,4,0)</f>
        <v>1</v>
      </c>
      <c r="K302" s="25">
        <f t="shared" si="5"/>
        <v>0</v>
      </c>
      <c r="L302" t="str">
        <f>VLOOKUP(A302,DM_CKDH!$B$5:$E$54,2,0)</f>
        <v>Biện Pháp khác</v>
      </c>
    </row>
    <row r="303" spans="1:12">
      <c r="A303" t="str">
        <f>'X11.11'!$F$3</f>
        <v>X11.11</v>
      </c>
      <c r="B303">
        <f>'X11.11'!$B$51</f>
        <v>16</v>
      </c>
      <c r="C303" t="str">
        <f>'X11.11'!D51</f>
        <v>ID-X16</v>
      </c>
      <c r="D303" t="str">
        <f>'X11.11'!E51</f>
        <v>CBS</v>
      </c>
      <c r="E303" t="str">
        <f>'X11.11'!F51</f>
        <v>BOQ-056</v>
      </c>
      <c r="G303" t="s">
        <v>286</v>
      </c>
      <c r="H303" t="s">
        <v>27</v>
      </c>
      <c r="I303" s="16">
        <f>'X11.11'!$R$51</f>
        <v>0</v>
      </c>
      <c r="J303">
        <f>VLOOKUP(A303,DM_CKDH!$B$5:$E$54,4,0)</f>
        <v>1</v>
      </c>
      <c r="K303" s="25">
        <f t="shared" si="5"/>
        <v>0</v>
      </c>
      <c r="L303" t="str">
        <f>VLOOKUP(A303,DM_CKDH!$B$5:$E$54,2,0)</f>
        <v>Biện Pháp khác</v>
      </c>
    </row>
    <row r="304" spans="1:12">
      <c r="A304" t="str">
        <f>'X11.11'!$F$3</f>
        <v>X11.11</v>
      </c>
      <c r="B304">
        <f>'X11.11'!$B$54</f>
        <v>17</v>
      </c>
      <c r="C304" t="str">
        <f>'X11.11'!D54</f>
        <v>ID-X17</v>
      </c>
      <c r="D304" t="str">
        <f>'X11.11'!E54</f>
        <v>CBS</v>
      </c>
      <c r="E304" t="str">
        <f>'X11.11'!F54</f>
        <v>BOQ-057</v>
      </c>
      <c r="G304" t="s">
        <v>287</v>
      </c>
      <c r="H304" t="s">
        <v>27</v>
      </c>
      <c r="I304" s="16">
        <f>'X11.11'!$R$54</f>
        <v>0</v>
      </c>
      <c r="J304">
        <f>VLOOKUP(A304,DM_CKDH!$B$5:$E$54,4,0)</f>
        <v>1</v>
      </c>
      <c r="K304" s="25">
        <f t="shared" si="5"/>
        <v>0</v>
      </c>
      <c r="L304" t="str">
        <f>VLOOKUP(A304,DM_CKDH!$B$5:$E$54,2,0)</f>
        <v>Biện Pháp khác</v>
      </c>
    </row>
    <row r="305" spans="1:12">
      <c r="A305" t="str">
        <f>'X11.11'!$F$3</f>
        <v>X11.11</v>
      </c>
      <c r="B305">
        <f>'X11.11'!$B$57</f>
        <v>18</v>
      </c>
      <c r="C305" t="str">
        <f>'X11.11'!D57</f>
        <v>ID-X18</v>
      </c>
      <c r="D305" t="str">
        <f>'X11.11'!E57</f>
        <v>CBS</v>
      </c>
      <c r="E305" t="str">
        <f>'X11.11'!F57</f>
        <v>BOQ-066</v>
      </c>
      <c r="G305" t="s">
        <v>273</v>
      </c>
      <c r="H305" t="s">
        <v>27</v>
      </c>
      <c r="I305" s="16">
        <f>'X11.11'!$R$57</f>
        <v>0</v>
      </c>
      <c r="J305">
        <f>VLOOKUP(A305,DM_CKDH!$B$5:$E$54,4,0)</f>
        <v>1</v>
      </c>
      <c r="K305" s="25">
        <f t="shared" si="5"/>
        <v>0</v>
      </c>
      <c r="L305" t="str">
        <f>VLOOKUP(A305,DM_CKDH!$B$5:$E$54,2,0)</f>
        <v>Biện Pháp khác</v>
      </c>
    </row>
    <row r="306" spans="1:12">
      <c r="A306" t="str">
        <f>'X11.11'!$F$3</f>
        <v>X11.11</v>
      </c>
      <c r="B306">
        <f>'X11.11'!$B$60</f>
        <v>19</v>
      </c>
      <c r="C306" t="str">
        <f>'X11.11'!D60</f>
        <v>ID-X19</v>
      </c>
      <c r="D306" t="str">
        <f>'X11.11'!E60</f>
        <v>CBS</v>
      </c>
      <c r="E306" t="str">
        <f>'X11.11'!F60</f>
        <v>BOQ-067</v>
      </c>
      <c r="G306" t="s">
        <v>274</v>
      </c>
      <c r="H306" t="s">
        <v>27</v>
      </c>
      <c r="I306" s="16">
        <f>'X11.11'!$R$60</f>
        <v>0</v>
      </c>
      <c r="J306">
        <f>VLOOKUP(A306,DM_CKDH!$B$5:$E$54,4,0)</f>
        <v>1</v>
      </c>
      <c r="K306" s="25">
        <f t="shared" si="5"/>
        <v>0</v>
      </c>
      <c r="L306" t="str">
        <f>VLOOKUP(A306,DM_CKDH!$B$5:$E$54,2,0)</f>
        <v>Biện Pháp khác</v>
      </c>
    </row>
    <row r="307" spans="1:12">
      <c r="A307" t="str">
        <f>'X11.11'!$F$3</f>
        <v>X11.11</v>
      </c>
      <c r="B307">
        <f>'X11.11'!$B$63</f>
        <v>20</v>
      </c>
      <c r="C307" t="str">
        <f>'X11.11'!D63</f>
        <v>ID-X20</v>
      </c>
      <c r="D307" t="str">
        <f>'X11.11'!E63</f>
        <v>CBS</v>
      </c>
      <c r="E307" t="str">
        <f>'X11.11'!F63</f>
        <v>BOQ-068</v>
      </c>
      <c r="G307" t="s">
        <v>275</v>
      </c>
      <c r="H307" t="s">
        <v>27</v>
      </c>
      <c r="I307" s="16">
        <f>'X11.11'!$R$63</f>
        <v>0</v>
      </c>
      <c r="J307">
        <f>VLOOKUP(A307,DM_CKDH!$B$5:$E$54,4,0)</f>
        <v>1</v>
      </c>
      <c r="K307" s="25">
        <f t="shared" si="5"/>
        <v>0</v>
      </c>
      <c r="L307" t="str">
        <f>VLOOKUP(A307,DM_CKDH!$B$5:$E$54,2,0)</f>
        <v>Biện Pháp khác</v>
      </c>
    </row>
    <row r="308" spans="1:12">
      <c r="A308" t="str">
        <f>'X11.12'!$F$3</f>
        <v>X11.12</v>
      </c>
      <c r="B308">
        <f>'X11.12'!$B$6</f>
        <v>1</v>
      </c>
      <c r="C308" t="str">
        <f>'X11.12'!D6</f>
        <v>ID-001</v>
      </c>
      <c r="D308">
        <f>'X11.12'!E6</f>
        <v>0</v>
      </c>
      <c r="E308" t="str">
        <f>'X11.12'!F6</f>
        <v>BOQ-001</v>
      </c>
      <c r="G308" t="s">
        <v>127</v>
      </c>
      <c r="H308" t="s">
        <v>27</v>
      </c>
      <c r="I308" s="16">
        <f>'X11.12'!$R$6</f>
        <v>0</v>
      </c>
      <c r="J308" t="e">
        <f>VLOOKUP(A308,DM_CKDH!$B$5:$E$54,4,0)</f>
        <v>#N/A</v>
      </c>
      <c r="K308" s="25" t="e">
        <f t="shared" si="5"/>
        <v>#N/A</v>
      </c>
      <c r="L308" t="e">
        <f>VLOOKUP(A308,DM_CKDH!$B$5:$E$54,2,0)</f>
        <v>#N/A</v>
      </c>
    </row>
    <row r="309" spans="1:12">
      <c r="A309" t="str">
        <f>'X11.12'!$F$3</f>
        <v>X11.12</v>
      </c>
      <c r="B309">
        <f>'X11.12'!$B$9</f>
        <v>2</v>
      </c>
      <c r="C309" t="str">
        <f>'X11.12'!D9</f>
        <v>ID-001A</v>
      </c>
      <c r="D309" t="str">
        <f>'X11.12'!E9</f>
        <v>CBS</v>
      </c>
      <c r="E309">
        <f>'X11.12'!F9</f>
        <v>0</v>
      </c>
      <c r="G309" t="s">
        <v>276</v>
      </c>
      <c r="H309" t="s">
        <v>27</v>
      </c>
      <c r="I309" s="16">
        <f>'X11.12'!$R$9</f>
        <v>0</v>
      </c>
      <c r="J309" t="e">
        <f>VLOOKUP(A309,DM_CKDH!$B$5:$E$54,4,0)</f>
        <v>#N/A</v>
      </c>
      <c r="K309" s="25" t="e">
        <f t="shared" si="5"/>
        <v>#N/A</v>
      </c>
      <c r="L309" t="e">
        <f>VLOOKUP(A309,DM_CKDH!$B$5:$E$54,2,0)</f>
        <v>#N/A</v>
      </c>
    </row>
    <row r="310" spans="1:12">
      <c r="A310" t="str">
        <f>'X11.12'!$F$3</f>
        <v>X11.12</v>
      </c>
      <c r="B310">
        <f>'X11.12'!$B$12</f>
        <v>3</v>
      </c>
      <c r="C310" t="str">
        <f>'X11.12'!D12</f>
        <v>ID-002</v>
      </c>
      <c r="D310">
        <f>'X11.12'!E12</f>
        <v>0</v>
      </c>
      <c r="E310" t="str">
        <f>'X11.12'!F12</f>
        <v>BOQ-002</v>
      </c>
      <c r="G310" t="s">
        <v>237</v>
      </c>
      <c r="H310" t="s">
        <v>27</v>
      </c>
      <c r="I310" s="16">
        <f>'X11.12'!$R$12</f>
        <v>0</v>
      </c>
      <c r="J310" t="e">
        <f>VLOOKUP(A310,DM_CKDH!$B$5:$E$54,4,0)</f>
        <v>#N/A</v>
      </c>
      <c r="K310" s="25" t="e">
        <f t="shared" si="5"/>
        <v>#N/A</v>
      </c>
      <c r="L310" t="e">
        <f>VLOOKUP(A310,DM_CKDH!$B$5:$E$54,2,0)</f>
        <v>#N/A</v>
      </c>
    </row>
    <row r="311" spans="1:12">
      <c r="A311" t="str">
        <f>'X11.12'!$F$3</f>
        <v>X11.12</v>
      </c>
      <c r="B311">
        <f>'X11.12'!$B$15</f>
        <v>4</v>
      </c>
      <c r="C311" t="str">
        <f>'X11.12'!D15</f>
        <v>ID-002A</v>
      </c>
      <c r="D311" t="str">
        <f>'X11.12'!E15</f>
        <v>CBS</v>
      </c>
      <c r="E311">
        <f>'X11.12'!F15</f>
        <v>0</v>
      </c>
      <c r="G311" t="s">
        <v>277</v>
      </c>
      <c r="H311" t="s">
        <v>27</v>
      </c>
      <c r="I311" s="16">
        <f>'X11.12'!$R$15</f>
        <v>0</v>
      </c>
      <c r="J311" t="e">
        <f>VLOOKUP(A311,DM_CKDH!$B$5:$E$54,4,0)</f>
        <v>#N/A</v>
      </c>
      <c r="K311" s="25" t="e">
        <f t="shared" si="5"/>
        <v>#N/A</v>
      </c>
      <c r="L311" t="e">
        <f>VLOOKUP(A311,DM_CKDH!$B$5:$E$54,2,0)</f>
        <v>#N/A</v>
      </c>
    </row>
    <row r="312" spans="1:12">
      <c r="A312" t="str">
        <f>'X11.12'!$F$3</f>
        <v>X11.12</v>
      </c>
      <c r="B312">
        <f>'X11.12'!$B$18</f>
        <v>5</v>
      </c>
      <c r="C312" t="str">
        <f>'X11.12'!D18</f>
        <v>ID-003</v>
      </c>
      <c r="D312">
        <f>'X11.12'!E18</f>
        <v>0</v>
      </c>
      <c r="E312" t="str">
        <f>'X11.12'!F18</f>
        <v>BOQ-003</v>
      </c>
      <c r="G312" t="s">
        <v>238</v>
      </c>
      <c r="H312" t="s">
        <v>27</v>
      </c>
      <c r="I312" s="16">
        <f>'X11.12'!$R$18</f>
        <v>0</v>
      </c>
      <c r="J312" t="e">
        <f>VLOOKUP(A312,DM_CKDH!$B$5:$E$54,4,0)</f>
        <v>#N/A</v>
      </c>
      <c r="K312" s="25" t="e">
        <f t="shared" si="5"/>
        <v>#N/A</v>
      </c>
      <c r="L312" t="e">
        <f>VLOOKUP(A312,DM_CKDH!$B$5:$E$54,2,0)</f>
        <v>#N/A</v>
      </c>
    </row>
    <row r="313" spans="1:12">
      <c r="A313" t="str">
        <f>'X11.12'!$F$3</f>
        <v>X11.12</v>
      </c>
      <c r="B313">
        <f>'X11.12'!$B$21</f>
        <v>6</v>
      </c>
      <c r="C313" t="str">
        <f>'X11.12'!D21</f>
        <v>ID-003A</v>
      </c>
      <c r="D313" t="str">
        <f>'X11.12'!E21</f>
        <v>CBS</v>
      </c>
      <c r="E313">
        <f>'X11.12'!F21</f>
        <v>0</v>
      </c>
      <c r="G313" t="s">
        <v>293</v>
      </c>
      <c r="H313" t="s">
        <v>27</v>
      </c>
      <c r="I313" s="16">
        <f>'X11.12'!$R$21</f>
        <v>0</v>
      </c>
      <c r="J313" t="e">
        <f>VLOOKUP(A313,DM_CKDH!$B$5:$E$54,4,0)</f>
        <v>#N/A</v>
      </c>
      <c r="K313" s="25" t="e">
        <f t="shared" si="5"/>
        <v>#N/A</v>
      </c>
      <c r="L313" t="e">
        <f>VLOOKUP(A313,DM_CKDH!$B$5:$E$54,2,0)</f>
        <v>#N/A</v>
      </c>
    </row>
    <row r="314" spans="1:12">
      <c r="K314" s="25"/>
    </row>
    <row r="315" spans="1:12">
      <c r="K315" s="25"/>
    </row>
    <row r="316" spans="1:12">
      <c r="K316" s="25"/>
    </row>
    <row r="317" spans="1:12">
      <c r="K317" s="25"/>
    </row>
    <row r="318" spans="1:12">
      <c r="K318" s="25"/>
    </row>
    <row r="319" spans="1:12">
      <c r="K319" s="25"/>
    </row>
    <row r="320" spans="1:12">
      <c r="K320" s="25"/>
    </row>
    <row r="321" spans="11:11">
      <c r="K321" s="25"/>
    </row>
    <row r="322" spans="11:11">
      <c r="K322" s="25"/>
    </row>
    <row r="323" spans="11:11">
      <c r="K323" s="25"/>
    </row>
    <row r="324" spans="11:11">
      <c r="K324" s="25"/>
    </row>
    <row r="325" spans="11:11">
      <c r="K325" s="25"/>
    </row>
    <row r="326" spans="11:11">
      <c r="K326" s="25"/>
    </row>
    <row r="327" spans="11:11">
      <c r="K327" s="25"/>
    </row>
    <row r="328" spans="11:11">
      <c r="K328" s="25"/>
    </row>
    <row r="329" spans="11:11">
      <c r="K329" s="25"/>
    </row>
    <row r="330" spans="11:11">
      <c r="K330" s="25"/>
    </row>
    <row r="331" spans="11:11">
      <c r="K331" s="25"/>
    </row>
    <row r="332" spans="11:11">
      <c r="K332" s="25"/>
    </row>
    <row r="333" spans="11:11">
      <c r="K333" s="25"/>
    </row>
    <row r="334" spans="11:11">
      <c r="K334" s="25"/>
    </row>
    <row r="335" spans="11:11">
      <c r="K335" s="25"/>
    </row>
    <row r="336" spans="11:11">
      <c r="K336" s="25"/>
    </row>
    <row r="337" spans="11:11">
      <c r="K337" s="25"/>
    </row>
    <row r="338" spans="11:11">
      <c r="K338" s="25"/>
    </row>
    <row r="339" spans="11:11">
      <c r="K339" s="25"/>
    </row>
    <row r="340" spans="11:11">
      <c r="K340" s="25"/>
    </row>
    <row r="341" spans="11:11">
      <c r="K341" s="25"/>
    </row>
    <row r="342" spans="11:11">
      <c r="K342" s="25"/>
    </row>
    <row r="343" spans="11:11">
      <c r="K343" s="25"/>
    </row>
    <row r="344" spans="11:11">
      <c r="K344" s="25"/>
    </row>
    <row r="345" spans="11:11">
      <c r="K345" s="25"/>
    </row>
    <row r="346" spans="11:11">
      <c r="K346" s="25"/>
    </row>
    <row r="347" spans="11:11">
      <c r="K347" s="25"/>
    </row>
    <row r="348" spans="11:11">
      <c r="K348" s="25"/>
    </row>
    <row r="349" spans="11:11">
      <c r="K349" s="25"/>
    </row>
    <row r="350" spans="11:11">
      <c r="K350" s="25"/>
    </row>
    <row r="351" spans="11:11">
      <c r="K351" s="25"/>
    </row>
    <row r="352" spans="11:11">
      <c r="K352" s="25"/>
    </row>
    <row r="353" spans="11:11">
      <c r="K353" s="25"/>
    </row>
    <row r="354" spans="11:11">
      <c r="K354" s="25"/>
    </row>
    <row r="355" spans="11:11">
      <c r="K355" s="25"/>
    </row>
    <row r="356" spans="11:11">
      <c r="K356" s="25"/>
    </row>
    <row r="357" spans="11:11">
      <c r="K357" s="25"/>
    </row>
    <row r="358" spans="11:11">
      <c r="K358" s="25"/>
    </row>
    <row r="359" spans="11:11">
      <c r="K359" s="25"/>
    </row>
    <row r="360" spans="11:11">
      <c r="K360" s="25"/>
    </row>
    <row r="361" spans="11:11">
      <c r="K361" s="25"/>
    </row>
    <row r="362" spans="11:11">
      <c r="K362" s="25"/>
    </row>
    <row r="363" spans="11:11">
      <c r="K363" s="25"/>
    </row>
    <row r="364" spans="11:11">
      <c r="K364" s="25"/>
    </row>
    <row r="365" spans="11:11">
      <c r="K365" s="25"/>
    </row>
    <row r="366" spans="11:11">
      <c r="K366" s="25"/>
    </row>
    <row r="367" spans="11:11">
      <c r="K367" s="25"/>
    </row>
    <row r="368" spans="11:11">
      <c r="K368" s="25"/>
    </row>
    <row r="369" spans="11:11">
      <c r="K369" s="25"/>
    </row>
    <row r="370" spans="11:11">
      <c r="K370" s="25"/>
    </row>
    <row r="371" spans="11:11">
      <c r="K371" s="25"/>
    </row>
    <row r="372" spans="11:11">
      <c r="K372" s="25"/>
    </row>
    <row r="373" spans="11:11">
      <c r="K373" s="25"/>
    </row>
    <row r="374" spans="11:11">
      <c r="K374" s="25"/>
    </row>
    <row r="375" spans="11:11">
      <c r="K375" s="25"/>
    </row>
    <row r="376" spans="11:11">
      <c r="K376" s="25"/>
    </row>
    <row r="377" spans="11:11">
      <c r="K377" s="25"/>
    </row>
    <row r="378" spans="11:11">
      <c r="K378" s="25"/>
    </row>
    <row r="379" spans="11:11">
      <c r="K379" s="25"/>
    </row>
    <row r="380" spans="11:11">
      <c r="K380" s="25"/>
    </row>
    <row r="381" spans="11:11">
      <c r="K381" s="25"/>
    </row>
    <row r="382" spans="11:11">
      <c r="K382" s="25"/>
    </row>
    <row r="383" spans="11:11">
      <c r="K383" s="25"/>
    </row>
    <row r="384" spans="11:11">
      <c r="K384" s="25"/>
    </row>
    <row r="385" spans="11:11">
      <c r="K385" s="25"/>
    </row>
    <row r="386" spans="11:11">
      <c r="K386" s="25"/>
    </row>
    <row r="387" spans="11:11">
      <c r="K387" s="25"/>
    </row>
    <row r="388" spans="11:11">
      <c r="K388" s="25"/>
    </row>
    <row r="389" spans="11:11">
      <c r="K389" s="25"/>
    </row>
    <row r="390" spans="11:11">
      <c r="K390" s="25"/>
    </row>
    <row r="391" spans="11:11">
      <c r="K391" s="25"/>
    </row>
    <row r="392" spans="11:11">
      <c r="K392" s="25"/>
    </row>
    <row r="393" spans="11:11">
      <c r="K393" s="25"/>
    </row>
    <row r="394" spans="11:11">
      <c r="K394" s="25"/>
    </row>
    <row r="395" spans="11:11">
      <c r="K395" s="25"/>
    </row>
    <row r="396" spans="11:11">
      <c r="K396" s="25"/>
    </row>
    <row r="397" spans="11:11">
      <c r="K397" s="25"/>
    </row>
    <row r="398" spans="11:11">
      <c r="K398" s="25"/>
    </row>
    <row r="399" spans="11:11">
      <c r="K399" s="25"/>
    </row>
    <row r="400" spans="11:11">
      <c r="K400" s="25"/>
    </row>
    <row r="401" spans="11:11">
      <c r="K401" s="25"/>
    </row>
    <row r="402" spans="11:11">
      <c r="K402" s="25"/>
    </row>
    <row r="403" spans="11:11">
      <c r="K403" s="25"/>
    </row>
    <row r="404" spans="11:11">
      <c r="K404" s="25"/>
    </row>
    <row r="405" spans="11:11">
      <c r="K405" s="25"/>
    </row>
    <row r="406" spans="11:11">
      <c r="K406" s="25"/>
    </row>
    <row r="407" spans="11:11">
      <c r="K407" s="25"/>
    </row>
    <row r="408" spans="11:11">
      <c r="K408" s="25"/>
    </row>
    <row r="409" spans="11:11">
      <c r="K409" s="25"/>
    </row>
    <row r="410" spans="11:11">
      <c r="K410" s="25"/>
    </row>
    <row r="411" spans="11:11">
      <c r="K411" s="25"/>
    </row>
    <row r="412" spans="11:11">
      <c r="K412" s="25"/>
    </row>
    <row r="413" spans="11:11">
      <c r="K413" s="25"/>
    </row>
    <row r="414" spans="11:11">
      <c r="K414" s="25"/>
    </row>
    <row r="415" spans="11:11">
      <c r="K415" s="25"/>
    </row>
    <row r="416" spans="11:11">
      <c r="K416" s="25"/>
    </row>
    <row r="417" spans="11:11">
      <c r="K417" s="25"/>
    </row>
    <row r="418" spans="11:11">
      <c r="K418" s="25"/>
    </row>
    <row r="419" spans="11:11">
      <c r="K419" s="25"/>
    </row>
    <row r="420" spans="11:11">
      <c r="K420" s="25"/>
    </row>
    <row r="421" spans="11:11">
      <c r="K421" s="25"/>
    </row>
    <row r="422" spans="11:11">
      <c r="K422" s="25"/>
    </row>
    <row r="423" spans="11:11">
      <c r="K423" s="25"/>
    </row>
    <row r="424" spans="11:11">
      <c r="K424" s="25"/>
    </row>
    <row r="425" spans="11:11">
      <c r="K425" s="25"/>
    </row>
    <row r="426" spans="11:11">
      <c r="K426" s="25"/>
    </row>
    <row r="427" spans="11:11">
      <c r="K427" s="25"/>
    </row>
    <row r="428" spans="11:11">
      <c r="K428" s="25"/>
    </row>
    <row r="429" spans="11:11">
      <c r="K429" s="25"/>
    </row>
    <row r="430" spans="11:11">
      <c r="K430" s="25"/>
    </row>
    <row r="431" spans="11:11">
      <c r="K431" s="25"/>
    </row>
    <row r="432" spans="11:11">
      <c r="K432" s="25"/>
    </row>
    <row r="433" spans="11:11">
      <c r="K433" s="25"/>
    </row>
    <row r="434" spans="11:11">
      <c r="K434" s="25"/>
    </row>
    <row r="435" spans="11:11">
      <c r="K435" s="25"/>
    </row>
    <row r="436" spans="11:11">
      <c r="K436" s="25"/>
    </row>
    <row r="437" spans="11:11">
      <c r="K437" s="25"/>
    </row>
    <row r="438" spans="11:11">
      <c r="K438" s="25"/>
    </row>
    <row r="439" spans="11:11">
      <c r="K439" s="25"/>
    </row>
    <row r="440" spans="11:11">
      <c r="K440" s="25"/>
    </row>
    <row r="441" spans="11:11">
      <c r="K441" s="25"/>
    </row>
    <row r="442" spans="11:11">
      <c r="K442" s="25"/>
    </row>
    <row r="443" spans="11:11">
      <c r="K443" s="25"/>
    </row>
    <row r="444" spans="11:11">
      <c r="K444" s="25"/>
    </row>
    <row r="445" spans="11:11">
      <c r="K445" s="25"/>
    </row>
    <row r="446" spans="11:11">
      <c r="K446" s="25"/>
    </row>
    <row r="447" spans="11:11">
      <c r="K447" s="25"/>
    </row>
    <row r="448" spans="11:11">
      <c r="K448" s="25"/>
    </row>
    <row r="449" spans="11:11">
      <c r="K449" s="25"/>
    </row>
    <row r="450" spans="11:11">
      <c r="K450" s="25"/>
    </row>
    <row r="451" spans="11:11">
      <c r="K451" s="25"/>
    </row>
    <row r="452" spans="11:11">
      <c r="K452" s="25"/>
    </row>
    <row r="453" spans="11:11">
      <c r="K453" s="25"/>
    </row>
    <row r="454" spans="11:11">
      <c r="K454" s="25"/>
    </row>
    <row r="455" spans="11:11">
      <c r="K455" s="25"/>
    </row>
    <row r="456" spans="11:11">
      <c r="K456" s="25"/>
    </row>
    <row r="457" spans="11:11">
      <c r="K457" s="25"/>
    </row>
    <row r="458" spans="11:11">
      <c r="K458" s="25"/>
    </row>
    <row r="459" spans="11:11">
      <c r="K459" s="25"/>
    </row>
    <row r="460" spans="11:11">
      <c r="K460" s="25"/>
    </row>
    <row r="461" spans="11:11">
      <c r="K461" s="25"/>
    </row>
    <row r="462" spans="11:11">
      <c r="K462" s="25"/>
    </row>
    <row r="463" spans="11:11">
      <c r="K463" s="25"/>
    </row>
    <row r="464" spans="11:11">
      <c r="K464" s="25"/>
    </row>
    <row r="465" spans="11:11">
      <c r="K465" s="25"/>
    </row>
    <row r="466" spans="11:11">
      <c r="K466" s="25"/>
    </row>
    <row r="467" spans="11:11">
      <c r="K467" s="25"/>
    </row>
    <row r="468" spans="11:11">
      <c r="K468" s="25"/>
    </row>
    <row r="469" spans="11:11">
      <c r="K469" s="25"/>
    </row>
    <row r="470" spans="11:11">
      <c r="K470" s="25"/>
    </row>
    <row r="471" spans="11:11">
      <c r="K471" s="25"/>
    </row>
    <row r="472" spans="11:11">
      <c r="K472" s="25"/>
    </row>
    <row r="473" spans="11:11">
      <c r="K473" s="25"/>
    </row>
    <row r="474" spans="11:11">
      <c r="K474" s="25"/>
    </row>
    <row r="475" spans="11:11">
      <c r="K475" s="25"/>
    </row>
    <row r="476" spans="11:11">
      <c r="K476" s="25"/>
    </row>
    <row r="477" spans="11:11">
      <c r="K477" s="25"/>
    </row>
    <row r="478" spans="11:11">
      <c r="K478" s="25"/>
    </row>
    <row r="479" spans="11:11">
      <c r="K479" s="25"/>
    </row>
    <row r="480" spans="11:11">
      <c r="K480" s="25"/>
    </row>
    <row r="481" spans="11:11">
      <c r="K481" s="25"/>
    </row>
    <row r="482" spans="11:11">
      <c r="K482" s="25"/>
    </row>
    <row r="483" spans="11:11">
      <c r="K483" s="25"/>
    </row>
    <row r="484" spans="11:11">
      <c r="K484" s="25"/>
    </row>
    <row r="485" spans="11:11">
      <c r="K485" s="25"/>
    </row>
    <row r="486" spans="11:11">
      <c r="K486" s="25"/>
    </row>
    <row r="487" spans="11:11">
      <c r="K487" s="25"/>
    </row>
    <row r="488" spans="11:11">
      <c r="K488" s="25"/>
    </row>
    <row r="489" spans="11:11">
      <c r="K489" s="25"/>
    </row>
    <row r="490" spans="11:11">
      <c r="K490" s="25"/>
    </row>
    <row r="491" spans="11:11">
      <c r="K491" s="25"/>
    </row>
    <row r="492" spans="11:11">
      <c r="K492" s="25"/>
    </row>
    <row r="493" spans="11:11">
      <c r="K493" s="25"/>
    </row>
    <row r="494" spans="11:11">
      <c r="K494" s="25"/>
    </row>
    <row r="495" spans="11:11">
      <c r="K495" s="25"/>
    </row>
    <row r="496" spans="11:11">
      <c r="K496" s="25"/>
    </row>
    <row r="497" spans="11:11">
      <c r="K497" s="25"/>
    </row>
    <row r="498" spans="11:11">
      <c r="K498" s="25"/>
    </row>
    <row r="499" spans="11:11">
      <c r="K499" s="25"/>
    </row>
    <row r="500" spans="11:11">
      <c r="K500" s="25"/>
    </row>
    <row r="501" spans="11:11">
      <c r="K501" s="25"/>
    </row>
    <row r="502" spans="11:11">
      <c r="K502" s="25"/>
    </row>
    <row r="503" spans="11:11">
      <c r="K503" s="25"/>
    </row>
    <row r="504" spans="11:11">
      <c r="K504" s="25"/>
    </row>
    <row r="505" spans="11:11">
      <c r="K505" s="25"/>
    </row>
    <row r="506" spans="11:11">
      <c r="K506" s="25"/>
    </row>
    <row r="507" spans="11:11">
      <c r="K507" s="25"/>
    </row>
    <row r="508" spans="11:11">
      <c r="K508" s="25"/>
    </row>
    <row r="509" spans="11:11">
      <c r="K509" s="25"/>
    </row>
    <row r="510" spans="11:11">
      <c r="K510" s="25"/>
    </row>
    <row r="511" spans="11:11">
      <c r="K511" s="25"/>
    </row>
    <row r="512" spans="11:11">
      <c r="K512" s="25"/>
    </row>
    <row r="513" spans="11:11">
      <c r="K513" s="25"/>
    </row>
    <row r="514" spans="11:11">
      <c r="K514" s="25"/>
    </row>
    <row r="515" spans="11:11">
      <c r="K515" s="25"/>
    </row>
    <row r="516" spans="11:11">
      <c r="K516" s="25"/>
    </row>
    <row r="517" spans="11:11">
      <c r="K517" s="25"/>
    </row>
    <row r="518" spans="11:11">
      <c r="K518" s="25"/>
    </row>
    <row r="519" spans="11:11">
      <c r="K519" s="25"/>
    </row>
    <row r="520" spans="11:11">
      <c r="K520" s="25"/>
    </row>
    <row r="521" spans="11:11">
      <c r="K521" s="25"/>
    </row>
    <row r="522" spans="11:11">
      <c r="K522" s="25"/>
    </row>
    <row r="523" spans="11:11">
      <c r="K523" s="25"/>
    </row>
    <row r="524" spans="11:11">
      <c r="K524" s="25"/>
    </row>
    <row r="525" spans="11:11">
      <c r="K525" s="25"/>
    </row>
    <row r="526" spans="11:11">
      <c r="K526" s="25"/>
    </row>
    <row r="527" spans="11:11">
      <c r="K527" s="25"/>
    </row>
    <row r="528" spans="11:11">
      <c r="K528" s="25"/>
    </row>
    <row r="529" spans="11:11">
      <c r="K529" s="25"/>
    </row>
    <row r="530" spans="11:11">
      <c r="K530" s="25"/>
    </row>
    <row r="531" spans="11:11">
      <c r="K531" s="25"/>
    </row>
    <row r="532" spans="11:11">
      <c r="K532" s="25"/>
    </row>
    <row r="533" spans="11:11">
      <c r="K533" s="25"/>
    </row>
    <row r="534" spans="11:11">
      <c r="K534" s="25"/>
    </row>
    <row r="535" spans="11:11">
      <c r="K535" s="25"/>
    </row>
    <row r="536" spans="11:11">
      <c r="K536" s="25"/>
    </row>
    <row r="537" spans="11:11">
      <c r="K537" s="25"/>
    </row>
    <row r="538" spans="11:11">
      <c r="K538" s="25"/>
    </row>
    <row r="539" spans="11:11">
      <c r="K539" s="25"/>
    </row>
    <row r="540" spans="11:11">
      <c r="K540" s="25"/>
    </row>
    <row r="541" spans="11:11">
      <c r="K541" s="25"/>
    </row>
    <row r="542" spans="11:11">
      <c r="K542" s="25"/>
    </row>
    <row r="543" spans="11:11">
      <c r="K543" s="25"/>
    </row>
    <row r="544" spans="11:11">
      <c r="K544" s="25"/>
    </row>
    <row r="545" spans="11:11">
      <c r="K545" s="25"/>
    </row>
    <row r="546" spans="11:11">
      <c r="K546" s="25"/>
    </row>
    <row r="547" spans="11:11">
      <c r="K547" s="25"/>
    </row>
    <row r="548" spans="11:11">
      <c r="K548" s="25"/>
    </row>
    <row r="549" spans="11:11">
      <c r="K549" s="25"/>
    </row>
    <row r="550" spans="11:11">
      <c r="K550" s="25"/>
    </row>
    <row r="551" spans="11:11">
      <c r="K551" s="25"/>
    </row>
    <row r="552" spans="11:11">
      <c r="K552" s="25"/>
    </row>
    <row r="553" spans="11:11">
      <c r="K553" s="25"/>
    </row>
    <row r="554" spans="11:11">
      <c r="K554" s="25"/>
    </row>
    <row r="555" spans="11:11">
      <c r="K555" s="25"/>
    </row>
    <row r="556" spans="11:11">
      <c r="K556" s="25"/>
    </row>
    <row r="557" spans="11:11">
      <c r="K557" s="25"/>
    </row>
    <row r="558" spans="11:11">
      <c r="K558" s="25"/>
    </row>
    <row r="559" spans="11:11">
      <c r="K559" s="25"/>
    </row>
    <row r="560" spans="11:11">
      <c r="K560" s="25"/>
    </row>
    <row r="561" spans="11:11">
      <c r="K561" s="25"/>
    </row>
    <row r="562" spans="11:11">
      <c r="K562" s="25"/>
    </row>
    <row r="563" spans="11:11">
      <c r="K563" s="25"/>
    </row>
    <row r="564" spans="11:11">
      <c r="K564" s="25"/>
    </row>
    <row r="565" spans="11:11">
      <c r="K565" s="25"/>
    </row>
    <row r="566" spans="11:11">
      <c r="K566" s="25"/>
    </row>
    <row r="567" spans="11:11">
      <c r="K567" s="25"/>
    </row>
    <row r="568" spans="11:11">
      <c r="K568" s="25"/>
    </row>
    <row r="569" spans="11:11">
      <c r="K569" s="25"/>
    </row>
    <row r="570" spans="11:11">
      <c r="K570" s="25"/>
    </row>
    <row r="571" spans="11:11">
      <c r="K571" s="25"/>
    </row>
    <row r="572" spans="11:11">
      <c r="K572" s="25"/>
    </row>
    <row r="573" spans="11:11">
      <c r="K573" s="25"/>
    </row>
    <row r="574" spans="11:11">
      <c r="K574" s="25"/>
    </row>
    <row r="575" spans="11:11">
      <c r="K575" s="25"/>
    </row>
    <row r="576" spans="11:11">
      <c r="K576" s="25"/>
    </row>
    <row r="577" spans="11:11">
      <c r="K577" s="25"/>
    </row>
    <row r="578" spans="11:11">
      <c r="K578" s="25"/>
    </row>
    <row r="579" spans="11:11">
      <c r="K579" s="25"/>
    </row>
    <row r="580" spans="11:11">
      <c r="K580" s="25"/>
    </row>
    <row r="581" spans="11:11">
      <c r="K581" s="25"/>
    </row>
    <row r="582" spans="11:11">
      <c r="K582" s="25"/>
    </row>
    <row r="583" spans="11:11">
      <c r="K583" s="25"/>
    </row>
    <row r="584" spans="11:11">
      <c r="K584" s="25"/>
    </row>
    <row r="585" spans="11:11">
      <c r="K585" s="25"/>
    </row>
    <row r="586" spans="11:11">
      <c r="K586" s="25"/>
    </row>
    <row r="587" spans="11:11">
      <c r="K587" s="25"/>
    </row>
    <row r="588" spans="11:11">
      <c r="K588" s="25"/>
    </row>
    <row r="589" spans="11:11">
      <c r="K589" s="25"/>
    </row>
    <row r="590" spans="11:11">
      <c r="K590" s="25"/>
    </row>
    <row r="591" spans="11:11">
      <c r="K591" s="25"/>
    </row>
    <row r="592" spans="11:11">
      <c r="K592" s="25"/>
    </row>
    <row r="593" spans="11:11">
      <c r="K593" s="25"/>
    </row>
    <row r="594" spans="11:11">
      <c r="K594" s="25"/>
    </row>
    <row r="595" spans="11:11">
      <c r="K595" s="25"/>
    </row>
    <row r="596" spans="11:11">
      <c r="K596" s="25"/>
    </row>
    <row r="597" spans="11:11">
      <c r="K597" s="25"/>
    </row>
    <row r="598" spans="11:11">
      <c r="K598" s="25"/>
    </row>
    <row r="599" spans="11:11">
      <c r="K599" s="25"/>
    </row>
    <row r="600" spans="11:11">
      <c r="K600" s="25"/>
    </row>
    <row r="601" spans="11:11">
      <c r="K601" s="25"/>
    </row>
    <row r="602" spans="11:11">
      <c r="K602" s="25"/>
    </row>
    <row r="603" spans="11:11">
      <c r="K603" s="25"/>
    </row>
    <row r="604" spans="11:11">
      <c r="K604" s="25"/>
    </row>
    <row r="605" spans="11:11">
      <c r="K605" s="25"/>
    </row>
    <row r="606" spans="11:11">
      <c r="K606" s="25"/>
    </row>
    <row r="607" spans="11:11">
      <c r="K607" s="25"/>
    </row>
    <row r="608" spans="11:11">
      <c r="K608" s="25"/>
    </row>
    <row r="609" spans="11:11">
      <c r="K609" s="25"/>
    </row>
    <row r="610" spans="11:11">
      <c r="K610" s="25"/>
    </row>
    <row r="611" spans="11:11">
      <c r="K611" s="25"/>
    </row>
    <row r="612" spans="11:11">
      <c r="K612" s="25"/>
    </row>
    <row r="613" spans="11:11">
      <c r="K613" s="25"/>
    </row>
    <row r="614" spans="11:11">
      <c r="K614" s="25"/>
    </row>
    <row r="615" spans="11:11">
      <c r="K615" s="25"/>
    </row>
    <row r="616" spans="11:11">
      <c r="K616" s="25"/>
    </row>
    <row r="617" spans="11:11">
      <c r="K617" s="25"/>
    </row>
    <row r="618" spans="11:11">
      <c r="K618" s="25"/>
    </row>
    <row r="619" spans="11:11">
      <c r="K619" s="25"/>
    </row>
    <row r="620" spans="11:11">
      <c r="K620" s="25"/>
    </row>
    <row r="621" spans="11:11">
      <c r="K621" s="25"/>
    </row>
    <row r="622" spans="11:11">
      <c r="K622" s="25"/>
    </row>
    <row r="623" spans="11:11">
      <c r="K623" s="25"/>
    </row>
    <row r="624" spans="11:11">
      <c r="K624" s="25"/>
    </row>
    <row r="625" spans="11:11">
      <c r="K625" s="25"/>
    </row>
    <row r="626" spans="11:11">
      <c r="K626" s="25"/>
    </row>
    <row r="627" spans="11:11">
      <c r="K627" s="25"/>
    </row>
    <row r="628" spans="11:11">
      <c r="K628" s="25"/>
    </row>
    <row r="629" spans="11:11">
      <c r="K629" s="25"/>
    </row>
    <row r="630" spans="11:11">
      <c r="K630" s="25"/>
    </row>
    <row r="631" spans="11:11">
      <c r="K631" s="25"/>
    </row>
    <row r="632" spans="11:11">
      <c r="K632" s="25"/>
    </row>
    <row r="633" spans="11:11">
      <c r="K633" s="25"/>
    </row>
    <row r="634" spans="11:11">
      <c r="K634" s="25"/>
    </row>
    <row r="635" spans="11:11">
      <c r="K635" s="25"/>
    </row>
    <row r="636" spans="11:11">
      <c r="K636" s="25"/>
    </row>
    <row r="637" spans="11:11">
      <c r="K637" s="25"/>
    </row>
    <row r="638" spans="11:11">
      <c r="K638" s="25"/>
    </row>
    <row r="639" spans="11:11">
      <c r="K639" s="25"/>
    </row>
    <row r="640" spans="11:11">
      <c r="K640" s="25"/>
    </row>
    <row r="641" spans="11:11">
      <c r="K641" s="25"/>
    </row>
    <row r="642" spans="11:11">
      <c r="K642" s="25"/>
    </row>
    <row r="643" spans="11:11">
      <c r="K643" s="25"/>
    </row>
    <row r="644" spans="11:11">
      <c r="K644" s="25"/>
    </row>
    <row r="645" spans="11:11">
      <c r="K645" s="25"/>
    </row>
    <row r="646" spans="11:11">
      <c r="K646" s="25"/>
    </row>
    <row r="647" spans="11:11">
      <c r="K647" s="25"/>
    </row>
    <row r="648" spans="11:11">
      <c r="K648" s="25"/>
    </row>
    <row r="649" spans="11:11">
      <c r="K649" s="25"/>
    </row>
    <row r="650" spans="11:11">
      <c r="K650" s="25"/>
    </row>
    <row r="651" spans="11:11">
      <c r="K651" s="25"/>
    </row>
    <row r="652" spans="11:11">
      <c r="K652" s="25"/>
    </row>
    <row r="653" spans="11:11">
      <c r="K653" s="25"/>
    </row>
    <row r="654" spans="11:11">
      <c r="K654" s="25"/>
    </row>
    <row r="655" spans="11:11">
      <c r="K655" s="25"/>
    </row>
    <row r="656" spans="11:11">
      <c r="K656" s="25"/>
    </row>
    <row r="657" spans="11:11">
      <c r="K657" s="25"/>
    </row>
    <row r="658" spans="11:11">
      <c r="K658" s="25"/>
    </row>
    <row r="659" spans="11:11">
      <c r="K659" s="25"/>
    </row>
    <row r="660" spans="11:11">
      <c r="K660" s="25"/>
    </row>
    <row r="661" spans="11:11">
      <c r="K661" s="25"/>
    </row>
    <row r="662" spans="11:11">
      <c r="K662" s="25"/>
    </row>
    <row r="663" spans="11:11">
      <c r="K663" s="25"/>
    </row>
    <row r="664" spans="11:11">
      <c r="K664" s="25"/>
    </row>
    <row r="665" spans="11:11">
      <c r="K665" s="25"/>
    </row>
    <row r="666" spans="11:11">
      <c r="K666" s="25"/>
    </row>
    <row r="667" spans="11:11">
      <c r="K667" s="25"/>
    </row>
    <row r="668" spans="11:11">
      <c r="K668" s="25"/>
    </row>
    <row r="669" spans="11:11">
      <c r="K669" s="25"/>
    </row>
    <row r="670" spans="11:11">
      <c r="K670" s="25"/>
    </row>
    <row r="671" spans="11:11">
      <c r="K671" s="25"/>
    </row>
    <row r="672" spans="11:11">
      <c r="K672" s="25"/>
    </row>
    <row r="673" spans="11:11">
      <c r="K673" s="25"/>
    </row>
    <row r="674" spans="11:11">
      <c r="K674" s="25"/>
    </row>
    <row r="675" spans="11:11">
      <c r="K675" s="25"/>
    </row>
    <row r="676" spans="11:11">
      <c r="K676" s="25"/>
    </row>
    <row r="677" spans="11:11">
      <c r="K677" s="25"/>
    </row>
    <row r="678" spans="11:11">
      <c r="K678" s="25"/>
    </row>
    <row r="679" spans="11:11">
      <c r="K679" s="25"/>
    </row>
    <row r="680" spans="11:11">
      <c r="K680" s="25"/>
    </row>
    <row r="681" spans="11:11">
      <c r="K681" s="25"/>
    </row>
    <row r="682" spans="11:11">
      <c r="K682" s="25"/>
    </row>
    <row r="683" spans="11:11">
      <c r="K683" s="25"/>
    </row>
    <row r="684" spans="11:11">
      <c r="K684" s="25"/>
    </row>
    <row r="685" spans="11:11">
      <c r="K685" s="25"/>
    </row>
    <row r="686" spans="11:11">
      <c r="K686" s="25"/>
    </row>
    <row r="687" spans="11:11">
      <c r="K687" s="25"/>
    </row>
    <row r="688" spans="11:11">
      <c r="K688" s="25"/>
    </row>
    <row r="689" spans="11:11">
      <c r="K689" s="25"/>
    </row>
    <row r="690" spans="11:11">
      <c r="K690" s="25"/>
    </row>
    <row r="691" spans="11:11">
      <c r="K691" s="25"/>
    </row>
    <row r="692" spans="11:11">
      <c r="K692" s="25"/>
    </row>
    <row r="693" spans="11:11">
      <c r="K693" s="25"/>
    </row>
    <row r="694" spans="11:11">
      <c r="K694" s="25"/>
    </row>
    <row r="695" spans="11:11">
      <c r="K695" s="25"/>
    </row>
    <row r="696" spans="11:11">
      <c r="K696" s="25"/>
    </row>
    <row r="697" spans="11:11">
      <c r="K697" s="25"/>
    </row>
    <row r="698" spans="11:11">
      <c r="K698" s="25"/>
    </row>
    <row r="699" spans="11:11">
      <c r="K699" s="25"/>
    </row>
    <row r="700" spans="11:11">
      <c r="K700" s="25"/>
    </row>
  </sheetData>
  <autoFilter ref="A3:L314" xr:uid="{00000000-0001-0000-0900-000000000000}"/>
  <phoneticPr fontId="19" type="noConversion"/>
  <pageMargins left="0.7" right="0.7" top="0.75" bottom="0.75" header="0.3" footer="0.3"/>
  <pageSetup paperSize="9" scale="46" fitToHeight="0" orientation="portrait" r:id="rId1"/>
  <headerFooter>
    <oddHeader>&amp;RSX-QLDA/QT02.01/BM08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90DA4-6C25-4821-B3CB-4CF6DF948D1D}">
  <sheetPr codeName="Sheet8">
    <tabColor rgb="FFFF0000"/>
    <outlinePr summaryBelow="0"/>
  </sheetPr>
  <dimension ref="A1:AR153"/>
  <sheetViews>
    <sheetView view="pageBreakPreview" zoomScaleNormal="40" zoomScaleSheetLayoutView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J17" sqref="J17"/>
    </sheetView>
  </sheetViews>
  <sheetFormatPr baseColWidth="10" defaultColWidth="9" defaultRowHeight="16" outlineLevelRow="2" outlineLevelCol="2"/>
  <cols>
    <col min="1" max="1" width="5.83203125" style="158" customWidth="1" outlineLevel="1"/>
    <col min="2" max="4" width="9.83203125" style="158" customWidth="1" outlineLevel="1"/>
    <col min="5" max="5" width="13.5" style="158" customWidth="1" outlineLevel="1"/>
    <col min="6" max="7" width="13.5" style="238" customWidth="1" outlineLevel="2"/>
    <col min="8" max="8" width="14" style="238" customWidth="1" outlineLevel="2"/>
    <col min="9" max="9" width="13.5" style="238" customWidth="1" outlineLevel="2"/>
    <col min="10" max="10" width="13.5" style="238" customWidth="1" outlineLevel="2" collapsed="1"/>
    <col min="11" max="12" width="13.5" style="238" customWidth="1" outlineLevel="2"/>
    <col min="13" max="13" width="13.5" style="238" customWidth="1" outlineLevel="2" collapsed="1"/>
    <col min="14" max="27" width="13.5" style="238" customWidth="1" outlineLevel="2"/>
    <col min="28" max="28" width="39.33203125" style="158" customWidth="1" outlineLevel="1"/>
    <col min="29" max="29" width="10.1640625" style="158" customWidth="1"/>
    <col min="30" max="30" width="10.83203125" style="158" hidden="1" customWidth="1" outlineLevel="1"/>
    <col min="31" max="31" width="9.33203125" style="158" hidden="1" customWidth="1" outlineLevel="1"/>
    <col min="32" max="32" width="48.6640625" style="158" customWidth="1" collapsed="1"/>
    <col min="33" max="33" width="17.6640625" style="158" customWidth="1"/>
    <col min="34" max="34" width="9.1640625" style="158" bestFit="1" customWidth="1"/>
    <col min="35" max="35" width="14.83203125" style="158" customWidth="1"/>
    <col min="36" max="36" width="21.6640625" style="158" hidden="1" customWidth="1" outlineLevel="1"/>
    <col min="37" max="37" width="10.83203125" style="158" customWidth="1" collapsed="1"/>
    <col min="38" max="38" width="10.83203125" style="158" customWidth="1"/>
    <col min="39" max="40" width="10.83203125" customWidth="1"/>
    <col min="41" max="41" width="18.5" hidden="1" customWidth="1" outlineLevel="1"/>
    <col min="42" max="42" width="12.83203125" customWidth="1" collapsed="1"/>
    <col min="43" max="43" width="14.83203125" hidden="1" customWidth="1" outlineLevel="1"/>
    <col min="44" max="44" width="9" collapsed="1"/>
  </cols>
  <sheetData>
    <row r="1" spans="1:43" ht="26">
      <c r="A1" s="148" t="s">
        <v>51</v>
      </c>
      <c r="B1" s="149"/>
      <c r="C1" s="149"/>
      <c r="D1" s="142"/>
      <c r="E1" s="142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  <c r="W1" s="236"/>
      <c r="X1" s="236"/>
      <c r="Y1" s="236"/>
      <c r="Z1" s="236"/>
      <c r="AA1" s="236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</row>
    <row r="2" spans="1:43" ht="15">
      <c r="A2" s="140" t="s">
        <v>168</v>
      </c>
      <c r="B2" s="149"/>
      <c r="C2" s="149"/>
      <c r="D2" s="142"/>
      <c r="E2" s="142"/>
      <c r="F2" s="236"/>
      <c r="G2" s="236"/>
      <c r="H2" s="236"/>
      <c r="I2" s="236"/>
      <c r="J2" s="236"/>
      <c r="K2" s="236"/>
      <c r="L2" s="236"/>
      <c r="M2" s="236"/>
      <c r="N2" s="236"/>
      <c r="O2" s="236"/>
      <c r="P2" s="236"/>
      <c r="Q2" s="236"/>
      <c r="R2" s="236"/>
      <c r="S2" s="236"/>
      <c r="T2" s="236"/>
      <c r="U2" s="236"/>
      <c r="V2" s="236"/>
      <c r="W2" s="236"/>
      <c r="X2" s="236"/>
      <c r="Y2" s="236"/>
      <c r="Z2" s="236"/>
      <c r="AA2" s="236"/>
      <c r="AB2" s="140"/>
      <c r="AC2" s="141"/>
      <c r="AD2" s="142"/>
      <c r="AE2" s="143"/>
      <c r="AF2" s="141"/>
      <c r="AG2" s="141"/>
      <c r="AH2" s="141"/>
      <c r="AI2" s="141"/>
      <c r="AJ2" s="144" t="s">
        <v>97</v>
      </c>
      <c r="AK2" s="144"/>
      <c r="AL2" s="144"/>
    </row>
    <row r="3" spans="1:43" ht="15">
      <c r="A3" s="140" t="s">
        <v>102</v>
      </c>
      <c r="B3" s="149"/>
      <c r="C3" s="149"/>
      <c r="D3" s="142"/>
      <c r="E3" s="142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140"/>
      <c r="AC3" s="152"/>
      <c r="AD3" s="142"/>
      <c r="AE3" s="150"/>
      <c r="AF3" s="151"/>
      <c r="AG3" s="151"/>
      <c r="AH3" s="153"/>
      <c r="AI3" s="153"/>
      <c r="AJ3" s="153"/>
      <c r="AK3" s="154"/>
      <c r="AL3" s="154"/>
    </row>
    <row r="4" spans="1:43" ht="34">
      <c r="A4" s="155"/>
      <c r="B4" s="156" t="s">
        <v>3</v>
      </c>
      <c r="C4" s="156" t="s">
        <v>30</v>
      </c>
      <c r="D4" s="156" t="s">
        <v>112</v>
      </c>
      <c r="E4" s="156" t="s">
        <v>142</v>
      </c>
      <c r="F4" s="235" t="s">
        <v>104</v>
      </c>
      <c r="G4" s="235" t="s">
        <v>120</v>
      </c>
      <c r="H4" s="235" t="s">
        <v>105</v>
      </c>
      <c r="I4" s="235" t="s">
        <v>508</v>
      </c>
      <c r="J4" s="235" t="s">
        <v>106</v>
      </c>
      <c r="K4" s="235" t="s">
        <v>107</v>
      </c>
      <c r="L4" s="235" t="s">
        <v>108</v>
      </c>
      <c r="M4" s="235" t="s">
        <v>109</v>
      </c>
      <c r="N4" s="235" t="s">
        <v>328</v>
      </c>
      <c r="O4" s="235" t="s">
        <v>329</v>
      </c>
      <c r="P4" s="235" t="s">
        <v>330</v>
      </c>
      <c r="Q4" s="235" t="s">
        <v>110</v>
      </c>
      <c r="R4" s="235" t="s">
        <v>111</v>
      </c>
      <c r="S4" s="235" t="s">
        <v>314</v>
      </c>
      <c r="T4" s="235" t="s">
        <v>317</v>
      </c>
      <c r="U4" s="235" t="s">
        <v>488</v>
      </c>
      <c r="V4" s="235" t="s">
        <v>489</v>
      </c>
      <c r="W4" s="235" t="s">
        <v>490</v>
      </c>
      <c r="X4" s="235" t="s">
        <v>491</v>
      </c>
      <c r="Y4" s="235" t="s">
        <v>492</v>
      </c>
      <c r="Z4" s="235" t="s">
        <v>426</v>
      </c>
      <c r="AA4" s="235" t="s">
        <v>579</v>
      </c>
      <c r="AB4" s="156" t="s">
        <v>113</v>
      </c>
      <c r="AC4" s="156"/>
      <c r="AD4" s="156" t="s">
        <v>164</v>
      </c>
      <c r="AE4" s="157" t="s">
        <v>114</v>
      </c>
      <c r="AF4" s="157"/>
      <c r="AG4" s="157"/>
      <c r="AH4" s="157" t="s">
        <v>160</v>
      </c>
      <c r="AI4" s="157"/>
      <c r="AJ4" s="157"/>
      <c r="AK4" s="193" t="s">
        <v>131</v>
      </c>
      <c r="AL4" s="193"/>
      <c r="AM4" s="193"/>
      <c r="AN4" s="200" t="s">
        <v>140</v>
      </c>
      <c r="AO4" s="200"/>
      <c r="AP4" s="206" t="s">
        <v>141</v>
      </c>
      <c r="AQ4" s="207"/>
    </row>
    <row r="5" spans="1:43" ht="51">
      <c r="A5" s="159"/>
      <c r="B5" s="160"/>
      <c r="C5" s="160"/>
      <c r="D5" s="160"/>
      <c r="E5" s="160"/>
      <c r="F5" s="244" t="str">
        <f>VLOOKUP(F4,DM_CKDH!$B$4:$D$19,2,FALSE)</f>
        <v>Đài_PCL</v>
      </c>
      <c r="G5" s="244" t="str">
        <f>VLOOKUP(G4,DM_CKDH!$B$4:$D$19,2,FALSE)</f>
        <v>Đài đơn còn lại - Khu lõi</v>
      </c>
      <c r="H5" s="244" t="str">
        <f>VLOOKUP(H4,DM_CKDH!$B$4:$D$19,2,FALSE)</f>
        <v>giằng, sàn, rãnh nước nền hầm - Khu lõi</v>
      </c>
      <c r="I5" s="244" t="str">
        <f>VLOOKUP(I4,DM_CKDH!$B$4:$D$19,2,FALSE)</f>
        <v>Hố bơm, bể phốt</v>
      </c>
      <c r="J5" s="244" t="str">
        <f>VLOOKUP(J4,DM_CKDH!$B$4:$D$19,2,FALSE)</f>
        <v>Tường bao tầng hầm - Khu lõi</v>
      </c>
      <c r="K5" s="244" t="str">
        <f>VLOOKUP(K4,DM_CKDH!$B$4:$D$19,2,FALSE)</f>
        <v>Cột Tầng B1- Khu lõi</v>
      </c>
      <c r="L5" s="244" t="str">
        <f>VLOOKUP(L4,DM_CKDH!$B$4:$D$19,2,FALSE)</f>
        <v>Vách Tầng B1(Loại L, V) - Khu lõi</v>
      </c>
      <c r="M5" s="244" t="str">
        <f>VLOOKUP(M4,DM_CKDH!$B$4:$D$19,2,FALSE)</f>
        <v>Dầm sàn tầng 1 (zone1) - Khu lõi</v>
      </c>
      <c r="N5" s="244" t="str">
        <f>VLOOKUP(N4,DM_CKDH!$B$4:$D$19,2,FALSE)</f>
        <v>Dầm sàn tầng 1 (zone2) - Khu lõi</v>
      </c>
      <c r="O5" s="244" t="str">
        <f>VLOOKUP(O4,DM_CKDH!$B$4:$D$19,2,FALSE)</f>
        <v>Dầm sàn tầng 1 (zone3) - Khu lõi</v>
      </c>
      <c r="P5" s="244" t="str">
        <f>VLOOKUP(P4,DM_CKDH!$B$4:$D$19,2,FALSE)</f>
        <v>Dầm sàn tầng 1 (zone4) - Khu lõi</v>
      </c>
      <c r="Q5" s="244" t="str">
        <f>VLOOKUP(Q4,DM_CKDH!$B$4:$D$19,2,FALSE)</f>
        <v>Thang bộ Tầng B1 lên T1</v>
      </c>
      <c r="R5" s="244" t="str">
        <f>VLOOKUP(R4,DM_CKDH!$B$4:$D$19,2,FALSE)</f>
        <v>Đường dốc tầng B1 lên T1</v>
      </c>
      <c r="S5" s="244" t="str">
        <f>VLOOKUP(S4,DM_CKDH!$B$4:$D$19,2,FALSE)</f>
        <v>Bể Dầu, XL</v>
      </c>
      <c r="T5" s="244" t="str">
        <f>VLOOKUP(T4,DM_CKDH!$B$4:$D$42,2,FALSE)</f>
        <v>Bể PCCC &amp; SH</v>
      </c>
      <c r="U5" s="244" t="str">
        <f>VLOOKUP(U4,DM_CKDH!$B$4:$D$42,2,FALSE)</f>
        <v>Đài - Khu biên</v>
      </c>
      <c r="V5" s="244" t="str">
        <f>VLOOKUP(V4,DM_CKDH!$B$4:$D$42,2,FALSE)</f>
        <v>giằng, sàn - Khu biên</v>
      </c>
      <c r="W5" s="244" t="str">
        <f>VLOOKUP(W4,DM_CKDH!$B$4:$D$42,2,FALSE)</f>
        <v>Tường bao tầng hầm - Khu biên</v>
      </c>
      <c r="X5" s="244" t="str">
        <f>VLOOKUP(X4,DM_CKDH!$B$4:$D$42,2,FALSE)</f>
        <v>Cột Tầng B1 - Khu biên</v>
      </c>
      <c r="Y5" s="244" t="str">
        <f>VLOOKUP(Y4,DM_CKDH!$B$4:$D$51,2,FALSE)</f>
        <v>Dầm sàn tầng 1- Khu biên</v>
      </c>
      <c r="Z5" s="244" t="str">
        <f>VLOOKUP(Z4,DM_CKDH!$B$4:$D$51,2,FALSE)</f>
        <v>Biện Pháp khác</v>
      </c>
      <c r="AA5" s="244" t="e">
        <f>VLOOKUP(AA4,DM_CKDH!$B$4:$D$51,2,FALSE)</f>
        <v>#N/A</v>
      </c>
      <c r="AB5" s="160"/>
      <c r="AC5" s="160" t="s">
        <v>27</v>
      </c>
      <c r="AD5" s="160"/>
      <c r="AE5" s="160" t="s">
        <v>0</v>
      </c>
      <c r="AF5" s="160" t="s">
        <v>46</v>
      </c>
      <c r="AG5" s="160" t="s">
        <v>9</v>
      </c>
      <c r="AH5" s="160" t="s">
        <v>115</v>
      </c>
      <c r="AI5" s="160" t="s">
        <v>116</v>
      </c>
      <c r="AJ5" s="160" t="s">
        <v>117</v>
      </c>
      <c r="AK5" s="201" t="s">
        <v>132</v>
      </c>
      <c r="AL5" s="204" t="s">
        <v>133</v>
      </c>
      <c r="AM5" s="194" t="s">
        <v>134</v>
      </c>
      <c r="AN5" s="203" t="s">
        <v>161</v>
      </c>
      <c r="AO5" s="203" t="s">
        <v>162</v>
      </c>
      <c r="AP5" s="204" t="s">
        <v>161</v>
      </c>
      <c r="AQ5" s="204" t="s">
        <v>162</v>
      </c>
    </row>
    <row r="6" spans="1:43">
      <c r="A6" s="155"/>
      <c r="B6" s="156" t="str">
        <f>"["&amp;COLUMN()-COUNTBLANK($A$6:A6)&amp;"]"</f>
        <v>[1]</v>
      </c>
      <c r="C6" s="156" t="str">
        <f>"["&amp;COLUMN()-COUNTBLANK($A$6:B6)&amp;"]"</f>
        <v>[2]</v>
      </c>
      <c r="D6" s="156" t="str">
        <f>"["&amp;COLUMN()-COUNTBLANK($A$6:C6)&amp;"]"</f>
        <v>[3]</v>
      </c>
      <c r="E6" s="156" t="str">
        <f>"["&amp;COLUMN()-COUNTBLANK($A$6:D6)&amp;"]"</f>
        <v>[4]</v>
      </c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156" t="str">
        <f>"["&amp;COLUMN()-COUNTBLANK($A$6:D6)&amp;"]"</f>
        <v>[27]</v>
      </c>
      <c r="AC6" s="156" t="str">
        <f>"["&amp;COLUMN()-COUNTBLANK($A$6:E6)&amp;"]"</f>
        <v>[28]</v>
      </c>
      <c r="AD6" s="156" t="str">
        <f>"["&amp;COLUMN()-COUNTBLANK($A$6:AB6)&amp;"]"</f>
        <v>[7]</v>
      </c>
      <c r="AE6" s="156" t="str">
        <f>"["&amp;COLUMN()-COUNTBLANK($A$6:AC6)&amp;"]"</f>
        <v>[8]</v>
      </c>
      <c r="AF6" s="156" t="str">
        <f>"["&amp;COLUMN()-COUNTBLANK($A$6:AE6)&amp;"]"</f>
        <v>[9]</v>
      </c>
      <c r="AG6" s="156" t="str">
        <f>"["&amp;COLUMN()-COUNTBLANK($A$6:AF6)&amp;"]"</f>
        <v>[10]</v>
      </c>
      <c r="AH6" s="156" t="str">
        <f>"["&amp;COLUMN()-COUNTBLANK($A$6:AF6)&amp;"]"</f>
        <v>[11]</v>
      </c>
      <c r="AI6" s="156" t="str">
        <f>"["&amp;COLUMN()-COUNTBLANK($A$6:AH6)&amp;"]"</f>
        <v>[12]</v>
      </c>
      <c r="AJ6" s="156" t="str">
        <f>"["&amp;COLUMN()-COUNTBLANK($A$6:AI6)&amp;"]"</f>
        <v>[13]</v>
      </c>
      <c r="AK6" s="164" t="str">
        <f>"["&amp;COLUMN()-COUNTBLANK($A$6:AJ6)&amp;"]"</f>
        <v>[14]</v>
      </c>
      <c r="AL6" s="205" t="str">
        <f>"["&amp;COLUMN()-COUNTBLANK($A$6:AK6)&amp;"]"</f>
        <v>[15]</v>
      </c>
      <c r="AM6" s="195" t="str">
        <f>"["&amp;COLUMN()-COUNTBLANK($A$6:AL6)&amp;"]"</f>
        <v>[16]</v>
      </c>
      <c r="AN6" s="164" t="str">
        <f>"["&amp;COLUMN()-COUNTBLANK($A$6:AM6)&amp;"]"</f>
        <v>[17]</v>
      </c>
      <c r="AO6" s="164" t="str">
        <f>"["&amp;COLUMN()-COUNTBLANK($A$6:AN6)&amp;"]"</f>
        <v>[18]</v>
      </c>
      <c r="AP6" s="205" t="str">
        <f>"["&amp;COLUMN()-COUNTBLANK($A$6:AO6)&amp;"]"</f>
        <v>[19]</v>
      </c>
      <c r="AQ6" s="205" t="str">
        <f>"["&amp;COLUMN()-COUNTBLANK($A$6:AP6)&amp;"]"</f>
        <v>[20]</v>
      </c>
    </row>
    <row r="7" spans="1:43" ht="20">
      <c r="A7" s="161"/>
      <c r="B7" s="161"/>
      <c r="C7" s="161"/>
      <c r="D7" s="161"/>
      <c r="E7" s="161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161"/>
      <c r="AC7" s="161"/>
      <c r="AD7" s="161"/>
      <c r="AE7" s="161"/>
      <c r="AF7" s="173" t="s">
        <v>169</v>
      </c>
      <c r="AG7" s="173"/>
      <c r="AH7" s="161"/>
      <c r="AI7" s="161"/>
      <c r="AJ7" s="162">
        <f>SUBTOTAL(9,AJ8:AJ124)</f>
        <v>61172839505.555557</v>
      </c>
      <c r="AK7" s="202"/>
      <c r="AL7" s="162"/>
      <c r="AM7" s="196"/>
      <c r="AN7" s="202"/>
      <c r="AO7" s="202"/>
      <c r="AP7" s="162"/>
      <c r="AQ7" s="162"/>
    </row>
    <row r="8" spans="1:43" outlineLevel="1">
      <c r="A8" s="163"/>
      <c r="B8" s="164"/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164"/>
      <c r="AE8" s="223" t="s">
        <v>4</v>
      </c>
      <c r="AF8" s="164" t="s">
        <v>216</v>
      </c>
      <c r="AG8" s="164"/>
      <c r="AH8" s="164"/>
      <c r="AI8" s="164"/>
      <c r="AJ8" s="165" t="e">
        <f>SUBTOTAL(9,#REF!)</f>
        <v>#REF!</v>
      </c>
      <c r="AK8" s="165"/>
      <c r="AL8" s="165"/>
      <c r="AM8" s="165"/>
      <c r="AN8" s="165"/>
      <c r="AO8" s="165" t="e">
        <f>SUBTOTAL(9,#REF!)</f>
        <v>#REF!</v>
      </c>
      <c r="AP8" s="165" t="e">
        <f>SUBTOTAL(9,#REF!)</f>
        <v>#REF!</v>
      </c>
      <c r="AQ8" s="165" t="e">
        <f>SUBTOTAL(9,#REF!)</f>
        <v>#REF!</v>
      </c>
    </row>
    <row r="9" spans="1:43" s="242" customFormat="1" ht="34" outlineLevel="2">
      <c r="A9" s="239"/>
      <c r="B9" s="239" t="str">
        <f>'B-1. THKL THEO ID'!B7</f>
        <v>ID-001</v>
      </c>
      <c r="C9" s="239"/>
      <c r="D9" s="239" t="str">
        <f>"BOQ-"&amp; TEXT(COUNTA(D6:D8),"000")</f>
        <v>BOQ-001</v>
      </c>
      <c r="E9" s="242" t="s">
        <v>129</v>
      </c>
      <c r="F9" s="319" t="s">
        <v>333</v>
      </c>
      <c r="G9" s="319" t="s">
        <v>333</v>
      </c>
      <c r="H9" s="317" t="s">
        <v>333</v>
      </c>
      <c r="I9" s="317" t="s">
        <v>333</v>
      </c>
      <c r="J9" s="317"/>
      <c r="K9" s="317"/>
      <c r="L9" s="317"/>
      <c r="M9" s="317"/>
      <c r="N9" s="317"/>
      <c r="O9" s="317"/>
      <c r="P9" s="317"/>
      <c r="Q9" s="317"/>
      <c r="R9" s="317"/>
      <c r="S9" s="317" t="s">
        <v>333</v>
      </c>
      <c r="T9" s="317" t="s">
        <v>333</v>
      </c>
      <c r="U9" s="317" t="s">
        <v>333</v>
      </c>
      <c r="V9" s="317" t="s">
        <v>333</v>
      </c>
      <c r="W9" s="317"/>
      <c r="X9" s="317"/>
      <c r="Y9" s="317"/>
      <c r="Z9" s="317"/>
      <c r="AA9" s="317" t="s">
        <v>333</v>
      </c>
      <c r="AB9" s="239" t="s">
        <v>127</v>
      </c>
      <c r="AC9" s="168" t="s">
        <v>213</v>
      </c>
      <c r="AD9" s="166"/>
      <c r="AE9" s="170">
        <v>1</v>
      </c>
      <c r="AF9" s="172" t="s">
        <v>170</v>
      </c>
      <c r="AG9" s="172"/>
      <c r="AH9" s="224">
        <v>426.64339999999999</v>
      </c>
      <c r="AI9" s="169">
        <v>4200000</v>
      </c>
      <c r="AJ9" s="169">
        <f t="shared" ref="AJ9:AJ88" si="0">AI9*AH9</f>
        <v>1791902280</v>
      </c>
      <c r="AK9" s="224">
        <v>426.64339999999999</v>
      </c>
      <c r="AL9" s="169"/>
      <c r="AM9" s="169" t="e">
        <f>SUMIFS('B3. THKL THEO CKHD'!K:K,'B3. THKL THEO CKHD'!C:C,'SCAN BOQ'!B9)</f>
        <v>#N/A</v>
      </c>
      <c r="AN9" s="169" t="e">
        <f>+AM9-AK9</f>
        <v>#N/A</v>
      </c>
      <c r="AO9" s="169" t="e">
        <f>AN9*AI9</f>
        <v>#N/A</v>
      </c>
      <c r="AP9" s="169" t="e">
        <f>AM9-AL9</f>
        <v>#N/A</v>
      </c>
      <c r="AQ9" s="169" t="e">
        <f>AP9*AI9</f>
        <v>#N/A</v>
      </c>
    </row>
    <row r="10" spans="1:43" s="242" customFormat="1" ht="17" outlineLevel="2">
      <c r="A10" s="239"/>
      <c r="B10" s="239" t="str">
        <f>'B-1. THKL THEO ID'!B8</f>
        <v>ID-001A</v>
      </c>
      <c r="C10" s="239" t="str">
        <f>'B-1. THKL THEO ID'!C8</f>
        <v>CBS</v>
      </c>
      <c r="D10" s="239"/>
      <c r="E10" s="242" t="s">
        <v>129</v>
      </c>
      <c r="F10" s="317" t="s">
        <v>333</v>
      </c>
      <c r="G10" s="317" t="s">
        <v>333</v>
      </c>
      <c r="H10" s="317" t="s">
        <v>333</v>
      </c>
      <c r="I10" s="317" t="s">
        <v>333</v>
      </c>
      <c r="J10" s="317"/>
      <c r="K10" s="317"/>
      <c r="L10" s="317"/>
      <c r="M10" s="317"/>
      <c r="N10" s="317"/>
      <c r="O10" s="317"/>
      <c r="P10" s="317"/>
      <c r="Q10" s="317"/>
      <c r="R10" s="317"/>
      <c r="S10" s="317" t="s">
        <v>333</v>
      </c>
      <c r="T10" s="317" t="s">
        <v>333</v>
      </c>
      <c r="U10" s="317" t="s">
        <v>333</v>
      </c>
      <c r="V10" s="317" t="s">
        <v>333</v>
      </c>
      <c r="W10" s="317"/>
      <c r="X10" s="317"/>
      <c r="Y10" s="317"/>
      <c r="Z10" s="317"/>
      <c r="AA10" s="317" t="s">
        <v>333</v>
      </c>
      <c r="AB10" s="239" t="s">
        <v>276</v>
      </c>
      <c r="AC10" s="168" t="s">
        <v>13</v>
      </c>
      <c r="AD10" s="166"/>
      <c r="AE10" s="170"/>
      <c r="AF10" s="172"/>
      <c r="AG10" s="172"/>
      <c r="AH10" s="224"/>
      <c r="AI10" s="169"/>
      <c r="AJ10" s="169"/>
      <c r="AK10" s="224"/>
      <c r="AL10" s="169"/>
      <c r="AM10" s="169" t="e">
        <f>SUMIFS('B3. THKL THEO CKHD'!K:K,'B3. THKL THEO CKHD'!C:C,'SCAN BOQ'!B10)</f>
        <v>#N/A</v>
      </c>
      <c r="AN10" s="169" t="e">
        <f t="shared" ref="AN10:AN73" si="1">+AM10-AK10</f>
        <v>#N/A</v>
      </c>
      <c r="AO10" s="169" t="e">
        <f t="shared" ref="AO10:AO73" si="2">AN10*AI10</f>
        <v>#N/A</v>
      </c>
      <c r="AP10" s="169" t="e">
        <f t="shared" ref="AP10:AP73" si="3">AM10-AL10</f>
        <v>#N/A</v>
      </c>
      <c r="AQ10" s="169"/>
    </row>
    <row r="11" spans="1:43" s="242" customFormat="1" ht="34" outlineLevel="2">
      <c r="A11" s="239"/>
      <c r="B11" s="239" t="str">
        <f>'B-1. THKL THEO ID'!B9</f>
        <v>ID-002</v>
      </c>
      <c r="C11" s="239"/>
      <c r="D11" s="239" t="str">
        <f>"BOQ-"&amp; TEXT(COUNTA($D$6:D9),"000")</f>
        <v>BOQ-002</v>
      </c>
      <c r="E11" s="242" t="s">
        <v>129</v>
      </c>
      <c r="F11" s="317" t="s">
        <v>333</v>
      </c>
      <c r="G11" s="317" t="s">
        <v>333</v>
      </c>
      <c r="H11" s="317" t="s">
        <v>333</v>
      </c>
      <c r="I11" s="317" t="s">
        <v>333</v>
      </c>
      <c r="J11" s="317"/>
      <c r="K11" s="317"/>
      <c r="L11" s="317"/>
      <c r="M11" s="317"/>
      <c r="N11" s="317"/>
      <c r="O11" s="317"/>
      <c r="P11" s="317"/>
      <c r="Q11" s="317"/>
      <c r="R11" s="317"/>
      <c r="S11" s="317" t="s">
        <v>333</v>
      </c>
      <c r="T11" s="317" t="s">
        <v>333</v>
      </c>
      <c r="U11" s="317" t="s">
        <v>333</v>
      </c>
      <c r="V11" s="317" t="s">
        <v>333</v>
      </c>
      <c r="W11" s="317"/>
      <c r="X11" s="317"/>
      <c r="Y11" s="317"/>
      <c r="Z11" s="317"/>
      <c r="AA11" s="317" t="s">
        <v>333</v>
      </c>
      <c r="AB11" s="239" t="s">
        <v>237</v>
      </c>
      <c r="AC11" s="168" t="s">
        <v>213</v>
      </c>
      <c r="AD11" s="166"/>
      <c r="AE11" s="170">
        <v>2</v>
      </c>
      <c r="AF11" s="172" t="s">
        <v>171</v>
      </c>
      <c r="AG11" s="172" t="s">
        <v>278</v>
      </c>
      <c r="AH11" s="224">
        <v>42.664299999999997</v>
      </c>
      <c r="AI11" s="169">
        <v>5400000</v>
      </c>
      <c r="AJ11" s="169">
        <f t="shared" si="0"/>
        <v>230387219.99999997</v>
      </c>
      <c r="AK11" s="224">
        <v>42.664299999999997</v>
      </c>
      <c r="AL11" s="169"/>
      <c r="AM11" s="169" t="e">
        <f>SUMIFS('B3. THKL THEO CKHD'!K:K,'B3. THKL THEO CKHD'!C:C,'SCAN BOQ'!B11)</f>
        <v>#N/A</v>
      </c>
      <c r="AN11" s="169" t="e">
        <f t="shared" si="1"/>
        <v>#N/A</v>
      </c>
      <c r="AO11" s="169" t="e">
        <f t="shared" si="2"/>
        <v>#N/A</v>
      </c>
      <c r="AP11" s="169" t="e">
        <f t="shared" si="3"/>
        <v>#N/A</v>
      </c>
      <c r="AQ11" s="169" t="e">
        <f t="shared" ref="AQ11:AQ71" si="4">AP11*AI11</f>
        <v>#N/A</v>
      </c>
    </row>
    <row r="12" spans="1:43" s="242" customFormat="1" ht="17" outlineLevel="2">
      <c r="A12" s="239"/>
      <c r="B12" s="239" t="str">
        <f>'B-1. THKL THEO ID'!B10</f>
        <v>ID-002A</v>
      </c>
      <c r="C12" s="239" t="str">
        <f>'B-1. THKL THEO ID'!C10</f>
        <v>CBS</v>
      </c>
      <c r="D12" s="239"/>
      <c r="E12" s="242" t="s">
        <v>129</v>
      </c>
      <c r="F12" s="320" t="s">
        <v>333</v>
      </c>
      <c r="G12" s="320" t="s">
        <v>333</v>
      </c>
      <c r="H12" s="320" t="s">
        <v>333</v>
      </c>
      <c r="I12" s="320" t="s">
        <v>333</v>
      </c>
      <c r="J12" s="320"/>
      <c r="K12" s="320"/>
      <c r="L12" s="320"/>
      <c r="M12" s="320"/>
      <c r="N12" s="320"/>
      <c r="O12" s="320"/>
      <c r="P12" s="320"/>
      <c r="Q12" s="320"/>
      <c r="R12" s="320"/>
      <c r="S12" s="320" t="s">
        <v>333</v>
      </c>
      <c r="T12" s="320" t="s">
        <v>333</v>
      </c>
      <c r="U12" s="320" t="s">
        <v>333</v>
      </c>
      <c r="V12" s="320" t="s">
        <v>333</v>
      </c>
      <c r="W12" s="320"/>
      <c r="X12" s="320"/>
      <c r="Y12" s="320"/>
      <c r="Z12" s="320"/>
      <c r="AA12" s="320" t="s">
        <v>333</v>
      </c>
      <c r="AB12" s="239" t="s">
        <v>277</v>
      </c>
      <c r="AC12" s="168" t="s">
        <v>13</v>
      </c>
      <c r="AD12" s="166"/>
      <c r="AE12" s="170"/>
      <c r="AF12" s="172"/>
      <c r="AG12" s="172"/>
      <c r="AH12" s="224"/>
      <c r="AI12" s="169"/>
      <c r="AJ12" s="169"/>
      <c r="AK12" s="224"/>
      <c r="AL12" s="169"/>
      <c r="AM12" s="169" t="e">
        <f>SUMIFS('B3. THKL THEO CKHD'!K:K,'B3. THKL THEO CKHD'!C:C,'SCAN BOQ'!B12)</f>
        <v>#N/A</v>
      </c>
      <c r="AN12" s="169" t="e">
        <f t="shared" si="1"/>
        <v>#N/A</v>
      </c>
      <c r="AO12" s="169" t="e">
        <f t="shared" si="2"/>
        <v>#N/A</v>
      </c>
      <c r="AP12" s="169" t="e">
        <f t="shared" si="3"/>
        <v>#N/A</v>
      </c>
      <c r="AQ12" s="169"/>
    </row>
    <row r="13" spans="1:43" ht="34" outlineLevel="2">
      <c r="A13" s="166"/>
      <c r="B13" s="239"/>
      <c r="C13" s="239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8" t="s">
        <v>213</v>
      </c>
      <c r="AD13" s="166"/>
      <c r="AE13" s="170">
        <v>3</v>
      </c>
      <c r="AF13" s="172" t="s">
        <v>172</v>
      </c>
      <c r="AG13" s="172" t="s">
        <v>279</v>
      </c>
      <c r="AH13" s="224">
        <v>383.97910000000002</v>
      </c>
      <c r="AI13" s="169"/>
      <c r="AJ13" s="169">
        <f t="shared" si="0"/>
        <v>0</v>
      </c>
      <c r="AK13" s="224">
        <v>383.97910000000002</v>
      </c>
      <c r="AL13" s="169"/>
      <c r="AM13" s="169">
        <f>SUMIFS('B3. THKL THEO CKHD'!K:K,'B3. THKL THEO CKHD'!C:C,'SCAN BOQ'!B13)</f>
        <v>757.8097090431454</v>
      </c>
      <c r="AN13" s="169">
        <f t="shared" si="1"/>
        <v>373.83060904314539</v>
      </c>
      <c r="AO13" s="169">
        <f t="shared" si="2"/>
        <v>0</v>
      </c>
      <c r="AP13" s="169">
        <f t="shared" si="3"/>
        <v>757.8097090431454</v>
      </c>
      <c r="AQ13" s="169">
        <f t="shared" si="4"/>
        <v>0</v>
      </c>
    </row>
    <row r="14" spans="1:43" ht="34" outlineLevel="2">
      <c r="A14" s="166"/>
      <c r="B14" s="239"/>
      <c r="C14" s="239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8" t="s">
        <v>213</v>
      </c>
      <c r="AD14" s="166"/>
      <c r="AE14" s="170">
        <v>4</v>
      </c>
      <c r="AF14" s="172" t="s">
        <v>173</v>
      </c>
      <c r="AG14" s="172" t="s">
        <v>279</v>
      </c>
      <c r="AH14" s="224">
        <v>383.97910000000002</v>
      </c>
      <c r="AI14" s="169"/>
      <c r="AJ14" s="169">
        <f t="shared" si="0"/>
        <v>0</v>
      </c>
      <c r="AK14" s="224">
        <v>383.97910000000002</v>
      </c>
      <c r="AL14" s="169"/>
      <c r="AM14" s="169">
        <f>SUMIFS('B3. THKL THEO CKHD'!K:K,'B3. THKL THEO CKHD'!C:C,'SCAN BOQ'!B14)</f>
        <v>757.8097090431454</v>
      </c>
      <c r="AN14" s="169">
        <f t="shared" si="1"/>
        <v>373.83060904314539</v>
      </c>
      <c r="AO14" s="169">
        <f t="shared" si="2"/>
        <v>0</v>
      </c>
      <c r="AP14" s="169">
        <f t="shared" si="3"/>
        <v>757.8097090431454</v>
      </c>
      <c r="AQ14" s="169">
        <f t="shared" si="4"/>
        <v>0</v>
      </c>
    </row>
    <row r="15" spans="1:43" s="242" customFormat="1" ht="34" outlineLevel="2">
      <c r="A15" s="239"/>
      <c r="B15" s="239" t="str">
        <f>'B-1. THKL THEO ID'!B13</f>
        <v>ID-003</v>
      </c>
      <c r="C15" s="239"/>
      <c r="D15" s="239" t="str">
        <f>"BOQ-"&amp; TEXT(COUNTA($D$6:D14),"000")</f>
        <v>BOQ-003</v>
      </c>
      <c r="E15" s="239" t="s">
        <v>129</v>
      </c>
      <c r="F15" s="237" t="s">
        <v>333</v>
      </c>
      <c r="G15" s="237" t="s">
        <v>333</v>
      </c>
      <c r="H15" s="237" t="s">
        <v>333</v>
      </c>
      <c r="I15" s="237" t="s">
        <v>333</v>
      </c>
      <c r="J15" s="237"/>
      <c r="K15" s="237"/>
      <c r="L15" s="237"/>
      <c r="M15" s="237"/>
      <c r="N15" s="237"/>
      <c r="O15" s="237"/>
      <c r="P15" s="237"/>
      <c r="Q15" s="237"/>
      <c r="R15" s="237"/>
      <c r="S15" s="237" t="s">
        <v>333</v>
      </c>
      <c r="T15" s="237" t="s">
        <v>333</v>
      </c>
      <c r="U15" s="237" t="s">
        <v>333</v>
      </c>
      <c r="V15" s="237" t="s">
        <v>333</v>
      </c>
      <c r="W15" s="237"/>
      <c r="X15" s="237"/>
      <c r="Y15" s="237"/>
      <c r="Z15" s="237"/>
      <c r="AA15" s="237" t="s">
        <v>333</v>
      </c>
      <c r="AB15" s="239" t="s">
        <v>238</v>
      </c>
      <c r="AC15" s="168" t="s">
        <v>213</v>
      </c>
      <c r="AD15" s="166"/>
      <c r="AE15" s="170">
        <v>5</v>
      </c>
      <c r="AF15" s="172" t="s">
        <v>174</v>
      </c>
      <c r="AG15" s="172"/>
      <c r="AH15" s="224">
        <v>383.97910000000002</v>
      </c>
      <c r="AI15" s="169">
        <v>9600000</v>
      </c>
      <c r="AJ15" s="169">
        <f t="shared" si="0"/>
        <v>3686199360</v>
      </c>
      <c r="AK15" s="224">
        <v>383.97910000000002</v>
      </c>
      <c r="AL15" s="169"/>
      <c r="AM15" s="169" t="e">
        <f>SUMIFS('B3. THKL THEO CKHD'!K:K,'B3. THKL THEO CKHD'!C:C,'SCAN BOQ'!B15)</f>
        <v>#N/A</v>
      </c>
      <c r="AN15" s="169" t="e">
        <f t="shared" si="1"/>
        <v>#N/A</v>
      </c>
      <c r="AO15" s="169" t="e">
        <f t="shared" si="2"/>
        <v>#N/A</v>
      </c>
      <c r="AP15" s="169" t="e">
        <f t="shared" si="3"/>
        <v>#N/A</v>
      </c>
      <c r="AQ15" s="169" t="e">
        <f t="shared" si="4"/>
        <v>#N/A</v>
      </c>
    </row>
    <row r="16" spans="1:43" s="242" customFormat="1" ht="17" outlineLevel="2">
      <c r="A16" s="239"/>
      <c r="B16" s="239" t="str">
        <f>'B-1. THKL THEO ID'!B14</f>
        <v>ID-003A</v>
      </c>
      <c r="C16" s="239" t="str">
        <f>'B-1. THKL THEO ID'!C14</f>
        <v>CBS</v>
      </c>
      <c r="D16" s="239"/>
      <c r="E16" s="239" t="s">
        <v>129</v>
      </c>
      <c r="F16" s="237" t="s">
        <v>333</v>
      </c>
      <c r="G16" s="237" t="s">
        <v>333</v>
      </c>
      <c r="H16" s="237" t="s">
        <v>333</v>
      </c>
      <c r="I16" s="237" t="s">
        <v>333</v>
      </c>
      <c r="J16" s="237"/>
      <c r="K16" s="237"/>
      <c r="L16" s="237"/>
      <c r="M16" s="237"/>
      <c r="N16" s="237"/>
      <c r="O16" s="237"/>
      <c r="P16" s="237"/>
      <c r="Q16" s="237"/>
      <c r="R16" s="237"/>
      <c r="S16" s="237" t="s">
        <v>333</v>
      </c>
      <c r="T16" s="237" t="s">
        <v>333</v>
      </c>
      <c r="U16" s="237" t="s">
        <v>333</v>
      </c>
      <c r="V16" s="237" t="s">
        <v>333</v>
      </c>
      <c r="W16" s="237"/>
      <c r="X16" s="237"/>
      <c r="Y16" s="237"/>
      <c r="Z16" s="237"/>
      <c r="AA16" s="237" t="s">
        <v>333</v>
      </c>
      <c r="AB16" s="239" t="s">
        <v>293</v>
      </c>
      <c r="AC16" s="168" t="s">
        <v>13</v>
      </c>
      <c r="AD16" s="166"/>
      <c r="AE16" s="170"/>
      <c r="AF16" s="172"/>
      <c r="AG16" s="172"/>
      <c r="AH16" s="224"/>
      <c r="AI16" s="169"/>
      <c r="AJ16" s="169"/>
      <c r="AK16" s="224"/>
      <c r="AL16" s="169"/>
      <c r="AM16" s="169" t="e">
        <f>SUMIFS('B3. THKL THEO CKHD'!K:K,'B3. THKL THEO CKHD'!C:C,'SCAN BOQ'!B16)</f>
        <v>#N/A</v>
      </c>
      <c r="AN16" s="169" t="e">
        <f t="shared" si="1"/>
        <v>#N/A</v>
      </c>
      <c r="AO16" s="169" t="e">
        <f t="shared" si="2"/>
        <v>#N/A</v>
      </c>
      <c r="AP16" s="169" t="e">
        <f t="shared" si="3"/>
        <v>#N/A</v>
      </c>
      <c r="AQ16" s="169"/>
    </row>
    <row r="17" spans="1:43" s="242" customFormat="1" ht="34" outlineLevel="2">
      <c r="A17" s="239"/>
      <c r="B17" s="239" t="str">
        <f>'B-1. THKL THEO ID'!B15</f>
        <v>ID-004</v>
      </c>
      <c r="C17" s="239"/>
      <c r="D17" s="239" t="str">
        <f>"BOQ-"&amp; TEXT(COUNTA($D$6:D15),"000")</f>
        <v>BOQ-004</v>
      </c>
      <c r="E17" s="239" t="s">
        <v>157</v>
      </c>
      <c r="F17" s="237" t="s">
        <v>333</v>
      </c>
      <c r="G17" s="237" t="s">
        <v>333</v>
      </c>
      <c r="H17" s="237" t="s">
        <v>333</v>
      </c>
      <c r="I17" s="237" t="s">
        <v>333</v>
      </c>
      <c r="J17" s="237"/>
      <c r="K17" s="237"/>
      <c r="L17" s="237"/>
      <c r="M17" s="237"/>
      <c r="N17" s="237"/>
      <c r="O17" s="237"/>
      <c r="P17" s="237"/>
      <c r="Q17" s="237"/>
      <c r="R17" s="237"/>
      <c r="S17" s="237" t="s">
        <v>333</v>
      </c>
      <c r="T17" s="237" t="s">
        <v>333</v>
      </c>
      <c r="U17" s="237" t="s">
        <v>333</v>
      </c>
      <c r="V17" s="237" t="s">
        <v>333</v>
      </c>
      <c r="W17" s="237"/>
      <c r="X17" s="237"/>
      <c r="Y17" s="237"/>
      <c r="Z17" s="237"/>
      <c r="AA17" s="237"/>
      <c r="AB17" s="240" t="s">
        <v>335</v>
      </c>
      <c r="AC17" s="168" t="s">
        <v>214</v>
      </c>
      <c r="AD17" s="166"/>
      <c r="AE17" s="170">
        <v>6</v>
      </c>
      <c r="AF17" s="172" t="s">
        <v>175</v>
      </c>
      <c r="AG17" s="172"/>
      <c r="AH17" s="224">
        <v>5.2294999999999998</v>
      </c>
      <c r="AI17" s="169">
        <v>27850374.280000001</v>
      </c>
      <c r="AJ17" s="169">
        <f t="shared" si="0"/>
        <v>145643532.29725999</v>
      </c>
      <c r="AK17" s="224">
        <v>5.2294999999999998</v>
      </c>
      <c r="AL17" s="169"/>
      <c r="AM17" s="169">
        <f>SUMIFS('B3. THKL THEO CKHD'!K:K,'B3. THKL THEO CKHD'!C:C,'SCAN BOQ'!B17)</f>
        <v>0.11946000000000001</v>
      </c>
      <c r="AN17" s="169">
        <f t="shared" si="1"/>
        <v>-5.1100399999999997</v>
      </c>
      <c r="AO17" s="169">
        <f t="shared" si="2"/>
        <v>-142316526.5857712</v>
      </c>
      <c r="AP17" s="169">
        <f t="shared" si="3"/>
        <v>0.11946000000000001</v>
      </c>
      <c r="AQ17" s="169">
        <f t="shared" si="4"/>
        <v>3327005.7114888006</v>
      </c>
    </row>
    <row r="18" spans="1:43" s="242" customFormat="1" ht="17" outlineLevel="2">
      <c r="A18" s="239"/>
      <c r="B18" s="239" t="str">
        <f>'B-1. THKL THEO ID'!B16</f>
        <v>ID-004A</v>
      </c>
      <c r="C18" s="239" t="str">
        <f>'B-1. THKL THEO ID'!C16</f>
        <v>CBS</v>
      </c>
      <c r="D18" s="239"/>
      <c r="E18" s="239" t="s">
        <v>157</v>
      </c>
      <c r="F18" s="237" t="s">
        <v>333</v>
      </c>
      <c r="G18" s="237" t="s">
        <v>333</v>
      </c>
      <c r="H18" s="237"/>
      <c r="I18" s="237"/>
      <c r="J18" s="237"/>
      <c r="K18" s="237"/>
      <c r="L18" s="237"/>
      <c r="M18" s="237"/>
      <c r="N18" s="237"/>
      <c r="O18" s="237"/>
      <c r="P18" s="237"/>
      <c r="Q18" s="237"/>
      <c r="R18" s="237"/>
      <c r="S18" s="237" t="s">
        <v>333</v>
      </c>
      <c r="T18" s="237" t="s">
        <v>333</v>
      </c>
      <c r="U18" s="237" t="s">
        <v>333</v>
      </c>
      <c r="V18" s="237"/>
      <c r="W18" s="237"/>
      <c r="X18" s="237"/>
      <c r="Y18" s="237"/>
      <c r="Z18" s="237"/>
      <c r="AA18" s="237"/>
      <c r="AB18" s="240" t="s">
        <v>334</v>
      </c>
      <c r="AC18" s="168" t="s">
        <v>14</v>
      </c>
      <c r="AD18" s="166"/>
      <c r="AE18" s="170"/>
      <c r="AF18" s="172"/>
      <c r="AG18" s="172"/>
      <c r="AH18" s="224"/>
      <c r="AI18" s="169"/>
      <c r="AJ18" s="169"/>
      <c r="AK18" s="224"/>
      <c r="AL18" s="169"/>
      <c r="AM18" s="169">
        <f>SUMIFS('B3. THKL THEO CKHD'!K:K,'B3. THKL THEO CKHD'!C:C,'SCAN BOQ'!B18)</f>
        <v>23.939</v>
      </c>
      <c r="AN18" s="169">
        <f t="shared" si="1"/>
        <v>23.939</v>
      </c>
      <c r="AO18" s="169">
        <f t="shared" si="2"/>
        <v>0</v>
      </c>
      <c r="AP18" s="169">
        <f t="shared" si="3"/>
        <v>23.939</v>
      </c>
      <c r="AQ18" s="169"/>
    </row>
    <row r="19" spans="1:43" s="242" customFormat="1" ht="34" outlineLevel="2">
      <c r="A19" s="239"/>
      <c r="B19" s="239" t="str">
        <f>'B-1. THKL THEO ID'!B17</f>
        <v>ID-004B</v>
      </c>
      <c r="C19" s="239" t="str">
        <f>'B-1. THKL THEO ID'!C17</f>
        <v>CBS</v>
      </c>
      <c r="D19" s="239"/>
      <c r="E19" s="239" t="s">
        <v>157</v>
      </c>
      <c r="F19" s="237"/>
      <c r="G19" s="237"/>
      <c r="H19" s="237" t="s">
        <v>333</v>
      </c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 t="s">
        <v>333</v>
      </c>
      <c r="T19" s="237" t="s">
        <v>333</v>
      </c>
      <c r="U19" s="237"/>
      <c r="V19" s="237" t="s">
        <v>333</v>
      </c>
      <c r="W19" s="237"/>
      <c r="X19" s="237"/>
      <c r="Y19" s="237"/>
      <c r="Z19" s="237"/>
      <c r="AA19" s="237"/>
      <c r="AB19" s="240" t="s">
        <v>341</v>
      </c>
      <c r="AC19" s="168" t="s">
        <v>14</v>
      </c>
      <c r="AD19" s="166"/>
      <c r="AE19" s="170"/>
      <c r="AF19" s="172"/>
      <c r="AG19" s="172"/>
      <c r="AH19" s="224"/>
      <c r="AI19" s="169"/>
      <c r="AJ19" s="169"/>
      <c r="AK19" s="224"/>
      <c r="AL19" s="169"/>
      <c r="AM19" s="169">
        <f>SUMIFS('B3. THKL THEO CKHD'!K:K,'B3. THKL THEO CKHD'!C:C,'SCAN BOQ'!B19)</f>
        <v>0</v>
      </c>
      <c r="AN19" s="169">
        <f t="shared" si="1"/>
        <v>0</v>
      </c>
      <c r="AO19" s="169">
        <f t="shared" si="2"/>
        <v>0</v>
      </c>
      <c r="AP19" s="169">
        <f t="shared" si="3"/>
        <v>0</v>
      </c>
      <c r="AQ19" s="169"/>
    </row>
    <row r="20" spans="1:43" s="242" customFormat="1" ht="17" outlineLevel="2">
      <c r="A20" s="239"/>
      <c r="B20" s="239" t="str">
        <f>'B-1. THKL THEO ID'!B18</f>
        <v>ID-004C</v>
      </c>
      <c r="C20" s="239" t="str">
        <f>'B-1. THKL THEO ID'!C18</f>
        <v>CBS</v>
      </c>
      <c r="D20" s="239"/>
      <c r="E20" s="239" t="s">
        <v>157</v>
      </c>
      <c r="F20" s="237"/>
      <c r="G20" s="237"/>
      <c r="H20" s="237"/>
      <c r="I20" s="237" t="s">
        <v>333</v>
      </c>
      <c r="J20" s="23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40" t="s">
        <v>342</v>
      </c>
      <c r="AC20" s="168" t="s">
        <v>14</v>
      </c>
      <c r="AD20" s="166"/>
      <c r="AE20" s="170"/>
      <c r="AF20" s="172"/>
      <c r="AG20" s="172"/>
      <c r="AH20" s="224"/>
      <c r="AI20" s="169"/>
      <c r="AJ20" s="169"/>
      <c r="AK20" s="224"/>
      <c r="AL20" s="169"/>
      <c r="AM20" s="169">
        <f>SUMIFS('B3. THKL THEO CKHD'!K:K,'B3. THKL THEO CKHD'!C:C,'SCAN BOQ'!B20)</f>
        <v>0</v>
      </c>
      <c r="AN20" s="169">
        <f t="shared" si="1"/>
        <v>0</v>
      </c>
      <c r="AO20" s="169">
        <f t="shared" si="2"/>
        <v>0</v>
      </c>
      <c r="AP20" s="169">
        <f t="shared" si="3"/>
        <v>0</v>
      </c>
      <c r="AQ20" s="169"/>
    </row>
    <row r="21" spans="1:43" s="242" customFormat="1" ht="34" outlineLevel="2">
      <c r="A21" s="239"/>
      <c r="B21" s="239" t="str">
        <f>'B-1. THKL THEO ID'!B19</f>
        <v>ID-005</v>
      </c>
      <c r="C21" s="239" t="str">
        <f>'B-1. THKL THEO ID'!C19</f>
        <v>CBS</v>
      </c>
      <c r="D21" s="239" t="str">
        <f>"BOQ-"&amp; TEXT(COUNTA($D$6:D17),"000")</f>
        <v>BOQ-005</v>
      </c>
      <c r="E21" s="239" t="s">
        <v>99</v>
      </c>
      <c r="F21" s="237" t="s">
        <v>333</v>
      </c>
      <c r="G21" s="237" t="s">
        <v>333</v>
      </c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 t="s">
        <v>333</v>
      </c>
      <c r="T21" s="237" t="s">
        <v>333</v>
      </c>
      <c r="U21" s="237" t="s">
        <v>333</v>
      </c>
      <c r="V21" s="237"/>
      <c r="W21" s="237"/>
      <c r="X21" s="237"/>
      <c r="Y21" s="237"/>
      <c r="Z21" s="237"/>
      <c r="AA21" s="237"/>
      <c r="AB21" s="239" t="s">
        <v>243</v>
      </c>
      <c r="AC21" s="168" t="s">
        <v>13</v>
      </c>
      <c r="AD21" s="166"/>
      <c r="AE21" s="170">
        <v>7</v>
      </c>
      <c r="AF21" s="172" t="s">
        <v>176</v>
      </c>
      <c r="AG21" s="172"/>
      <c r="AH21" s="224">
        <v>273.0532</v>
      </c>
      <c r="AI21" s="169">
        <v>1295606.1284500002</v>
      </c>
      <c r="AJ21" s="169">
        <f t="shared" si="0"/>
        <v>353769399.31288362</v>
      </c>
      <c r="AK21" s="224">
        <v>273.0532</v>
      </c>
      <c r="AL21" s="169"/>
      <c r="AM21" s="169">
        <f>SUMIFS('B3. THKL THEO CKHD'!K:K,'B3. THKL THEO CKHD'!C:C,'SCAN BOQ'!B21)</f>
        <v>31.313685910066656</v>
      </c>
      <c r="AN21" s="169">
        <f t="shared" si="1"/>
        <v>-241.73951408993335</v>
      </c>
      <c r="AO21" s="169">
        <f t="shared" si="2"/>
        <v>-313199195.94344282</v>
      </c>
      <c r="AP21" s="169">
        <f t="shared" si="3"/>
        <v>31.313685910066656</v>
      </c>
      <c r="AQ21" s="169">
        <f t="shared" si="4"/>
        <v>40570203.369440779</v>
      </c>
    </row>
    <row r="22" spans="1:43" s="242" customFormat="1" ht="34" outlineLevel="2">
      <c r="A22" s="239"/>
      <c r="B22" s="239" t="str">
        <f>'B-1. THKL THEO ID'!B20</f>
        <v>ID-006</v>
      </c>
      <c r="C22" s="239"/>
      <c r="D22" s="239" t="str">
        <f>"BOQ-"&amp; TEXT(COUNTA($D$6:D21),"000")</f>
        <v>BOQ-006</v>
      </c>
      <c r="E22" s="239" t="s">
        <v>157</v>
      </c>
      <c r="F22" s="237" t="s">
        <v>333</v>
      </c>
      <c r="G22" s="237" t="s">
        <v>333</v>
      </c>
      <c r="H22" s="237" t="s">
        <v>333</v>
      </c>
      <c r="I22" s="237" t="s">
        <v>333</v>
      </c>
      <c r="J22" s="237"/>
      <c r="K22" s="237"/>
      <c r="L22" s="237"/>
      <c r="M22" s="237"/>
      <c r="N22" s="237"/>
      <c r="O22" s="237"/>
      <c r="P22" s="237"/>
      <c r="Q22" s="237"/>
      <c r="R22" s="237"/>
      <c r="S22" s="237" t="s">
        <v>333</v>
      </c>
      <c r="T22" s="237" t="s">
        <v>333</v>
      </c>
      <c r="U22" s="237" t="s">
        <v>333</v>
      </c>
      <c r="V22" s="237" t="s">
        <v>333</v>
      </c>
      <c r="W22" s="237"/>
      <c r="X22" s="237"/>
      <c r="Y22" s="237"/>
      <c r="Z22" s="237"/>
      <c r="AA22" s="237"/>
      <c r="AB22" s="240" t="s">
        <v>336</v>
      </c>
      <c r="AC22" s="168" t="s">
        <v>214</v>
      </c>
      <c r="AD22" s="166"/>
      <c r="AE22" s="170">
        <v>8</v>
      </c>
      <c r="AF22" s="172" t="s">
        <v>177</v>
      </c>
      <c r="AG22" s="172"/>
      <c r="AH22" s="224">
        <v>58.400599999999997</v>
      </c>
      <c r="AI22" s="169">
        <v>27850374.280000001</v>
      </c>
      <c r="AJ22" s="169">
        <f t="shared" si="0"/>
        <v>1626478568.176568</v>
      </c>
      <c r="AK22" s="224">
        <v>58.400599999999997</v>
      </c>
      <c r="AL22" s="169"/>
      <c r="AM22" s="169">
        <f>SUMIFS('B3. THKL THEO CKHD'!K:K,'B3. THKL THEO CKHD'!C:C,'SCAN BOQ'!B22)</f>
        <v>1.1792799999999999</v>
      </c>
      <c r="AN22" s="169">
        <f t="shared" si="1"/>
        <v>-57.221319999999999</v>
      </c>
      <c r="AO22" s="169">
        <f t="shared" si="2"/>
        <v>-1593635178.7956495</v>
      </c>
      <c r="AP22" s="169">
        <f t="shared" si="3"/>
        <v>1.1792799999999999</v>
      </c>
      <c r="AQ22" s="169">
        <f t="shared" si="4"/>
        <v>32843389.380918398</v>
      </c>
    </row>
    <row r="23" spans="1:43" s="242" customFormat="1" ht="17" outlineLevel="2">
      <c r="A23" s="239"/>
      <c r="B23" s="239" t="str">
        <f>'B-1. THKL THEO ID'!B21</f>
        <v>ID-006A</v>
      </c>
      <c r="C23" s="239" t="str">
        <f>'B-1. THKL THEO ID'!C21</f>
        <v>CBS</v>
      </c>
      <c r="D23" s="239"/>
      <c r="E23" s="239" t="s">
        <v>157</v>
      </c>
      <c r="F23" s="237" t="s">
        <v>333</v>
      </c>
      <c r="G23" s="237" t="s">
        <v>333</v>
      </c>
      <c r="H23" s="237"/>
      <c r="I23" s="237"/>
      <c r="J23" s="237"/>
      <c r="K23" s="237"/>
      <c r="L23" s="237"/>
      <c r="M23" s="237"/>
      <c r="N23" s="237"/>
      <c r="O23" s="237"/>
      <c r="P23" s="237"/>
      <c r="Q23" s="237"/>
      <c r="R23" s="237"/>
      <c r="S23" s="237" t="s">
        <v>333</v>
      </c>
      <c r="T23" s="237" t="s">
        <v>333</v>
      </c>
      <c r="U23" s="237" t="s">
        <v>333</v>
      </c>
      <c r="V23" s="237"/>
      <c r="W23" s="237"/>
      <c r="X23" s="237"/>
      <c r="Y23" s="237"/>
      <c r="Z23" s="237"/>
      <c r="AA23" s="237"/>
      <c r="AB23" s="239" t="s">
        <v>337</v>
      </c>
      <c r="AC23" s="168" t="s">
        <v>14</v>
      </c>
      <c r="AD23" s="166"/>
      <c r="AE23" s="170"/>
      <c r="AF23" s="172"/>
      <c r="AG23" s="172"/>
      <c r="AH23" s="224"/>
      <c r="AI23" s="169"/>
      <c r="AJ23" s="169"/>
      <c r="AK23" s="224"/>
      <c r="AL23" s="169"/>
      <c r="AM23" s="169">
        <f>SUMIFS('B3. THKL THEO CKHD'!K:K,'B3. THKL THEO CKHD'!C:C,'SCAN BOQ'!B23)</f>
        <v>117.92799999999998</v>
      </c>
      <c r="AN23" s="169">
        <f t="shared" si="1"/>
        <v>117.92799999999998</v>
      </c>
      <c r="AO23" s="169">
        <f t="shared" si="2"/>
        <v>0</v>
      </c>
      <c r="AP23" s="169">
        <f t="shared" si="3"/>
        <v>117.92799999999998</v>
      </c>
      <c r="AQ23" s="169"/>
    </row>
    <row r="24" spans="1:43" s="242" customFormat="1" ht="34" outlineLevel="2">
      <c r="A24" s="239"/>
      <c r="B24" s="239" t="str">
        <f>'B-1. THKL THEO ID'!B22</f>
        <v>ID-006B</v>
      </c>
      <c r="C24" s="239" t="str">
        <f>'B-1. THKL THEO ID'!C22</f>
        <v>CBS</v>
      </c>
      <c r="D24" s="239"/>
      <c r="E24" s="239" t="s">
        <v>157</v>
      </c>
      <c r="F24" s="237"/>
      <c r="G24" s="237"/>
      <c r="H24" s="237" t="s">
        <v>333</v>
      </c>
      <c r="I24" s="237"/>
      <c r="J24" s="237"/>
      <c r="K24" s="237"/>
      <c r="L24" s="237"/>
      <c r="M24" s="237"/>
      <c r="N24" s="237"/>
      <c r="O24" s="237"/>
      <c r="P24" s="237"/>
      <c r="Q24" s="237"/>
      <c r="R24" s="237"/>
      <c r="S24" s="237" t="s">
        <v>333</v>
      </c>
      <c r="T24" s="237" t="s">
        <v>333</v>
      </c>
      <c r="U24" s="237"/>
      <c r="V24" s="237" t="s">
        <v>333</v>
      </c>
      <c r="W24" s="237"/>
      <c r="X24" s="237"/>
      <c r="Y24" s="237"/>
      <c r="Z24" s="237"/>
      <c r="AA24" s="237"/>
      <c r="AB24" s="240" t="s">
        <v>339</v>
      </c>
      <c r="AC24" s="168" t="s">
        <v>14</v>
      </c>
      <c r="AD24" s="166"/>
      <c r="AE24" s="170"/>
      <c r="AF24" s="172"/>
      <c r="AG24" s="172"/>
      <c r="AH24" s="224"/>
      <c r="AI24" s="169"/>
      <c r="AJ24" s="169"/>
      <c r="AK24" s="224"/>
      <c r="AL24" s="169"/>
      <c r="AM24" s="169">
        <f>SUMIFS('B3. THKL THEO CKHD'!K:K,'B3. THKL THEO CKHD'!C:C,'SCAN BOQ'!B24)</f>
        <v>0</v>
      </c>
      <c r="AN24" s="169">
        <f t="shared" si="1"/>
        <v>0</v>
      </c>
      <c r="AO24" s="169">
        <f t="shared" si="2"/>
        <v>0</v>
      </c>
      <c r="AP24" s="169">
        <f t="shared" si="3"/>
        <v>0</v>
      </c>
      <c r="AQ24" s="169"/>
    </row>
    <row r="25" spans="1:43" s="242" customFormat="1" ht="17" outlineLevel="2">
      <c r="A25" s="239"/>
      <c r="B25" s="239" t="str">
        <f>'B-1. THKL THEO ID'!B23</f>
        <v>ID-006C</v>
      </c>
      <c r="C25" s="239" t="str">
        <f>'B-1. THKL THEO ID'!C23</f>
        <v>CBS</v>
      </c>
      <c r="D25" s="239"/>
      <c r="E25" s="239" t="s">
        <v>157</v>
      </c>
      <c r="F25" s="237"/>
      <c r="G25" s="237"/>
      <c r="H25" s="237"/>
      <c r="I25" s="237" t="s">
        <v>333</v>
      </c>
      <c r="J25" s="237"/>
      <c r="K25" s="237"/>
      <c r="L25" s="237"/>
      <c r="M25" s="237"/>
      <c r="N25" s="237"/>
      <c r="O25" s="237"/>
      <c r="P25" s="237"/>
      <c r="Q25" s="237"/>
      <c r="R25" s="237"/>
      <c r="S25" s="237"/>
      <c r="T25" s="237"/>
      <c r="U25" s="237"/>
      <c r="V25" s="237"/>
      <c r="W25" s="237"/>
      <c r="X25" s="237"/>
      <c r="Y25" s="237"/>
      <c r="Z25" s="237"/>
      <c r="AA25" s="237"/>
      <c r="AB25" s="240" t="s">
        <v>340</v>
      </c>
      <c r="AC25" s="168" t="s">
        <v>14</v>
      </c>
      <c r="AD25" s="166"/>
      <c r="AE25" s="170"/>
      <c r="AF25" s="172"/>
      <c r="AG25" s="172"/>
      <c r="AH25" s="224"/>
      <c r="AI25" s="169"/>
      <c r="AJ25" s="169"/>
      <c r="AK25" s="224"/>
      <c r="AL25" s="169"/>
      <c r="AM25" s="169">
        <f>SUMIFS('B3. THKL THEO CKHD'!K:K,'B3. THKL THEO CKHD'!C:C,'SCAN BOQ'!B25)</f>
        <v>0</v>
      </c>
      <c r="AN25" s="169">
        <f t="shared" si="1"/>
        <v>0</v>
      </c>
      <c r="AO25" s="169">
        <f t="shared" si="2"/>
        <v>0</v>
      </c>
      <c r="AP25" s="169">
        <f t="shared" si="3"/>
        <v>0</v>
      </c>
      <c r="AQ25" s="169"/>
    </row>
    <row r="26" spans="1:43" s="242" customFormat="1" ht="34" outlineLevel="2">
      <c r="A26" s="239"/>
      <c r="B26" s="239" t="str">
        <f>'B-1. THKL THEO ID'!B24</f>
        <v>ID-007A</v>
      </c>
      <c r="C26" s="239"/>
      <c r="D26" s="239" t="str">
        <f>"BOQ-"&amp; TEXT(COUNTA($D$6:D22),"000")</f>
        <v>BOQ-007</v>
      </c>
      <c r="E26" s="239" t="s">
        <v>135</v>
      </c>
      <c r="F26" s="237" t="s">
        <v>333</v>
      </c>
      <c r="G26" s="237" t="s">
        <v>333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 t="s">
        <v>333</v>
      </c>
      <c r="T26" s="237" t="s">
        <v>333</v>
      </c>
      <c r="U26" s="237" t="s">
        <v>333</v>
      </c>
      <c r="V26" s="237"/>
      <c r="W26" s="237"/>
      <c r="X26" s="237"/>
      <c r="Y26" s="237"/>
      <c r="Z26" s="237"/>
      <c r="AA26" s="237"/>
      <c r="AB26" s="239" t="s">
        <v>239</v>
      </c>
      <c r="AC26" s="168" t="s">
        <v>215</v>
      </c>
      <c r="AD26" s="166"/>
      <c r="AE26" s="170">
        <v>9</v>
      </c>
      <c r="AF26" s="172" t="s">
        <v>178</v>
      </c>
      <c r="AG26" s="172"/>
      <c r="AH26" s="224">
        <v>40.188299999999998</v>
      </c>
      <c r="AI26" s="169">
        <v>20404747.402000003</v>
      </c>
      <c r="AJ26" s="169">
        <f t="shared" si="0"/>
        <v>820032110.01579666</v>
      </c>
      <c r="AK26" s="224">
        <v>40.188299999999998</v>
      </c>
      <c r="AL26" s="169"/>
      <c r="AM26" s="169">
        <f>SUMIFS('B3. THKL THEO CKHD'!K:K,'B3. THKL THEO CKHD'!C:C,'SCAN BOQ'!B26)</f>
        <v>0</v>
      </c>
      <c r="AN26" s="169">
        <f t="shared" si="1"/>
        <v>-40.188299999999998</v>
      </c>
      <c r="AO26" s="169">
        <f t="shared" si="2"/>
        <v>-820032110.01579666</v>
      </c>
      <c r="AP26" s="169">
        <f t="shared" si="3"/>
        <v>0</v>
      </c>
      <c r="AQ26" s="169">
        <f t="shared" si="4"/>
        <v>0</v>
      </c>
    </row>
    <row r="27" spans="1:43" s="242" customFormat="1" ht="34" outlineLevel="2">
      <c r="A27" s="239"/>
      <c r="B27" s="239" t="str">
        <f>'B-1. THKL THEO ID'!B25</f>
        <v>ID-007B</v>
      </c>
      <c r="C27" s="239"/>
      <c r="D27" s="239" t="str">
        <f>"BOQ-"&amp; TEXT(COUNTA($D$6:D26),"000")</f>
        <v>BOQ-008</v>
      </c>
      <c r="E27" s="239" t="s">
        <v>135</v>
      </c>
      <c r="F27" s="237" t="s">
        <v>333</v>
      </c>
      <c r="G27" s="237" t="s">
        <v>333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 t="s">
        <v>333</v>
      </c>
      <c r="T27" s="237" t="s">
        <v>333</v>
      </c>
      <c r="U27" s="237" t="s">
        <v>333</v>
      </c>
      <c r="V27" s="237"/>
      <c r="W27" s="237"/>
      <c r="X27" s="237"/>
      <c r="Y27" s="237"/>
      <c r="Z27" s="237"/>
      <c r="AA27" s="237"/>
      <c r="AB27" s="239" t="s">
        <v>240</v>
      </c>
      <c r="AC27" s="168" t="s">
        <v>215</v>
      </c>
      <c r="AD27" s="166"/>
      <c r="AE27" s="170">
        <v>10</v>
      </c>
      <c r="AF27" s="172" t="s">
        <v>179</v>
      </c>
      <c r="AG27" s="172"/>
      <c r="AH27" s="224">
        <v>48.896799999999999</v>
      </c>
      <c r="AI27" s="169">
        <v>20404747.402000003</v>
      </c>
      <c r="AJ27" s="169">
        <f t="shared" si="0"/>
        <v>997726852.76611376</v>
      </c>
      <c r="AK27" s="224">
        <v>48.896799999999999</v>
      </c>
      <c r="AL27" s="169"/>
      <c r="AM27" s="169">
        <f>SUMIFS('B3. THKL THEO CKHD'!K:K,'B3. THKL THEO CKHD'!C:C,'SCAN BOQ'!B27)</f>
        <v>0</v>
      </c>
      <c r="AN27" s="169">
        <f t="shared" si="1"/>
        <v>-48.896799999999999</v>
      </c>
      <c r="AO27" s="169">
        <f t="shared" si="2"/>
        <v>-997726852.76611376</v>
      </c>
      <c r="AP27" s="169">
        <f t="shared" si="3"/>
        <v>0</v>
      </c>
      <c r="AQ27" s="169">
        <f t="shared" si="4"/>
        <v>0</v>
      </c>
    </row>
    <row r="28" spans="1:43" s="242" customFormat="1" ht="34" outlineLevel="2">
      <c r="A28" s="239"/>
      <c r="B28" s="239" t="str">
        <f>'B-1. THKL THEO ID'!B26</f>
        <v>ID-007C</v>
      </c>
      <c r="C28" s="239"/>
      <c r="D28" s="239" t="str">
        <f>"BOQ-"&amp; TEXT(COUNTA($D$6:D27),"000")</f>
        <v>BOQ-009</v>
      </c>
      <c r="E28" s="239" t="s">
        <v>135</v>
      </c>
      <c r="F28" s="237" t="s">
        <v>333</v>
      </c>
      <c r="G28" s="237" t="s">
        <v>333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 t="s">
        <v>333</v>
      </c>
      <c r="T28" s="237" t="s">
        <v>333</v>
      </c>
      <c r="U28" s="237" t="s">
        <v>333</v>
      </c>
      <c r="V28" s="237"/>
      <c r="W28" s="237"/>
      <c r="X28" s="237"/>
      <c r="Y28" s="237"/>
      <c r="Z28" s="237"/>
      <c r="AA28" s="237"/>
      <c r="AB28" s="239" t="s">
        <v>241</v>
      </c>
      <c r="AC28" s="168" t="s">
        <v>215</v>
      </c>
      <c r="AD28" s="166"/>
      <c r="AE28" s="170">
        <v>11</v>
      </c>
      <c r="AF28" s="172" t="s">
        <v>180</v>
      </c>
      <c r="AG28" s="172"/>
      <c r="AH28" s="224">
        <v>215.26730000000001</v>
      </c>
      <c r="AI28" s="169">
        <v>20404747.402000003</v>
      </c>
      <c r="AJ28" s="169">
        <f t="shared" si="0"/>
        <v>4392474880.4105549</v>
      </c>
      <c r="AK28" s="224">
        <v>215.26730000000001</v>
      </c>
      <c r="AL28" s="169"/>
      <c r="AM28" s="169">
        <f>SUMIFS('B3. THKL THEO CKHD'!K:K,'B3. THKL THEO CKHD'!C:C,'SCAN BOQ'!B28)</f>
        <v>0</v>
      </c>
      <c r="AN28" s="169">
        <f t="shared" si="1"/>
        <v>-215.26730000000001</v>
      </c>
      <c r="AO28" s="169">
        <f t="shared" si="2"/>
        <v>-4392474880.4105549</v>
      </c>
      <c r="AP28" s="169">
        <f t="shared" si="3"/>
        <v>0</v>
      </c>
      <c r="AQ28" s="169">
        <f t="shared" si="4"/>
        <v>0</v>
      </c>
    </row>
    <row r="29" spans="1:43" s="242" customFormat="1" ht="17" outlineLevel="2">
      <c r="A29" s="239"/>
      <c r="B29" s="239" t="str">
        <f>'B-1. THKL THEO ID'!B27</f>
        <v>ID-007</v>
      </c>
      <c r="C29" s="239" t="str">
        <f>'B-1. THKL THEO ID'!C27</f>
        <v>CBS</v>
      </c>
      <c r="D29" s="239"/>
      <c r="E29" s="239" t="s">
        <v>135</v>
      </c>
      <c r="F29" s="237" t="s">
        <v>333</v>
      </c>
      <c r="G29" s="237" t="s">
        <v>333</v>
      </c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 t="s">
        <v>333</v>
      </c>
      <c r="T29" s="237" t="s">
        <v>333</v>
      </c>
      <c r="U29" s="237" t="s">
        <v>333</v>
      </c>
      <c r="V29" s="237"/>
      <c r="W29" s="237"/>
      <c r="X29" s="237"/>
      <c r="Y29" s="237"/>
      <c r="Z29" s="237"/>
      <c r="AA29" s="237"/>
      <c r="AB29" s="239" t="s">
        <v>294</v>
      </c>
      <c r="AC29" s="168" t="s">
        <v>15</v>
      </c>
      <c r="AD29" s="166"/>
      <c r="AE29" s="170"/>
      <c r="AF29" s="172"/>
      <c r="AG29" s="172"/>
      <c r="AH29" s="224"/>
      <c r="AI29" s="169"/>
      <c r="AJ29" s="169"/>
      <c r="AK29" s="224"/>
      <c r="AL29" s="169"/>
      <c r="AM29" s="169">
        <f>SUMIFS('B3. THKL THEO CKHD'!K:K,'B3. THKL THEO CKHD'!C:C,'SCAN BOQ'!B29)</f>
        <v>0</v>
      </c>
      <c r="AN29" s="169">
        <f t="shared" si="1"/>
        <v>0</v>
      </c>
      <c r="AO29" s="169">
        <f t="shared" si="2"/>
        <v>0</v>
      </c>
      <c r="AP29" s="169">
        <f t="shared" si="3"/>
        <v>0</v>
      </c>
      <c r="AQ29" s="169"/>
    </row>
    <row r="30" spans="1:43" s="242" customFormat="1" ht="34" outlineLevel="2">
      <c r="A30" s="239"/>
      <c r="B30" s="239" t="str">
        <f>'B-1. THKL THEO ID'!B28</f>
        <v>ID-008</v>
      </c>
      <c r="C30" s="239" t="str">
        <f>'B-1. THKL THEO ID'!C28</f>
        <v>CBS</v>
      </c>
      <c r="D30" s="239" t="str">
        <f>"BOQ-"&amp; TEXT(COUNTA($D$6:D28),"000")</f>
        <v>BOQ-010</v>
      </c>
      <c r="E30" s="239" t="s">
        <v>98</v>
      </c>
      <c r="F30" s="237" t="s">
        <v>333</v>
      </c>
      <c r="G30" s="237" t="s">
        <v>333</v>
      </c>
      <c r="H30" s="237"/>
      <c r="I30" s="238"/>
      <c r="J30" s="237"/>
      <c r="K30" s="237"/>
      <c r="L30" s="237"/>
      <c r="M30" s="237"/>
      <c r="N30" s="237"/>
      <c r="O30" s="237"/>
      <c r="P30" s="237"/>
      <c r="Q30" s="237"/>
      <c r="R30" s="237"/>
      <c r="S30" s="237" t="s">
        <v>333</v>
      </c>
      <c r="T30" s="237" t="s">
        <v>333</v>
      </c>
      <c r="U30" s="237" t="s">
        <v>333</v>
      </c>
      <c r="V30" s="237"/>
      <c r="W30" s="237"/>
      <c r="X30" s="237"/>
      <c r="Y30" s="237"/>
      <c r="Z30" s="237"/>
      <c r="AA30" s="237"/>
      <c r="AB30" s="239" t="s">
        <v>242</v>
      </c>
      <c r="AC30" s="168" t="s">
        <v>13</v>
      </c>
      <c r="AD30" s="166"/>
      <c r="AE30" s="170">
        <v>12</v>
      </c>
      <c r="AF30" s="172" t="s">
        <v>181</v>
      </c>
      <c r="AG30" s="172"/>
      <c r="AH30" s="224">
        <v>3278.1543000000001</v>
      </c>
      <c r="AI30" s="169">
        <v>1453510.2606999998</v>
      </c>
      <c r="AJ30" s="169">
        <f t="shared" si="0"/>
        <v>4764830911.2078257</v>
      </c>
      <c r="AK30" s="224">
        <v>3278.1543000000001</v>
      </c>
      <c r="AL30" s="169"/>
      <c r="AM30" s="169">
        <f>SUMIFS('B3. THKL THEO CKHD'!K:K,'B3. THKL THEO CKHD'!C:C,'SCAN BOQ'!B30)</f>
        <v>56.714399999999998</v>
      </c>
      <c r="AN30" s="169">
        <f t="shared" si="1"/>
        <v>-3221.4399000000003</v>
      </c>
      <c r="AO30" s="169">
        <f t="shared" si="2"/>
        <v>-4682395948.8783817</v>
      </c>
      <c r="AP30" s="169">
        <f t="shared" si="3"/>
        <v>56.714399999999998</v>
      </c>
      <c r="AQ30" s="169">
        <f t="shared" si="4"/>
        <v>82434962.329444066</v>
      </c>
    </row>
    <row r="31" spans="1:43" s="242" customFormat="1" ht="34" outlineLevel="2">
      <c r="A31" s="239"/>
      <c r="B31" s="239" t="str">
        <f>'B-1. THKL THEO ID'!B29</f>
        <v>ID-009</v>
      </c>
      <c r="C31" s="239" t="str">
        <f>'B-1. THKL THEO ID'!C29</f>
        <v>CBS</v>
      </c>
      <c r="D31" s="239" t="str">
        <f>"BOQ-"&amp; TEXT(COUNTA($D$6:D30),"000")</f>
        <v>BOQ-011</v>
      </c>
      <c r="E31" s="239" t="s">
        <v>99</v>
      </c>
      <c r="F31" s="237"/>
      <c r="G31" s="237"/>
      <c r="H31" s="237" t="s">
        <v>333</v>
      </c>
      <c r="I31" s="237" t="s">
        <v>333</v>
      </c>
      <c r="J31" s="237"/>
      <c r="K31" s="237"/>
      <c r="L31" s="237"/>
      <c r="M31" s="237"/>
      <c r="N31" s="237"/>
      <c r="O31" s="237"/>
      <c r="P31" s="237"/>
      <c r="Q31" s="237"/>
      <c r="R31" s="237"/>
      <c r="S31" s="237" t="s">
        <v>333</v>
      </c>
      <c r="T31" s="237" t="s">
        <v>333</v>
      </c>
      <c r="U31" s="237"/>
      <c r="V31" s="237" t="s">
        <v>333</v>
      </c>
      <c r="W31" s="237"/>
      <c r="X31" s="237"/>
      <c r="Y31" s="237"/>
      <c r="Z31" s="237"/>
      <c r="AA31" s="237"/>
      <c r="AB31" s="240" t="s">
        <v>310</v>
      </c>
      <c r="AC31" s="168" t="s">
        <v>13</v>
      </c>
      <c r="AD31" s="166"/>
      <c r="AE31" s="170">
        <v>13</v>
      </c>
      <c r="AF31" s="172" t="s">
        <v>182</v>
      </c>
      <c r="AG31" s="172"/>
      <c r="AH31" s="224">
        <v>542.35</v>
      </c>
      <c r="AI31" s="169">
        <v>1295606.1284500002</v>
      </c>
      <c r="AJ31" s="169">
        <f t="shared" si="0"/>
        <v>702671983.76485765</v>
      </c>
      <c r="AK31" s="224">
        <v>542.35</v>
      </c>
      <c r="AL31" s="169"/>
      <c r="AM31" s="169">
        <f>SUMIFS('B3. THKL THEO CKHD'!K:K,'B3. THKL THEO CKHD'!C:C,'SCAN BOQ'!B31)</f>
        <v>0</v>
      </c>
      <c r="AN31" s="169">
        <f t="shared" si="1"/>
        <v>-542.35</v>
      </c>
      <c r="AO31" s="169">
        <f t="shared" si="2"/>
        <v>-702671983.76485765</v>
      </c>
      <c r="AP31" s="169">
        <f t="shared" si="3"/>
        <v>0</v>
      </c>
      <c r="AQ31" s="169">
        <f t="shared" si="4"/>
        <v>0</v>
      </c>
    </row>
    <row r="32" spans="1:43" s="242" customFormat="1" ht="34" outlineLevel="2">
      <c r="A32" s="239"/>
      <c r="B32" s="239" t="str">
        <f>'B-1. THKL THEO ID'!B30</f>
        <v>ID-010</v>
      </c>
      <c r="C32" s="239"/>
      <c r="D32" s="239" t="str">
        <f>"BOQ-"&amp; TEXT(COUNTA($D$6:D31),"000")</f>
        <v>BOQ-012</v>
      </c>
      <c r="E32" s="239" t="s">
        <v>135</v>
      </c>
      <c r="F32" s="237"/>
      <c r="G32" s="237"/>
      <c r="H32" s="237" t="s">
        <v>333</v>
      </c>
      <c r="I32" s="237" t="s">
        <v>333</v>
      </c>
      <c r="J32" s="237"/>
      <c r="K32" s="237"/>
      <c r="L32" s="237"/>
      <c r="M32" s="237"/>
      <c r="N32" s="237"/>
      <c r="O32" s="237"/>
      <c r="P32" s="237"/>
      <c r="Q32" s="237"/>
      <c r="R32" s="237"/>
      <c r="S32" s="237" t="s">
        <v>333</v>
      </c>
      <c r="T32" s="237" t="s">
        <v>333</v>
      </c>
      <c r="U32" s="237"/>
      <c r="V32" s="237" t="s">
        <v>333</v>
      </c>
      <c r="W32" s="237"/>
      <c r="X32" s="237"/>
      <c r="Y32" s="237"/>
      <c r="Z32" s="237"/>
      <c r="AA32" s="237"/>
      <c r="AB32" s="240" t="s">
        <v>343</v>
      </c>
      <c r="AC32" s="168" t="s">
        <v>215</v>
      </c>
      <c r="AD32" s="166"/>
      <c r="AE32" s="170">
        <v>14</v>
      </c>
      <c r="AF32" s="172" t="s">
        <v>183</v>
      </c>
      <c r="AG32" s="172"/>
      <c r="AH32" s="224">
        <v>312.66390000000001</v>
      </c>
      <c r="AI32" s="169">
        <v>20404747.402000003</v>
      </c>
      <c r="AJ32" s="169">
        <f t="shared" si="0"/>
        <v>6379827901.2241888</v>
      </c>
      <c r="AK32" s="224">
        <v>312.66390000000001</v>
      </c>
      <c r="AL32" s="169"/>
      <c r="AM32" s="169">
        <f>SUMIFS('B3. THKL THEO CKHD'!K:K,'B3. THKL THEO CKHD'!C:C,'SCAN BOQ'!B32)</f>
        <v>0</v>
      </c>
      <c r="AN32" s="169">
        <f t="shared" si="1"/>
        <v>-312.66390000000001</v>
      </c>
      <c r="AO32" s="169">
        <f t="shared" si="2"/>
        <v>-6379827901.2241888</v>
      </c>
      <c r="AP32" s="169">
        <f t="shared" si="3"/>
        <v>0</v>
      </c>
      <c r="AQ32" s="169">
        <f t="shared" si="4"/>
        <v>0</v>
      </c>
    </row>
    <row r="33" spans="1:43" s="242" customFormat="1" ht="34" outlineLevel="2">
      <c r="A33" s="239"/>
      <c r="B33" s="239" t="str">
        <f>'B-1. THKL THEO ID'!B31</f>
        <v>ID-010A</v>
      </c>
      <c r="C33" s="239" t="str">
        <f>'B-1. THKL THEO ID'!C31</f>
        <v>CBS</v>
      </c>
      <c r="D33" s="239"/>
      <c r="E33" s="239" t="s">
        <v>135</v>
      </c>
      <c r="F33" s="237"/>
      <c r="G33" s="237"/>
      <c r="H33" s="237" t="s">
        <v>333</v>
      </c>
      <c r="I33" s="237" t="s">
        <v>333</v>
      </c>
      <c r="J33" s="237"/>
      <c r="K33" s="237"/>
      <c r="L33" s="237"/>
      <c r="M33" s="237"/>
      <c r="N33" s="237"/>
      <c r="O33" s="237"/>
      <c r="P33" s="237"/>
      <c r="Q33" s="237"/>
      <c r="R33" s="237"/>
      <c r="S33" s="237" t="s">
        <v>333</v>
      </c>
      <c r="T33" s="237" t="s">
        <v>333</v>
      </c>
      <c r="U33" s="237"/>
      <c r="V33" s="237" t="s">
        <v>333</v>
      </c>
      <c r="W33" s="237"/>
      <c r="X33" s="237"/>
      <c r="Y33" s="237"/>
      <c r="Z33" s="237"/>
      <c r="AA33" s="237"/>
      <c r="AB33" s="240" t="s">
        <v>344</v>
      </c>
      <c r="AC33" s="168" t="s">
        <v>15</v>
      </c>
      <c r="AD33" s="166"/>
      <c r="AE33" s="170"/>
      <c r="AF33" s="172"/>
      <c r="AG33" s="172"/>
      <c r="AH33" s="224"/>
      <c r="AI33" s="169"/>
      <c r="AJ33" s="169"/>
      <c r="AK33" s="224"/>
      <c r="AL33" s="169"/>
      <c r="AM33" s="169">
        <f>SUMIFS('B3. THKL THEO CKHD'!K:K,'B3. THKL THEO CKHD'!C:C,'SCAN BOQ'!B33)</f>
        <v>0</v>
      </c>
      <c r="AN33" s="169">
        <f t="shared" si="1"/>
        <v>0</v>
      </c>
      <c r="AO33" s="169">
        <f t="shared" si="2"/>
        <v>0</v>
      </c>
      <c r="AP33" s="169">
        <f t="shared" si="3"/>
        <v>0</v>
      </c>
      <c r="AQ33" s="169"/>
    </row>
    <row r="34" spans="1:43" s="242" customFormat="1" ht="51" outlineLevel="2">
      <c r="A34" s="239"/>
      <c r="B34" s="239" t="str">
        <f>'B-1. THKL THEO ID'!B32</f>
        <v>ID-011</v>
      </c>
      <c r="C34" s="239"/>
      <c r="D34" s="239" t="str">
        <f>"BOQ-"&amp; TEXT(COUNTA($D$6:D33),"000")</f>
        <v>BOQ-013</v>
      </c>
      <c r="E34" s="239" t="s">
        <v>98</v>
      </c>
      <c r="F34" s="237"/>
      <c r="G34" s="237"/>
      <c r="H34" s="237" t="s">
        <v>333</v>
      </c>
      <c r="I34" s="237" t="s">
        <v>333</v>
      </c>
      <c r="J34" s="237"/>
      <c r="K34" s="237"/>
      <c r="L34" s="237"/>
      <c r="M34" s="237"/>
      <c r="N34" s="237"/>
      <c r="O34" s="237"/>
      <c r="P34" s="237"/>
      <c r="Q34" s="237"/>
      <c r="R34" s="237"/>
      <c r="S34" s="237" t="s">
        <v>333</v>
      </c>
      <c r="T34" s="237" t="s">
        <v>333</v>
      </c>
      <c r="U34" s="237"/>
      <c r="V34" s="237" t="s">
        <v>333</v>
      </c>
      <c r="W34" s="237"/>
      <c r="X34" s="237"/>
      <c r="Y34" s="237"/>
      <c r="Z34" s="237"/>
      <c r="AA34" s="237"/>
      <c r="AB34" s="240" t="s">
        <v>524</v>
      </c>
      <c r="AC34" s="168" t="s">
        <v>13</v>
      </c>
      <c r="AD34" s="166"/>
      <c r="AE34" s="170">
        <v>15</v>
      </c>
      <c r="AF34" s="172" t="s">
        <v>184</v>
      </c>
      <c r="AG34" s="172"/>
      <c r="AH34" s="224">
        <v>1627.05</v>
      </c>
      <c r="AI34" s="169">
        <v>1453510.2606999998</v>
      </c>
      <c r="AJ34" s="169">
        <f t="shared" si="0"/>
        <v>2364933869.6719346</v>
      </c>
      <c r="AK34" s="224">
        <v>1627.05</v>
      </c>
      <c r="AL34" s="169"/>
      <c r="AM34" s="169">
        <f>SUMIFS('B3. THKL THEO CKHD'!K:K,'B3. THKL THEO CKHD'!C:C,'SCAN BOQ'!B34)</f>
        <v>0</v>
      </c>
      <c r="AN34" s="169">
        <f t="shared" si="1"/>
        <v>-1627.05</v>
      </c>
      <c r="AO34" s="169">
        <f t="shared" si="2"/>
        <v>-2364933869.6719346</v>
      </c>
      <c r="AP34" s="169">
        <f t="shared" si="3"/>
        <v>0</v>
      </c>
      <c r="AQ34" s="169">
        <f t="shared" si="4"/>
        <v>0</v>
      </c>
    </row>
    <row r="35" spans="1:43" s="242" customFormat="1" ht="34" outlineLevel="2">
      <c r="A35" s="239"/>
      <c r="B35" s="239" t="str">
        <f>'B-1. THKL THEO ID'!B33</f>
        <v>ID-011A</v>
      </c>
      <c r="C35" s="239" t="str">
        <f>'B-1. THKL THEO ID'!C33</f>
        <v>CBS</v>
      </c>
      <c r="D35" s="239"/>
      <c r="E35" s="239" t="s">
        <v>98</v>
      </c>
      <c r="F35" s="237"/>
      <c r="G35" s="237"/>
      <c r="H35" s="237" t="s">
        <v>333</v>
      </c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 t="s">
        <v>333</v>
      </c>
      <c r="T35" s="237" t="s">
        <v>333</v>
      </c>
      <c r="U35" s="237"/>
      <c r="V35" s="237" t="s">
        <v>333</v>
      </c>
      <c r="W35" s="237"/>
      <c r="X35" s="237"/>
      <c r="Y35" s="237"/>
      <c r="Z35" s="237"/>
      <c r="AA35" s="237"/>
      <c r="AB35" s="240" t="s">
        <v>320</v>
      </c>
      <c r="AC35" s="168" t="s">
        <v>13</v>
      </c>
      <c r="AD35" s="166"/>
      <c r="AE35" s="170"/>
      <c r="AF35" s="172"/>
      <c r="AG35" s="172"/>
      <c r="AH35" s="224"/>
      <c r="AI35" s="169"/>
      <c r="AJ35" s="169"/>
      <c r="AK35" s="224"/>
      <c r="AL35" s="169"/>
      <c r="AM35" s="169">
        <f>SUMIFS('B3. THKL THEO CKHD'!K:K,'B3. THKL THEO CKHD'!C:C,'SCAN BOQ'!B35)</f>
        <v>0</v>
      </c>
      <c r="AN35" s="169">
        <f t="shared" si="1"/>
        <v>0</v>
      </c>
      <c r="AO35" s="169">
        <f t="shared" si="2"/>
        <v>0</v>
      </c>
      <c r="AP35" s="169">
        <f t="shared" si="3"/>
        <v>0</v>
      </c>
      <c r="AQ35" s="169"/>
    </row>
    <row r="36" spans="1:43" s="242" customFormat="1" ht="34" outlineLevel="2">
      <c r="A36" s="239"/>
      <c r="B36" s="239" t="str">
        <f>'B-1. THKL THEO ID'!B34</f>
        <v>ID-011B</v>
      </c>
      <c r="C36" s="239" t="str">
        <f>'B-1. THKL THEO ID'!C34</f>
        <v>CBS</v>
      </c>
      <c r="D36" s="239"/>
      <c r="E36" s="239" t="s">
        <v>98</v>
      </c>
      <c r="F36" s="237"/>
      <c r="G36" s="237"/>
      <c r="H36" s="237"/>
      <c r="I36" s="237" t="s">
        <v>333</v>
      </c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40" t="s">
        <v>321</v>
      </c>
      <c r="AC36" s="168" t="s">
        <v>13</v>
      </c>
      <c r="AD36" s="166"/>
      <c r="AE36" s="170"/>
      <c r="AF36" s="172"/>
      <c r="AG36" s="172"/>
      <c r="AH36" s="224"/>
      <c r="AI36" s="169"/>
      <c r="AJ36" s="169"/>
      <c r="AK36" s="224"/>
      <c r="AL36" s="169"/>
      <c r="AM36" s="169">
        <f>SUMIFS('B3. THKL THEO CKHD'!K:K,'B3. THKL THEO CKHD'!C:C,'SCAN BOQ'!B36)</f>
        <v>0</v>
      </c>
      <c r="AN36" s="169">
        <f t="shared" si="1"/>
        <v>0</v>
      </c>
      <c r="AO36" s="169">
        <f t="shared" si="2"/>
        <v>0</v>
      </c>
      <c r="AP36" s="169">
        <f t="shared" si="3"/>
        <v>0</v>
      </c>
      <c r="AQ36" s="169"/>
    </row>
    <row r="37" spans="1:43" s="242" customFormat="1" ht="34" outlineLevel="2">
      <c r="A37" s="239"/>
      <c r="B37" s="239" t="str">
        <f>'B-1. THKL THEO ID'!B35</f>
        <v>ID-012</v>
      </c>
      <c r="C37" s="239"/>
      <c r="D37" s="239" t="str">
        <f>"BOQ-"&amp; TEXT(COUNTA($D$6:D34),"000")</f>
        <v>BOQ-014</v>
      </c>
      <c r="E37" s="239" t="s">
        <v>157</v>
      </c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37"/>
      <c r="S37" s="237" t="s">
        <v>333</v>
      </c>
      <c r="T37" s="237" t="s">
        <v>333</v>
      </c>
      <c r="U37" s="237"/>
      <c r="V37" s="237"/>
      <c r="W37" s="237"/>
      <c r="X37" s="237"/>
      <c r="Y37" s="237"/>
      <c r="Z37" s="237"/>
      <c r="AA37" s="237"/>
      <c r="AB37" s="240" t="s">
        <v>349</v>
      </c>
      <c r="AC37" s="168" t="s">
        <v>214</v>
      </c>
      <c r="AD37" s="166"/>
      <c r="AE37" s="170">
        <v>16</v>
      </c>
      <c r="AF37" s="172" t="s">
        <v>185</v>
      </c>
      <c r="AG37" s="172"/>
      <c r="AH37" s="224">
        <v>24.873899999999999</v>
      </c>
      <c r="AI37" s="169">
        <v>26769068.280000001</v>
      </c>
      <c r="AJ37" s="169">
        <f t="shared" si="0"/>
        <v>665851127.48989201</v>
      </c>
      <c r="AK37" s="224">
        <v>24.873899999999999</v>
      </c>
      <c r="AL37" s="169"/>
      <c r="AM37" s="169">
        <f>SUMIFS('B3. THKL THEO CKHD'!K:K,'B3. THKL THEO CKHD'!C:C,'SCAN BOQ'!B37)</f>
        <v>0</v>
      </c>
      <c r="AN37" s="169">
        <f t="shared" si="1"/>
        <v>-24.873899999999999</v>
      </c>
      <c r="AO37" s="169">
        <f t="shared" si="2"/>
        <v>-665851127.48989201</v>
      </c>
      <c r="AP37" s="169">
        <f t="shared" si="3"/>
        <v>0</v>
      </c>
      <c r="AQ37" s="169">
        <f t="shared" si="4"/>
        <v>0</v>
      </c>
    </row>
    <row r="38" spans="1:43" s="242" customFormat="1" ht="17" outlineLevel="2">
      <c r="A38" s="239"/>
      <c r="B38" s="239" t="str">
        <f>'B-1. THKL THEO ID'!B36</f>
        <v>ID-012A</v>
      </c>
      <c r="C38" s="239" t="str">
        <f>'B-1. THKL THEO ID'!C36</f>
        <v>CBS</v>
      </c>
      <c r="D38" s="239"/>
      <c r="E38" s="239" t="s">
        <v>157</v>
      </c>
      <c r="F38" s="237"/>
      <c r="G38" s="237"/>
      <c r="H38" s="237"/>
      <c r="I38" s="237"/>
      <c r="J38" s="237" t="s">
        <v>333</v>
      </c>
      <c r="K38" s="237"/>
      <c r="L38" s="237"/>
      <c r="M38" s="237"/>
      <c r="N38" s="237"/>
      <c r="O38" s="237"/>
      <c r="P38" s="237"/>
      <c r="Q38" s="237"/>
      <c r="R38" s="237"/>
      <c r="S38" s="237"/>
      <c r="T38" s="237"/>
      <c r="U38" s="237"/>
      <c r="V38" s="237"/>
      <c r="W38" s="237" t="s">
        <v>333</v>
      </c>
      <c r="X38" s="237"/>
      <c r="Y38" s="237"/>
      <c r="Z38" s="237"/>
      <c r="AA38" s="237"/>
      <c r="AB38" s="240" t="s">
        <v>350</v>
      </c>
      <c r="AC38" s="168" t="s">
        <v>14</v>
      </c>
      <c r="AD38" s="166"/>
      <c r="AE38" s="170"/>
      <c r="AF38" s="172"/>
      <c r="AG38" s="172"/>
      <c r="AH38" s="224"/>
      <c r="AI38" s="169"/>
      <c r="AJ38" s="169"/>
      <c r="AK38" s="224"/>
      <c r="AL38" s="169"/>
      <c r="AM38" s="169">
        <f>SUMIFS('B3. THKL THEO CKHD'!K:K,'B3. THKL THEO CKHD'!C:C,'SCAN BOQ'!B38)</f>
        <v>0</v>
      </c>
      <c r="AN38" s="169">
        <f t="shared" si="1"/>
        <v>0</v>
      </c>
      <c r="AO38" s="169">
        <f t="shared" si="2"/>
        <v>0</v>
      </c>
      <c r="AP38" s="169">
        <f t="shared" si="3"/>
        <v>0</v>
      </c>
      <c r="AQ38" s="169"/>
    </row>
    <row r="39" spans="1:43" s="242" customFormat="1" ht="17" outlineLevel="2">
      <c r="A39" s="239"/>
      <c r="B39" s="239" t="str">
        <f>'B-1. THKL THEO ID'!B37</f>
        <v>ID-012B</v>
      </c>
      <c r="C39" s="239" t="str">
        <f>'B-1. THKL THEO ID'!C37</f>
        <v>CBS</v>
      </c>
      <c r="D39" s="239"/>
      <c r="E39" s="239" t="s">
        <v>157</v>
      </c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 t="s">
        <v>333</v>
      </c>
      <c r="T39" s="237" t="s">
        <v>333</v>
      </c>
      <c r="U39" s="237"/>
      <c r="V39" s="237"/>
      <c r="W39" s="237"/>
      <c r="X39" s="237"/>
      <c r="Y39" s="237"/>
      <c r="Z39" s="237"/>
      <c r="AA39" s="237"/>
      <c r="AB39" s="240" t="s">
        <v>351</v>
      </c>
      <c r="AC39" s="168" t="s">
        <v>14</v>
      </c>
      <c r="AD39" s="166"/>
      <c r="AE39" s="170"/>
      <c r="AF39" s="172"/>
      <c r="AG39" s="172"/>
      <c r="AH39" s="224"/>
      <c r="AI39" s="169"/>
      <c r="AJ39" s="169"/>
      <c r="AK39" s="224"/>
      <c r="AL39" s="169"/>
      <c r="AM39" s="169">
        <f>SUMIFS('B3. THKL THEO CKHD'!K:K,'B3. THKL THEO CKHD'!C:C,'SCAN BOQ'!B39)</f>
        <v>0</v>
      </c>
      <c r="AN39" s="169">
        <f t="shared" si="1"/>
        <v>0</v>
      </c>
      <c r="AO39" s="169">
        <f t="shared" si="2"/>
        <v>0</v>
      </c>
      <c r="AP39" s="169">
        <f t="shared" si="3"/>
        <v>0</v>
      </c>
      <c r="AQ39" s="169"/>
    </row>
    <row r="40" spans="1:43" s="242" customFormat="1" ht="34" outlineLevel="2">
      <c r="A40" s="239"/>
      <c r="B40" s="239" t="str">
        <f>'B-1. THKL THEO ID'!B38</f>
        <v>ID-013A</v>
      </c>
      <c r="C40" s="239"/>
      <c r="D40" s="239" t="str">
        <f>"BOQ-"&amp; TEXT(COUNTA($D$6:D38),"000")</f>
        <v>BOQ-015</v>
      </c>
      <c r="E40" s="239" t="s">
        <v>135</v>
      </c>
      <c r="F40" s="237"/>
      <c r="G40" s="237"/>
      <c r="H40" s="237"/>
      <c r="I40" s="237"/>
      <c r="J40" s="237" t="s">
        <v>333</v>
      </c>
      <c r="K40" s="237"/>
      <c r="L40" s="237"/>
      <c r="M40" s="237"/>
      <c r="N40" s="237"/>
      <c r="O40" s="237"/>
      <c r="P40" s="237"/>
      <c r="Q40" s="237"/>
      <c r="R40" s="237"/>
      <c r="S40" s="237" t="s">
        <v>333</v>
      </c>
      <c r="T40" s="237" t="s">
        <v>333</v>
      </c>
      <c r="U40" s="237"/>
      <c r="V40" s="237"/>
      <c r="W40" s="237" t="s">
        <v>333</v>
      </c>
      <c r="X40" s="237"/>
      <c r="Y40" s="237"/>
      <c r="Z40" s="237"/>
      <c r="AA40" s="237"/>
      <c r="AB40" s="239" t="s">
        <v>244</v>
      </c>
      <c r="AC40" s="168" t="s">
        <v>215</v>
      </c>
      <c r="AD40" s="166"/>
      <c r="AE40" s="170">
        <v>17</v>
      </c>
      <c r="AF40" s="172" t="s">
        <v>186</v>
      </c>
      <c r="AG40" s="172"/>
      <c r="AH40" s="224">
        <v>9.3424999999999994</v>
      </c>
      <c r="AI40" s="169">
        <v>20404747.402000003</v>
      </c>
      <c r="AJ40" s="169">
        <f t="shared" si="0"/>
        <v>190631352.603185</v>
      </c>
      <c r="AK40" s="224">
        <v>9.3424999999999994</v>
      </c>
      <c r="AL40" s="169"/>
      <c r="AM40" s="169">
        <f>SUMIFS('B3. THKL THEO CKHD'!K:K,'B3. THKL THEO CKHD'!C:C,'SCAN BOQ'!B40)</f>
        <v>0</v>
      </c>
      <c r="AN40" s="169">
        <f t="shared" si="1"/>
        <v>-9.3424999999999994</v>
      </c>
      <c r="AO40" s="169">
        <f t="shared" si="2"/>
        <v>-190631352.603185</v>
      </c>
      <c r="AP40" s="169">
        <f t="shared" si="3"/>
        <v>0</v>
      </c>
      <c r="AQ40" s="169">
        <f t="shared" si="4"/>
        <v>0</v>
      </c>
    </row>
    <row r="41" spans="1:43" s="242" customFormat="1" ht="34" outlineLevel="2">
      <c r="A41" s="239"/>
      <c r="B41" s="239" t="str">
        <f>'B-1. THKL THEO ID'!B39</f>
        <v>ID-013B</v>
      </c>
      <c r="C41" s="239"/>
      <c r="D41" s="239" t="str">
        <f>"BOQ-"&amp; TEXT(COUNTA($D$6:D40),"000")</f>
        <v>BOQ-016</v>
      </c>
      <c r="E41" s="239" t="s">
        <v>135</v>
      </c>
      <c r="F41" s="237"/>
      <c r="G41" s="237"/>
      <c r="H41" s="237"/>
      <c r="I41" s="237"/>
      <c r="J41" s="237" t="s">
        <v>333</v>
      </c>
      <c r="K41" s="237"/>
      <c r="L41" s="237"/>
      <c r="M41" s="237"/>
      <c r="N41" s="237"/>
      <c r="O41" s="237"/>
      <c r="P41" s="237"/>
      <c r="Q41" s="237"/>
      <c r="R41" s="237"/>
      <c r="S41" s="237" t="s">
        <v>333</v>
      </c>
      <c r="T41" s="237" t="s">
        <v>333</v>
      </c>
      <c r="U41" s="237"/>
      <c r="V41" s="237"/>
      <c r="W41" s="237" t="s">
        <v>333</v>
      </c>
      <c r="X41" s="237"/>
      <c r="Y41" s="237"/>
      <c r="Z41" s="237"/>
      <c r="AA41" s="237"/>
      <c r="AB41" s="239" t="s">
        <v>245</v>
      </c>
      <c r="AC41" s="168" t="s">
        <v>215</v>
      </c>
      <c r="AD41" s="166"/>
      <c r="AE41" s="170">
        <v>18</v>
      </c>
      <c r="AF41" s="172" t="s">
        <v>187</v>
      </c>
      <c r="AG41" s="172"/>
      <c r="AH41" s="224">
        <v>21.885100000000001</v>
      </c>
      <c r="AI41" s="169">
        <v>20404747.402000003</v>
      </c>
      <c r="AJ41" s="169">
        <f t="shared" si="0"/>
        <v>446559937.36751026</v>
      </c>
      <c r="AK41" s="224">
        <v>21.885100000000001</v>
      </c>
      <c r="AL41" s="169"/>
      <c r="AM41" s="169">
        <f>SUMIFS('B3. THKL THEO CKHD'!K:K,'B3. THKL THEO CKHD'!C:C,'SCAN BOQ'!B41)</f>
        <v>0</v>
      </c>
      <c r="AN41" s="169">
        <f t="shared" si="1"/>
        <v>-21.885100000000001</v>
      </c>
      <c r="AO41" s="169">
        <f t="shared" si="2"/>
        <v>-446559937.36751026</v>
      </c>
      <c r="AP41" s="169">
        <f t="shared" si="3"/>
        <v>0</v>
      </c>
      <c r="AQ41" s="169">
        <f t="shared" si="4"/>
        <v>0</v>
      </c>
    </row>
    <row r="42" spans="1:43" s="242" customFormat="1" ht="17" outlineLevel="2">
      <c r="A42" s="239"/>
      <c r="B42" s="239" t="str">
        <f>'B-1. THKL THEO ID'!B40</f>
        <v>ID-013</v>
      </c>
      <c r="C42" s="239" t="str">
        <f>'B-1. THKL THEO ID'!C40</f>
        <v>CBS</v>
      </c>
      <c r="D42" s="239"/>
      <c r="E42" s="239" t="s">
        <v>135</v>
      </c>
      <c r="F42" s="237"/>
      <c r="G42" s="237"/>
      <c r="H42" s="237"/>
      <c r="I42" s="237"/>
      <c r="J42" s="237" t="s">
        <v>333</v>
      </c>
      <c r="K42" s="237"/>
      <c r="L42" s="237"/>
      <c r="M42" s="237"/>
      <c r="N42" s="237"/>
      <c r="O42" s="237"/>
      <c r="P42" s="237"/>
      <c r="Q42" s="237"/>
      <c r="R42" s="237"/>
      <c r="S42" s="237" t="s">
        <v>333</v>
      </c>
      <c r="T42" s="237" t="s">
        <v>333</v>
      </c>
      <c r="U42" s="237"/>
      <c r="V42" s="237"/>
      <c r="W42" s="237" t="s">
        <v>333</v>
      </c>
      <c r="X42" s="237"/>
      <c r="Y42" s="237"/>
      <c r="Z42" s="237"/>
      <c r="AA42" s="237"/>
      <c r="AB42" s="239" t="s">
        <v>295</v>
      </c>
      <c r="AC42" s="168" t="s">
        <v>15</v>
      </c>
      <c r="AD42" s="166"/>
      <c r="AE42" s="170"/>
      <c r="AF42" s="172"/>
      <c r="AG42" s="172"/>
      <c r="AH42" s="224"/>
      <c r="AI42" s="169"/>
      <c r="AJ42" s="169"/>
      <c r="AK42" s="224"/>
      <c r="AL42" s="169"/>
      <c r="AM42" s="169">
        <f>SUMIFS('B3. THKL THEO CKHD'!K:K,'B3. THKL THEO CKHD'!C:C,'SCAN BOQ'!B42)</f>
        <v>0</v>
      </c>
      <c r="AN42" s="169">
        <f t="shared" si="1"/>
        <v>0</v>
      </c>
      <c r="AO42" s="169">
        <f t="shared" si="2"/>
        <v>0</v>
      </c>
      <c r="AP42" s="169">
        <f t="shared" si="3"/>
        <v>0</v>
      </c>
      <c r="AQ42" s="169"/>
    </row>
    <row r="43" spans="1:43" s="242" customFormat="1" ht="51" outlineLevel="2">
      <c r="A43" s="239"/>
      <c r="B43" s="239" t="str">
        <f>'B-1. THKL THEO ID'!B41</f>
        <v>ID-014</v>
      </c>
      <c r="C43" s="239"/>
      <c r="D43" s="239" t="str">
        <f>"BOQ-"&amp; TEXT(COUNTA($D$6:D42),"000")</f>
        <v>BOQ-017</v>
      </c>
      <c r="E43" s="239" t="s">
        <v>98</v>
      </c>
      <c r="F43" s="237"/>
      <c r="G43" s="237"/>
      <c r="H43" s="237"/>
      <c r="I43" s="237"/>
      <c r="J43" s="237" t="s">
        <v>333</v>
      </c>
      <c r="K43" s="237"/>
      <c r="L43" s="237"/>
      <c r="M43" s="237"/>
      <c r="N43" s="237"/>
      <c r="O43" s="237"/>
      <c r="P43" s="237"/>
      <c r="Q43" s="237"/>
      <c r="R43" s="237"/>
      <c r="S43" s="237" t="s">
        <v>333</v>
      </c>
      <c r="T43" s="237" t="s">
        <v>333</v>
      </c>
      <c r="U43" s="237"/>
      <c r="V43" s="237"/>
      <c r="W43" s="237" t="s">
        <v>333</v>
      </c>
      <c r="X43" s="237"/>
      <c r="Y43" s="237"/>
      <c r="Z43" s="237"/>
      <c r="AA43" s="237"/>
      <c r="AB43" s="240" t="s">
        <v>525</v>
      </c>
      <c r="AC43" s="168" t="s">
        <v>13</v>
      </c>
      <c r="AD43" s="166"/>
      <c r="AE43" s="170">
        <v>19</v>
      </c>
      <c r="AF43" s="172" t="s">
        <v>188</v>
      </c>
      <c r="AG43" s="172"/>
      <c r="AH43" s="224">
        <v>389.3734</v>
      </c>
      <c r="AI43" s="169">
        <v>1453510.2606999998</v>
      </c>
      <c r="AJ43" s="169">
        <f t="shared" si="0"/>
        <v>565958232.14364529</v>
      </c>
      <c r="AK43" s="224">
        <v>389.3734</v>
      </c>
      <c r="AL43" s="169"/>
      <c r="AM43" s="169">
        <f>SUMIFS('B3. THKL THEO CKHD'!K:K,'B3. THKL THEO CKHD'!C:C,'SCAN BOQ'!B43)</f>
        <v>0</v>
      </c>
      <c r="AN43" s="169">
        <f t="shared" si="1"/>
        <v>-389.3734</v>
      </c>
      <c r="AO43" s="169">
        <f t="shared" si="2"/>
        <v>-565958232.14364529</v>
      </c>
      <c r="AP43" s="169">
        <f t="shared" si="3"/>
        <v>0</v>
      </c>
      <c r="AQ43" s="169">
        <f t="shared" si="4"/>
        <v>0</v>
      </c>
    </row>
    <row r="44" spans="1:43" s="242" customFormat="1" ht="34" outlineLevel="2">
      <c r="A44" s="239"/>
      <c r="B44" s="239" t="str">
        <f>'B-1. THKL THEO ID'!B42</f>
        <v>ID-014A</v>
      </c>
      <c r="C44" s="239" t="str">
        <f>'B-1. THKL THEO ID'!C42</f>
        <v>CBS</v>
      </c>
      <c r="D44" s="239"/>
      <c r="E44" s="239" t="s">
        <v>98</v>
      </c>
      <c r="F44" s="237"/>
      <c r="G44" s="237"/>
      <c r="H44" s="237"/>
      <c r="I44" s="237"/>
      <c r="J44" s="237" t="s">
        <v>333</v>
      </c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 t="s">
        <v>333</v>
      </c>
      <c r="X44" s="237"/>
      <c r="Y44" s="237"/>
      <c r="Z44" s="237"/>
      <c r="AA44" s="237"/>
      <c r="AB44" s="240" t="s">
        <v>322</v>
      </c>
      <c r="AC44" s="168" t="s">
        <v>13</v>
      </c>
      <c r="AD44" s="166"/>
      <c r="AE44" s="170"/>
      <c r="AF44" s="172"/>
      <c r="AG44" s="172"/>
      <c r="AH44" s="224"/>
      <c r="AI44" s="169"/>
      <c r="AJ44" s="169"/>
      <c r="AK44" s="224"/>
      <c r="AL44" s="169"/>
      <c r="AM44" s="169">
        <f>SUMIFS('B3. THKL THEO CKHD'!K:K,'B3. THKL THEO CKHD'!C:C,'SCAN BOQ'!B44)</f>
        <v>0</v>
      </c>
      <c r="AN44" s="169">
        <f t="shared" si="1"/>
        <v>0</v>
      </c>
      <c r="AO44" s="169">
        <f t="shared" si="2"/>
        <v>0</v>
      </c>
      <c r="AP44" s="169">
        <f t="shared" si="3"/>
        <v>0</v>
      </c>
      <c r="AQ44" s="169"/>
    </row>
    <row r="45" spans="1:43" s="242" customFormat="1" ht="34" outlineLevel="2">
      <c r="A45" s="239"/>
      <c r="B45" s="239" t="str">
        <f>'B-1. THKL THEO ID'!B43</f>
        <v>ID-014B</v>
      </c>
      <c r="C45" s="239" t="str">
        <f>'B-1. THKL THEO ID'!C43</f>
        <v>CBS</v>
      </c>
      <c r="D45" s="239"/>
      <c r="E45" s="239" t="s">
        <v>98</v>
      </c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7"/>
      <c r="S45" s="237" t="s">
        <v>333</v>
      </c>
      <c r="T45" s="237" t="s">
        <v>333</v>
      </c>
      <c r="U45" s="237"/>
      <c r="V45" s="237"/>
      <c r="W45" s="237"/>
      <c r="X45" s="237"/>
      <c r="Y45" s="237"/>
      <c r="Z45" s="237"/>
      <c r="AA45" s="237"/>
      <c r="AB45" s="240" t="s">
        <v>338</v>
      </c>
      <c r="AC45" s="168" t="s">
        <v>13</v>
      </c>
      <c r="AD45" s="166"/>
      <c r="AE45" s="170"/>
      <c r="AF45" s="172"/>
      <c r="AG45" s="172"/>
      <c r="AH45" s="224"/>
      <c r="AI45" s="169"/>
      <c r="AJ45" s="169"/>
      <c r="AK45" s="224"/>
      <c r="AL45" s="169"/>
      <c r="AM45" s="169">
        <f>SUMIFS('B3. THKL THEO CKHD'!K:K,'B3. THKL THEO CKHD'!C:C,'SCAN BOQ'!B45)</f>
        <v>0</v>
      </c>
      <c r="AN45" s="169">
        <f t="shared" si="1"/>
        <v>0</v>
      </c>
      <c r="AO45" s="169">
        <f t="shared" si="2"/>
        <v>0</v>
      </c>
      <c r="AP45" s="169">
        <f t="shared" si="3"/>
        <v>0</v>
      </c>
      <c r="AQ45" s="169"/>
    </row>
    <row r="46" spans="1:43" s="242" customFormat="1" ht="17" outlineLevel="2">
      <c r="A46" s="239"/>
      <c r="B46" s="239" t="str">
        <f>'B-1. THKL THEO ID'!B44</f>
        <v>ID-X01</v>
      </c>
      <c r="C46" s="239" t="str">
        <f>'B-1. THKL THEO ID'!C44</f>
        <v>CBS</v>
      </c>
      <c r="D46" s="239" t="str">
        <f>"BOQ-"&amp; TEXT(COUNTA($D$6:D43),"000")</f>
        <v>BOQ-018</v>
      </c>
      <c r="E46" s="239" t="s">
        <v>159</v>
      </c>
      <c r="F46" s="237"/>
      <c r="G46" s="237"/>
      <c r="H46" s="237"/>
      <c r="I46" s="237"/>
      <c r="J46" s="237" t="s">
        <v>333</v>
      </c>
      <c r="K46" s="237"/>
      <c r="L46" s="237"/>
      <c r="M46" s="237"/>
      <c r="N46" s="237"/>
      <c r="O46" s="237"/>
      <c r="P46" s="237"/>
      <c r="Q46" s="237"/>
      <c r="R46" s="237"/>
      <c r="S46" s="237" t="s">
        <v>333</v>
      </c>
      <c r="T46" s="237" t="s">
        <v>333</v>
      </c>
      <c r="U46" s="237"/>
      <c r="V46" s="237"/>
      <c r="W46" s="237" t="s">
        <v>333</v>
      </c>
      <c r="X46" s="237"/>
      <c r="Y46" s="237"/>
      <c r="Z46" s="237" t="s">
        <v>333</v>
      </c>
      <c r="AA46" s="237"/>
      <c r="AB46" s="239" t="s">
        <v>307</v>
      </c>
      <c r="AC46" s="168" t="s">
        <v>28</v>
      </c>
      <c r="AD46" s="166"/>
      <c r="AE46" s="170">
        <v>20</v>
      </c>
      <c r="AF46" s="172" t="s">
        <v>189</v>
      </c>
      <c r="AG46" s="172"/>
      <c r="AH46" s="224">
        <v>268</v>
      </c>
      <c r="AI46" s="169">
        <v>193995.18237999995</v>
      </c>
      <c r="AJ46" s="169">
        <f t="shared" si="0"/>
        <v>51990708.87783999</v>
      </c>
      <c r="AK46" s="224">
        <v>268</v>
      </c>
      <c r="AL46" s="169"/>
      <c r="AM46" s="169">
        <f>SUMIFS('B3. THKL THEO CKHD'!K:K,'B3. THKL THEO CKHD'!C:C,'SCAN BOQ'!B46)</f>
        <v>0</v>
      </c>
      <c r="AN46" s="169">
        <f t="shared" si="1"/>
        <v>-268</v>
      </c>
      <c r="AO46" s="169">
        <f t="shared" si="2"/>
        <v>-51990708.87783999</v>
      </c>
      <c r="AP46" s="169">
        <f t="shared" si="3"/>
        <v>0</v>
      </c>
      <c r="AQ46" s="169">
        <f t="shared" si="4"/>
        <v>0</v>
      </c>
    </row>
    <row r="47" spans="1:43" s="242" customFormat="1" ht="51" outlineLevel="2">
      <c r="A47" s="239"/>
      <c r="B47" s="239" t="str">
        <f>'B-1. THKL THEO ID'!B45</f>
        <v>ID-015</v>
      </c>
      <c r="C47" s="239"/>
      <c r="D47" s="239" t="str">
        <f>"BOQ-"&amp; TEXT(COUNTA($D$6:D46),"000")</f>
        <v>BOQ-019</v>
      </c>
      <c r="E47" s="239" t="s">
        <v>157</v>
      </c>
      <c r="F47" s="237"/>
      <c r="G47" s="237"/>
      <c r="H47" s="237"/>
      <c r="I47" s="237"/>
      <c r="J47" s="237"/>
      <c r="K47" s="237" t="s">
        <v>333</v>
      </c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 t="s">
        <v>333</v>
      </c>
      <c r="Y47" s="237"/>
      <c r="Z47" s="237"/>
      <c r="AA47" s="237"/>
      <c r="AB47" s="239" t="s">
        <v>246</v>
      </c>
      <c r="AC47" s="168" t="s">
        <v>214</v>
      </c>
      <c r="AD47" s="166"/>
      <c r="AE47" s="170">
        <v>21</v>
      </c>
      <c r="AF47" s="172" t="s">
        <v>190</v>
      </c>
      <c r="AG47" s="172"/>
      <c r="AH47" s="224">
        <v>14.485200000000001</v>
      </c>
      <c r="AI47" s="169">
        <v>26769068.280000001</v>
      </c>
      <c r="AJ47" s="169">
        <f t="shared" si="0"/>
        <v>387755307.84945601</v>
      </c>
      <c r="AK47" s="224">
        <v>14.485200000000001</v>
      </c>
      <c r="AL47" s="169"/>
      <c r="AM47" s="169">
        <f>SUMIFS('B3. THKL THEO CKHD'!K:K,'B3. THKL THEO CKHD'!C:C,'SCAN BOQ'!B47)</f>
        <v>0</v>
      </c>
      <c r="AN47" s="169">
        <f t="shared" si="1"/>
        <v>-14.485200000000001</v>
      </c>
      <c r="AO47" s="169">
        <f t="shared" si="2"/>
        <v>-387755307.84945601</v>
      </c>
      <c r="AP47" s="169">
        <f t="shared" si="3"/>
        <v>0</v>
      </c>
      <c r="AQ47" s="169">
        <f t="shared" si="4"/>
        <v>0</v>
      </c>
    </row>
    <row r="48" spans="1:43" s="242" customFormat="1" ht="17" outlineLevel="2">
      <c r="A48" s="239"/>
      <c r="B48" s="239" t="str">
        <f>'B-1. THKL THEO ID'!B46</f>
        <v>ID-015A</v>
      </c>
      <c r="C48" s="239" t="str">
        <f>'B-1. THKL THEO ID'!C46</f>
        <v>CBS</v>
      </c>
      <c r="D48" s="239"/>
      <c r="E48" s="239" t="s">
        <v>157</v>
      </c>
      <c r="F48" s="237"/>
      <c r="G48" s="237"/>
      <c r="H48" s="237"/>
      <c r="I48" s="237"/>
      <c r="J48" s="237"/>
      <c r="K48" s="237" t="s">
        <v>333</v>
      </c>
      <c r="L48" s="237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 t="s">
        <v>333</v>
      </c>
      <c r="Y48" s="237"/>
      <c r="Z48" s="237"/>
      <c r="AA48" s="237"/>
      <c r="AB48" s="239" t="s">
        <v>296</v>
      </c>
      <c r="AC48" s="168" t="s">
        <v>14</v>
      </c>
      <c r="AD48" s="166"/>
      <c r="AE48" s="170"/>
      <c r="AF48" s="172"/>
      <c r="AG48" s="172"/>
      <c r="AH48" s="224"/>
      <c r="AI48" s="169"/>
      <c r="AJ48" s="169"/>
      <c r="AK48" s="224"/>
      <c r="AL48" s="169"/>
      <c r="AM48" s="169">
        <f>SUMIFS('B3. THKL THEO CKHD'!K:K,'B3. THKL THEO CKHD'!C:C,'SCAN BOQ'!B48)</f>
        <v>0</v>
      </c>
      <c r="AN48" s="169">
        <f t="shared" si="1"/>
        <v>0</v>
      </c>
      <c r="AO48" s="169">
        <f t="shared" si="2"/>
        <v>0</v>
      </c>
      <c r="AP48" s="169">
        <f t="shared" si="3"/>
        <v>0</v>
      </c>
      <c r="AQ48" s="169"/>
    </row>
    <row r="49" spans="1:43" s="242" customFormat="1" ht="34" outlineLevel="2">
      <c r="A49" s="239"/>
      <c r="B49" s="239" t="str">
        <f>'B-1. THKL THEO ID'!B47</f>
        <v>ID-016A</v>
      </c>
      <c r="C49" s="239"/>
      <c r="D49" s="239" t="str">
        <f>"BOQ-"&amp; TEXT(COUNTA($D$6:D48),"000")</f>
        <v>BOQ-020</v>
      </c>
      <c r="E49" s="239" t="s">
        <v>135</v>
      </c>
      <c r="F49" s="237"/>
      <c r="G49" s="237"/>
      <c r="H49" s="237"/>
      <c r="I49" s="237"/>
      <c r="J49" s="237"/>
      <c r="K49" s="237" t="s">
        <v>333</v>
      </c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 t="s">
        <v>333</v>
      </c>
      <c r="Y49" s="237"/>
      <c r="Z49" s="237"/>
      <c r="AA49" s="237"/>
      <c r="AB49" s="239" t="s">
        <v>247</v>
      </c>
      <c r="AC49" s="168" t="s">
        <v>215</v>
      </c>
      <c r="AD49" s="166"/>
      <c r="AE49" s="170">
        <v>22</v>
      </c>
      <c r="AF49" s="172" t="s">
        <v>191</v>
      </c>
      <c r="AG49" s="172"/>
      <c r="AH49" s="224">
        <v>0.77090000000000003</v>
      </c>
      <c r="AI49" s="169">
        <v>20404747.402000003</v>
      </c>
      <c r="AJ49" s="169">
        <f t="shared" si="0"/>
        <v>15730019.772201803</v>
      </c>
      <c r="AK49" s="224">
        <v>0.77090000000000003</v>
      </c>
      <c r="AL49" s="169"/>
      <c r="AM49" s="169">
        <f>SUMIFS('B3. THKL THEO CKHD'!K:K,'B3. THKL THEO CKHD'!C:C,'SCAN BOQ'!B49)</f>
        <v>0</v>
      </c>
      <c r="AN49" s="169">
        <f t="shared" si="1"/>
        <v>-0.77090000000000003</v>
      </c>
      <c r="AO49" s="169">
        <f t="shared" si="2"/>
        <v>-15730019.772201803</v>
      </c>
      <c r="AP49" s="169">
        <f t="shared" si="3"/>
        <v>0</v>
      </c>
      <c r="AQ49" s="169">
        <f t="shared" si="4"/>
        <v>0</v>
      </c>
    </row>
    <row r="50" spans="1:43" s="242" customFormat="1" ht="34" outlineLevel="2">
      <c r="A50" s="239"/>
      <c r="B50" s="239" t="str">
        <f>'B-1. THKL THEO ID'!B48</f>
        <v>ID-016B</v>
      </c>
      <c r="C50" s="239"/>
      <c r="D50" s="239" t="str">
        <f>"BOQ-"&amp; TEXT(COUNTA($D$6:D49),"000")</f>
        <v>BOQ-021</v>
      </c>
      <c r="E50" s="239" t="s">
        <v>135</v>
      </c>
      <c r="F50" s="237"/>
      <c r="G50" s="237"/>
      <c r="H50" s="237"/>
      <c r="I50" s="237"/>
      <c r="J50" s="237"/>
      <c r="K50" s="237" t="s">
        <v>333</v>
      </c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 t="s">
        <v>333</v>
      </c>
      <c r="Y50" s="237"/>
      <c r="Z50" s="237"/>
      <c r="AA50" s="237"/>
      <c r="AB50" s="239" t="s">
        <v>248</v>
      </c>
      <c r="AC50" s="168" t="s">
        <v>215</v>
      </c>
      <c r="AD50" s="166"/>
      <c r="AE50" s="170">
        <v>23</v>
      </c>
      <c r="AF50" s="172" t="s">
        <v>192</v>
      </c>
      <c r="AG50" s="172"/>
      <c r="AH50" s="224">
        <v>16.0564</v>
      </c>
      <c r="AI50" s="169">
        <v>20404747.402000003</v>
      </c>
      <c r="AJ50" s="169">
        <f t="shared" si="0"/>
        <v>327626786.18547285</v>
      </c>
      <c r="AK50" s="224">
        <v>16.0564</v>
      </c>
      <c r="AL50" s="169"/>
      <c r="AM50" s="169">
        <f>SUMIFS('B3. THKL THEO CKHD'!K:K,'B3. THKL THEO CKHD'!C:C,'SCAN BOQ'!B50)</f>
        <v>0</v>
      </c>
      <c r="AN50" s="169">
        <f t="shared" si="1"/>
        <v>-16.0564</v>
      </c>
      <c r="AO50" s="169">
        <f t="shared" si="2"/>
        <v>-327626786.18547285</v>
      </c>
      <c r="AP50" s="169">
        <f t="shared" si="3"/>
        <v>0</v>
      </c>
      <c r="AQ50" s="169">
        <f t="shared" si="4"/>
        <v>0</v>
      </c>
    </row>
    <row r="51" spans="1:43" s="242" customFormat="1" ht="34" outlineLevel="2">
      <c r="A51" s="239"/>
      <c r="B51" s="239" t="str">
        <f>'B-1. THKL THEO ID'!B49</f>
        <v>ID-016C</v>
      </c>
      <c r="C51" s="239"/>
      <c r="D51" s="239" t="str">
        <f>"BOQ-"&amp; TEXT(COUNTA($D$6:D50),"000")</f>
        <v>BOQ-022</v>
      </c>
      <c r="E51" s="239" t="s">
        <v>135</v>
      </c>
      <c r="F51" s="237"/>
      <c r="G51" s="237"/>
      <c r="H51" s="237"/>
      <c r="I51" s="237"/>
      <c r="J51" s="237"/>
      <c r="K51" s="237" t="s">
        <v>333</v>
      </c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 t="s">
        <v>333</v>
      </c>
      <c r="Y51" s="237"/>
      <c r="Z51" s="237"/>
      <c r="AA51" s="237"/>
      <c r="AB51" s="239" t="s">
        <v>249</v>
      </c>
      <c r="AC51" s="168" t="s">
        <v>215</v>
      </c>
      <c r="AD51" s="166"/>
      <c r="AE51" s="170">
        <v>24</v>
      </c>
      <c r="AF51" s="172" t="s">
        <v>193</v>
      </c>
      <c r="AG51" s="172"/>
      <c r="AH51" s="224">
        <v>81.564999999999998</v>
      </c>
      <c r="AI51" s="169">
        <v>20404747.402000003</v>
      </c>
      <c r="AJ51" s="169">
        <f t="shared" si="0"/>
        <v>1664313221.8441303</v>
      </c>
      <c r="AK51" s="224">
        <v>81.564999999999998</v>
      </c>
      <c r="AL51" s="169"/>
      <c r="AM51" s="169">
        <f>SUMIFS('B3. THKL THEO CKHD'!K:K,'B3. THKL THEO CKHD'!C:C,'SCAN BOQ'!B51)</f>
        <v>0</v>
      </c>
      <c r="AN51" s="169">
        <f t="shared" si="1"/>
        <v>-81.564999999999998</v>
      </c>
      <c r="AO51" s="169">
        <f t="shared" si="2"/>
        <v>-1664313221.8441303</v>
      </c>
      <c r="AP51" s="169">
        <f t="shared" si="3"/>
        <v>0</v>
      </c>
      <c r="AQ51" s="169">
        <f t="shared" si="4"/>
        <v>0</v>
      </c>
    </row>
    <row r="52" spans="1:43" s="242" customFormat="1" ht="17" outlineLevel="2">
      <c r="A52" s="239"/>
      <c r="B52" s="239" t="str">
        <f>'B-1. THKL THEO ID'!B50</f>
        <v>ID-016</v>
      </c>
      <c r="C52" s="239" t="str">
        <f>'B-1. THKL THEO ID'!C50</f>
        <v>CBS</v>
      </c>
      <c r="D52" s="239"/>
      <c r="E52" s="239" t="s">
        <v>135</v>
      </c>
      <c r="F52" s="237"/>
      <c r="G52" s="237"/>
      <c r="H52" s="237"/>
      <c r="I52" s="237"/>
      <c r="J52" s="237"/>
      <c r="K52" s="237" t="s">
        <v>333</v>
      </c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 t="s">
        <v>333</v>
      </c>
      <c r="Y52" s="237"/>
      <c r="Z52" s="237"/>
      <c r="AA52" s="237"/>
      <c r="AB52" s="239" t="s">
        <v>297</v>
      </c>
      <c r="AC52" s="168" t="s">
        <v>15</v>
      </c>
      <c r="AD52" s="166"/>
      <c r="AE52" s="170"/>
      <c r="AF52" s="172"/>
      <c r="AG52" s="172"/>
      <c r="AH52" s="224"/>
      <c r="AI52" s="169"/>
      <c r="AJ52" s="169"/>
      <c r="AK52" s="224"/>
      <c r="AL52" s="169"/>
      <c r="AM52" s="169">
        <f>SUMIFS('B3. THKL THEO CKHD'!K:K,'B3. THKL THEO CKHD'!C:C,'SCAN BOQ'!B52)</f>
        <v>0</v>
      </c>
      <c r="AN52" s="169">
        <f t="shared" si="1"/>
        <v>0</v>
      </c>
      <c r="AO52" s="169">
        <f t="shared" si="2"/>
        <v>0</v>
      </c>
      <c r="AP52" s="169">
        <f t="shared" si="3"/>
        <v>0</v>
      </c>
      <c r="AQ52" s="169"/>
    </row>
    <row r="53" spans="1:43" s="242" customFormat="1" ht="17" outlineLevel="2">
      <c r="A53" s="239"/>
      <c r="B53" s="239" t="str">
        <f>'B-1. THKL THEO ID'!B51</f>
        <v>ID-017</v>
      </c>
      <c r="C53" s="239" t="str">
        <f>'B-1. THKL THEO ID'!C51</f>
        <v>CBS</v>
      </c>
      <c r="D53" s="239"/>
      <c r="E53" s="239" t="s">
        <v>308</v>
      </c>
      <c r="F53" s="237"/>
      <c r="G53" s="237"/>
      <c r="H53" s="237"/>
      <c r="I53" s="237"/>
      <c r="J53" s="237"/>
      <c r="K53" s="237" t="s">
        <v>333</v>
      </c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 t="s">
        <v>333</v>
      </c>
      <c r="Y53" s="237"/>
      <c r="Z53" s="237"/>
      <c r="AA53" s="237"/>
      <c r="AB53" s="239" t="s">
        <v>311</v>
      </c>
      <c r="AC53" s="168" t="s">
        <v>118</v>
      </c>
      <c r="AD53" s="166"/>
      <c r="AE53" s="170"/>
      <c r="AF53" s="172"/>
      <c r="AG53" s="172"/>
      <c r="AH53" s="224"/>
      <c r="AI53" s="169"/>
      <c r="AJ53" s="169"/>
      <c r="AK53" s="224"/>
      <c r="AL53" s="169"/>
      <c r="AM53" s="169">
        <f>SUMIFS('B3. THKL THEO CKHD'!K:K,'B3. THKL THEO CKHD'!C:C,'SCAN BOQ'!B53)</f>
        <v>0</v>
      </c>
      <c r="AN53" s="169">
        <f t="shared" si="1"/>
        <v>0</v>
      </c>
      <c r="AO53" s="169">
        <f t="shared" si="2"/>
        <v>0</v>
      </c>
      <c r="AP53" s="169">
        <f t="shared" si="3"/>
        <v>0</v>
      </c>
      <c r="AQ53" s="169"/>
    </row>
    <row r="54" spans="1:43" s="242" customFormat="1" ht="17" outlineLevel="2">
      <c r="A54" s="239"/>
      <c r="B54" s="239" t="str">
        <f>'B-1. THKL THEO ID'!B52</f>
        <v>ID-018</v>
      </c>
      <c r="C54" s="239" t="str">
        <f>'B-1. THKL THEO ID'!C52</f>
        <v>CBS</v>
      </c>
      <c r="D54" s="239"/>
      <c r="E54" s="239" t="s">
        <v>308</v>
      </c>
      <c r="F54" s="237"/>
      <c r="G54" s="237"/>
      <c r="H54" s="237"/>
      <c r="I54" s="237"/>
      <c r="J54" s="237"/>
      <c r="K54" s="237" t="s">
        <v>333</v>
      </c>
      <c r="L54" s="237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37"/>
      <c r="X54" s="237" t="s">
        <v>333</v>
      </c>
      <c r="Y54" s="237"/>
      <c r="Z54" s="237"/>
      <c r="AA54" s="237"/>
      <c r="AB54" s="239" t="s">
        <v>312</v>
      </c>
      <c r="AC54" s="168" t="s">
        <v>118</v>
      </c>
      <c r="AD54" s="166"/>
      <c r="AE54" s="170"/>
      <c r="AF54" s="172"/>
      <c r="AG54" s="172"/>
      <c r="AH54" s="224"/>
      <c r="AI54" s="169"/>
      <c r="AJ54" s="169"/>
      <c r="AK54" s="224"/>
      <c r="AL54" s="169"/>
      <c r="AM54" s="169">
        <f>SUMIFS('B3. THKL THEO CKHD'!K:K,'B3. THKL THEO CKHD'!C:C,'SCAN BOQ'!B54)</f>
        <v>0</v>
      </c>
      <c r="AN54" s="169">
        <f t="shared" si="1"/>
        <v>0</v>
      </c>
      <c r="AO54" s="169">
        <f t="shared" si="2"/>
        <v>0</v>
      </c>
      <c r="AP54" s="169">
        <f t="shared" si="3"/>
        <v>0</v>
      </c>
      <c r="AQ54" s="169"/>
    </row>
    <row r="55" spans="1:43" s="242" customFormat="1" ht="17" outlineLevel="2">
      <c r="A55" s="239"/>
      <c r="B55" s="239" t="str">
        <f>'B-1. THKL THEO ID'!B53</f>
        <v>ID-019</v>
      </c>
      <c r="C55" s="239" t="str">
        <f>'B-1. THKL THEO ID'!C53</f>
        <v>CBS</v>
      </c>
      <c r="D55" s="239"/>
      <c r="E55" s="239" t="s">
        <v>308</v>
      </c>
      <c r="F55" s="237"/>
      <c r="G55" s="237"/>
      <c r="H55" s="237"/>
      <c r="I55" s="237"/>
      <c r="J55" s="237"/>
      <c r="K55" s="237" t="s">
        <v>333</v>
      </c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 t="s">
        <v>333</v>
      </c>
      <c r="Y55" s="237"/>
      <c r="Z55" s="237"/>
      <c r="AA55" s="237"/>
      <c r="AB55" s="239" t="s">
        <v>313</v>
      </c>
      <c r="AC55" s="168" t="s">
        <v>118</v>
      </c>
      <c r="AD55" s="166"/>
      <c r="AE55" s="170"/>
      <c r="AF55" s="172"/>
      <c r="AG55" s="172"/>
      <c r="AH55" s="224"/>
      <c r="AI55" s="169"/>
      <c r="AJ55" s="169"/>
      <c r="AK55" s="224"/>
      <c r="AL55" s="169"/>
      <c r="AM55" s="169">
        <f>SUMIFS('B3. THKL THEO CKHD'!K:K,'B3. THKL THEO CKHD'!C:C,'SCAN BOQ'!B55)</f>
        <v>0</v>
      </c>
      <c r="AN55" s="169">
        <f t="shared" si="1"/>
        <v>0</v>
      </c>
      <c r="AO55" s="169">
        <f t="shared" si="2"/>
        <v>0</v>
      </c>
      <c r="AP55" s="169">
        <f t="shared" si="3"/>
        <v>0</v>
      </c>
      <c r="AQ55" s="169"/>
    </row>
    <row r="56" spans="1:43" s="242" customFormat="1" ht="34" outlineLevel="2">
      <c r="A56" s="239"/>
      <c r="B56" s="239" t="str">
        <f>'B-1. THKL THEO ID'!B54</f>
        <v>ID-020</v>
      </c>
      <c r="C56" s="239" t="str">
        <f>'B-1. THKL THEO ID'!C54</f>
        <v>CBS</v>
      </c>
      <c r="D56" s="239"/>
      <c r="E56" s="239" t="s">
        <v>135</v>
      </c>
      <c r="F56" s="237"/>
      <c r="G56" s="237"/>
      <c r="H56" s="237"/>
      <c r="I56" s="237"/>
      <c r="J56" s="237"/>
      <c r="K56" s="237" t="s">
        <v>333</v>
      </c>
      <c r="L56" s="237"/>
      <c r="M56" s="237"/>
      <c r="N56" s="237"/>
      <c r="O56" s="237"/>
      <c r="P56" s="237"/>
      <c r="Q56" s="237"/>
      <c r="R56" s="237"/>
      <c r="S56" s="237"/>
      <c r="T56" s="237"/>
      <c r="U56" s="237"/>
      <c r="V56" s="237"/>
      <c r="W56" s="237"/>
      <c r="X56" s="237" t="s">
        <v>333</v>
      </c>
      <c r="Y56" s="237"/>
      <c r="Z56" s="237"/>
      <c r="AA56" s="237"/>
      <c r="AB56" s="240" t="s">
        <v>348</v>
      </c>
      <c r="AC56" s="168" t="s">
        <v>15</v>
      </c>
      <c r="AD56" s="166"/>
      <c r="AE56" s="170"/>
      <c r="AF56" s="172"/>
      <c r="AG56" s="172" t="s">
        <v>345</v>
      </c>
      <c r="AH56" s="224"/>
      <c r="AI56" s="169"/>
      <c r="AJ56" s="169"/>
      <c r="AK56" s="224"/>
      <c r="AL56" s="169"/>
      <c r="AM56" s="169">
        <f>SUMIFS('B3. THKL THEO CKHD'!K:K,'B3. THKL THEO CKHD'!C:C,'SCAN BOQ'!B56)</f>
        <v>0</v>
      </c>
      <c r="AN56" s="169">
        <f t="shared" si="1"/>
        <v>0</v>
      </c>
      <c r="AO56" s="169">
        <f t="shared" si="2"/>
        <v>0</v>
      </c>
      <c r="AP56" s="169">
        <f t="shared" si="3"/>
        <v>0</v>
      </c>
      <c r="AQ56" s="169"/>
    </row>
    <row r="57" spans="1:43" s="242" customFormat="1" ht="34" outlineLevel="2">
      <c r="A57" s="239"/>
      <c r="B57" s="239" t="str">
        <f>'B-1. THKL THEO ID'!B55</f>
        <v>ID-021</v>
      </c>
      <c r="C57" s="239" t="str">
        <f>'B-1. THKL THEO ID'!C55</f>
        <v>CBS</v>
      </c>
      <c r="D57" s="239"/>
      <c r="E57" s="239" t="s">
        <v>135</v>
      </c>
      <c r="F57" s="237"/>
      <c r="G57" s="237"/>
      <c r="H57" s="237"/>
      <c r="I57" s="237"/>
      <c r="J57" s="237"/>
      <c r="K57" s="237" t="s">
        <v>333</v>
      </c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 t="s">
        <v>333</v>
      </c>
      <c r="Y57" s="237"/>
      <c r="Z57" s="237"/>
      <c r="AA57" s="237"/>
      <c r="AB57" s="240" t="s">
        <v>347</v>
      </c>
      <c r="AC57" s="168" t="s">
        <v>14</v>
      </c>
      <c r="AD57" s="166"/>
      <c r="AE57" s="170"/>
      <c r="AF57" s="172"/>
      <c r="AG57" s="172" t="s">
        <v>345</v>
      </c>
      <c r="AH57" s="224"/>
      <c r="AI57" s="169"/>
      <c r="AJ57" s="169"/>
      <c r="AK57" s="224"/>
      <c r="AL57" s="169"/>
      <c r="AM57" s="169">
        <f>SUMIFS('B3. THKL THEO CKHD'!K:K,'B3. THKL THEO CKHD'!C:C,'SCAN BOQ'!B57)</f>
        <v>0</v>
      </c>
      <c r="AN57" s="169">
        <f t="shared" si="1"/>
        <v>0</v>
      </c>
      <c r="AO57" s="169">
        <f t="shared" si="2"/>
        <v>0</v>
      </c>
      <c r="AP57" s="169">
        <f t="shared" si="3"/>
        <v>0</v>
      </c>
      <c r="AQ57" s="169"/>
    </row>
    <row r="58" spans="1:43" s="242" customFormat="1" ht="34" outlineLevel="2">
      <c r="A58" s="239"/>
      <c r="B58" s="239" t="str">
        <f>'B-1. THKL THEO ID'!B56</f>
        <v>ID-022</v>
      </c>
      <c r="C58" s="239" t="str">
        <f>'B-1. THKL THEO ID'!C56</f>
        <v>CBS</v>
      </c>
      <c r="D58" s="239" t="str">
        <f>"BOQ-"&amp; TEXT(COUNTA($D$6:D55),"000")</f>
        <v>BOQ-023</v>
      </c>
      <c r="E58" s="239" t="s">
        <v>98</v>
      </c>
      <c r="F58" s="237"/>
      <c r="G58" s="237"/>
      <c r="H58" s="237"/>
      <c r="I58" s="237"/>
      <c r="J58" s="237"/>
      <c r="K58" s="237" t="s">
        <v>333</v>
      </c>
      <c r="L58" s="237"/>
      <c r="M58" s="237"/>
      <c r="N58" s="237"/>
      <c r="O58" s="237"/>
      <c r="P58" s="237"/>
      <c r="Q58" s="237"/>
      <c r="R58" s="237"/>
      <c r="S58" s="237"/>
      <c r="T58" s="237"/>
      <c r="U58" s="237"/>
      <c r="V58" s="237"/>
      <c r="W58" s="237"/>
      <c r="X58" s="237" t="s">
        <v>333</v>
      </c>
      <c r="Y58" s="237"/>
      <c r="Z58" s="237"/>
      <c r="AA58" s="237"/>
      <c r="AB58" s="239" t="s">
        <v>250</v>
      </c>
      <c r="AC58" s="168" t="s">
        <v>13</v>
      </c>
      <c r="AD58" s="166"/>
      <c r="AE58" s="170">
        <v>25</v>
      </c>
      <c r="AF58" s="172" t="s">
        <v>194</v>
      </c>
      <c r="AG58" s="172"/>
      <c r="AH58" s="224">
        <v>246.501</v>
      </c>
      <c r="AI58" s="169">
        <v>1745289.4435000001</v>
      </c>
      <c r="AJ58" s="169">
        <f t="shared" si="0"/>
        <v>430215593.11219352</v>
      </c>
      <c r="AK58" s="224">
        <v>246.501</v>
      </c>
      <c r="AL58" s="169"/>
      <c r="AM58" s="169">
        <f>SUMIFS('B3. THKL THEO CKHD'!K:K,'B3. THKL THEO CKHD'!C:C,'SCAN BOQ'!B58)</f>
        <v>0</v>
      </c>
      <c r="AN58" s="169">
        <f t="shared" si="1"/>
        <v>-246.501</v>
      </c>
      <c r="AO58" s="169">
        <f t="shared" si="2"/>
        <v>-430215593.11219352</v>
      </c>
      <c r="AP58" s="169">
        <f t="shared" si="3"/>
        <v>0</v>
      </c>
      <c r="AQ58" s="169">
        <f t="shared" si="4"/>
        <v>0</v>
      </c>
    </row>
    <row r="59" spans="1:43" s="242" customFormat="1" ht="34" outlineLevel="2">
      <c r="A59" s="239"/>
      <c r="B59" s="239" t="str">
        <f>'B-1. THKL THEO ID'!B57</f>
        <v>ID-023</v>
      </c>
      <c r="C59" s="239"/>
      <c r="D59" s="239" t="str">
        <f>"BOQ-"&amp; TEXT(COUNTA($D$6:D58),"000")</f>
        <v>BOQ-024</v>
      </c>
      <c r="E59" s="239" t="s">
        <v>157</v>
      </c>
      <c r="F59" s="237"/>
      <c r="G59" s="237"/>
      <c r="H59" s="237"/>
      <c r="I59" s="237"/>
      <c r="J59" s="237"/>
      <c r="K59" s="237"/>
      <c r="L59" s="237" t="s">
        <v>333</v>
      </c>
      <c r="M59" s="237"/>
      <c r="N59" s="237"/>
      <c r="O59" s="237"/>
      <c r="P59" s="237"/>
      <c r="Q59" s="237"/>
      <c r="R59" s="237"/>
      <c r="S59" s="237"/>
      <c r="T59" s="237"/>
      <c r="U59" s="237"/>
      <c r="V59" s="237"/>
      <c r="W59" s="237"/>
      <c r="X59" s="237"/>
      <c r="Y59" s="237"/>
      <c r="Z59" s="237"/>
      <c r="AA59" s="237"/>
      <c r="AB59" s="239" t="s">
        <v>251</v>
      </c>
      <c r="AC59" s="168" t="s">
        <v>214</v>
      </c>
      <c r="AD59" s="166"/>
      <c r="AE59" s="170">
        <v>26</v>
      </c>
      <c r="AF59" s="172" t="s">
        <v>195</v>
      </c>
      <c r="AG59" s="172"/>
      <c r="AH59" s="224">
        <v>6.8324999999999996</v>
      </c>
      <c r="AI59" s="169">
        <v>26769068.280000001</v>
      </c>
      <c r="AJ59" s="169">
        <f t="shared" si="0"/>
        <v>182899659.02309999</v>
      </c>
      <c r="AK59" s="224">
        <v>6.8324999999999996</v>
      </c>
      <c r="AL59" s="169"/>
      <c r="AM59" s="169">
        <f>SUMIFS('B3. THKL THEO CKHD'!K:K,'B3. THKL THEO CKHD'!C:C,'SCAN BOQ'!B59)</f>
        <v>0</v>
      </c>
      <c r="AN59" s="169">
        <f t="shared" si="1"/>
        <v>-6.8324999999999996</v>
      </c>
      <c r="AO59" s="169">
        <f t="shared" si="2"/>
        <v>-182899659.02309999</v>
      </c>
      <c r="AP59" s="169">
        <f t="shared" si="3"/>
        <v>0</v>
      </c>
      <c r="AQ59" s="169">
        <f t="shared" si="4"/>
        <v>0</v>
      </c>
    </row>
    <row r="60" spans="1:43" s="242" customFormat="1" ht="17" outlineLevel="2">
      <c r="A60" s="239"/>
      <c r="B60" s="239" t="str">
        <f>'B-1. THKL THEO ID'!B58</f>
        <v>ID-023A</v>
      </c>
      <c r="C60" s="239" t="str">
        <f>'B-1. THKL THEO ID'!C58</f>
        <v>CBS</v>
      </c>
      <c r="D60" s="239"/>
      <c r="E60" s="239" t="s">
        <v>157</v>
      </c>
      <c r="F60" s="237"/>
      <c r="G60" s="237"/>
      <c r="H60" s="237"/>
      <c r="I60" s="237"/>
      <c r="J60" s="237"/>
      <c r="K60" s="237"/>
      <c r="L60" s="237" t="s">
        <v>333</v>
      </c>
      <c r="M60" s="237"/>
      <c r="N60" s="237"/>
      <c r="O60" s="237"/>
      <c r="P60" s="237"/>
      <c r="Q60" s="237"/>
      <c r="R60" s="237"/>
      <c r="S60" s="237"/>
      <c r="T60" s="237"/>
      <c r="U60" s="237"/>
      <c r="V60" s="237"/>
      <c r="W60" s="237"/>
      <c r="X60" s="237"/>
      <c r="Y60" s="237"/>
      <c r="Z60" s="237"/>
      <c r="AA60" s="237"/>
      <c r="AB60" s="239" t="s">
        <v>298</v>
      </c>
      <c r="AC60" s="168" t="s">
        <v>14</v>
      </c>
      <c r="AD60" s="166"/>
      <c r="AE60" s="170"/>
      <c r="AF60" s="172"/>
      <c r="AG60" s="172"/>
      <c r="AH60" s="224"/>
      <c r="AI60" s="169"/>
      <c r="AJ60" s="169"/>
      <c r="AK60" s="224"/>
      <c r="AL60" s="169"/>
      <c r="AM60" s="169">
        <f>SUMIFS('B3. THKL THEO CKHD'!K:K,'B3. THKL THEO CKHD'!C:C,'SCAN BOQ'!B60)</f>
        <v>0</v>
      </c>
      <c r="AN60" s="169">
        <f t="shared" si="1"/>
        <v>0</v>
      </c>
      <c r="AO60" s="169">
        <f t="shared" si="2"/>
        <v>0</v>
      </c>
      <c r="AP60" s="169">
        <f t="shared" si="3"/>
        <v>0</v>
      </c>
      <c r="AQ60" s="169"/>
    </row>
    <row r="61" spans="1:43" s="242" customFormat="1" ht="34" outlineLevel="2">
      <c r="A61" s="239"/>
      <c r="B61" s="239" t="str">
        <f>'B-1. THKL THEO ID'!B59</f>
        <v>ID-024A</v>
      </c>
      <c r="C61" s="239"/>
      <c r="D61" s="239" t="str">
        <f>"BOQ-"&amp; TEXT(COUNTA($D$6:D60),"000")</f>
        <v>BOQ-025</v>
      </c>
      <c r="E61" s="239" t="s">
        <v>135</v>
      </c>
      <c r="F61" s="237"/>
      <c r="G61" s="237"/>
      <c r="H61" s="237"/>
      <c r="I61" s="237"/>
      <c r="J61" s="237"/>
      <c r="K61" s="237"/>
      <c r="L61" s="237" t="s">
        <v>333</v>
      </c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9" t="s">
        <v>252</v>
      </c>
      <c r="AC61" s="168" t="s">
        <v>215</v>
      </c>
      <c r="AD61" s="166"/>
      <c r="AE61" s="170">
        <v>27</v>
      </c>
      <c r="AF61" s="172" t="s">
        <v>196</v>
      </c>
      <c r="AG61" s="172"/>
      <c r="AH61" s="224">
        <v>0.44719999999999999</v>
      </c>
      <c r="AI61" s="169">
        <v>20404747.402000003</v>
      </c>
      <c r="AJ61" s="169">
        <f t="shared" si="0"/>
        <v>9125003.0381744001</v>
      </c>
      <c r="AK61" s="224">
        <v>0.44719999999999999</v>
      </c>
      <c r="AL61" s="169"/>
      <c r="AM61" s="169">
        <f>SUMIFS('B3. THKL THEO CKHD'!K:K,'B3. THKL THEO CKHD'!C:C,'SCAN BOQ'!B61)</f>
        <v>0</v>
      </c>
      <c r="AN61" s="169">
        <f t="shared" si="1"/>
        <v>-0.44719999999999999</v>
      </c>
      <c r="AO61" s="169">
        <f t="shared" si="2"/>
        <v>-9125003.0381744001</v>
      </c>
      <c r="AP61" s="169">
        <f t="shared" si="3"/>
        <v>0</v>
      </c>
      <c r="AQ61" s="169">
        <f t="shared" si="4"/>
        <v>0</v>
      </c>
    </row>
    <row r="62" spans="1:43" s="242" customFormat="1" ht="34" outlineLevel="2">
      <c r="A62" s="239"/>
      <c r="B62" s="239" t="str">
        <f>'B-1. THKL THEO ID'!B60</f>
        <v>ID-024B</v>
      </c>
      <c r="C62" s="239"/>
      <c r="D62" s="239" t="str">
        <f>"BOQ-"&amp; TEXT(COUNTA($D$6:D61),"000")</f>
        <v>BOQ-026</v>
      </c>
      <c r="E62" s="239" t="s">
        <v>135</v>
      </c>
      <c r="F62" s="237"/>
      <c r="G62" s="237"/>
      <c r="H62" s="237"/>
      <c r="I62" s="237"/>
      <c r="J62" s="237"/>
      <c r="K62" s="237"/>
      <c r="L62" s="237" t="s">
        <v>333</v>
      </c>
      <c r="M62" s="237"/>
      <c r="N62" s="237"/>
      <c r="O62" s="237"/>
      <c r="P62" s="237"/>
      <c r="Q62" s="237"/>
      <c r="R62" s="237"/>
      <c r="S62" s="237"/>
      <c r="T62" s="237"/>
      <c r="U62" s="237"/>
      <c r="V62" s="237"/>
      <c r="W62" s="237"/>
      <c r="X62" s="237"/>
      <c r="Y62" s="237"/>
      <c r="Z62" s="237"/>
      <c r="AA62" s="237"/>
      <c r="AB62" s="239" t="s">
        <v>253</v>
      </c>
      <c r="AC62" s="168" t="s">
        <v>215</v>
      </c>
      <c r="AD62" s="166"/>
      <c r="AE62" s="170">
        <v>28</v>
      </c>
      <c r="AF62" s="172" t="s">
        <v>197</v>
      </c>
      <c r="AG62" s="172"/>
      <c r="AH62" s="224">
        <v>3.1391</v>
      </c>
      <c r="AI62" s="169">
        <v>20404747.402000003</v>
      </c>
      <c r="AJ62" s="169">
        <f t="shared" si="0"/>
        <v>64052542.56961821</v>
      </c>
      <c r="AK62" s="224">
        <v>3.1391</v>
      </c>
      <c r="AL62" s="169"/>
      <c r="AM62" s="169">
        <f>SUMIFS('B3. THKL THEO CKHD'!K:K,'B3. THKL THEO CKHD'!C:C,'SCAN BOQ'!B62)</f>
        <v>0</v>
      </c>
      <c r="AN62" s="169">
        <f t="shared" si="1"/>
        <v>-3.1391</v>
      </c>
      <c r="AO62" s="169">
        <f t="shared" si="2"/>
        <v>-64052542.56961821</v>
      </c>
      <c r="AP62" s="169">
        <f t="shared" si="3"/>
        <v>0</v>
      </c>
      <c r="AQ62" s="169">
        <f t="shared" si="4"/>
        <v>0</v>
      </c>
    </row>
    <row r="63" spans="1:43" s="242" customFormat="1" ht="34" outlineLevel="2">
      <c r="A63" s="239"/>
      <c r="B63" s="239" t="str">
        <f>'B-1. THKL THEO ID'!B61</f>
        <v>ID-024C</v>
      </c>
      <c r="C63" s="239"/>
      <c r="D63" s="239" t="str">
        <f>"BOQ-"&amp; TEXT(COUNTA($D$6:D62),"000")</f>
        <v>BOQ-027</v>
      </c>
      <c r="E63" s="239" t="s">
        <v>135</v>
      </c>
      <c r="F63" s="237"/>
      <c r="G63" s="237"/>
      <c r="H63" s="237"/>
      <c r="I63" s="237"/>
      <c r="J63" s="237"/>
      <c r="K63" s="237"/>
      <c r="L63" s="237" t="s">
        <v>333</v>
      </c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9" t="s">
        <v>254</v>
      </c>
      <c r="AC63" s="168" t="s">
        <v>215</v>
      </c>
      <c r="AD63" s="166"/>
      <c r="AE63" s="170">
        <v>29</v>
      </c>
      <c r="AF63" s="172" t="s">
        <v>198</v>
      </c>
      <c r="AG63" s="172"/>
      <c r="AH63" s="224">
        <v>67.222399999999993</v>
      </c>
      <c r="AI63" s="169">
        <v>20404747.402000003</v>
      </c>
      <c r="AJ63" s="169">
        <f t="shared" si="0"/>
        <v>1371656091.7562048</v>
      </c>
      <c r="AK63" s="224">
        <v>67.222399999999993</v>
      </c>
      <c r="AL63" s="169"/>
      <c r="AM63" s="169">
        <f>SUMIFS('B3. THKL THEO CKHD'!K:K,'B3. THKL THEO CKHD'!C:C,'SCAN BOQ'!B63)</f>
        <v>0</v>
      </c>
      <c r="AN63" s="169">
        <f t="shared" si="1"/>
        <v>-67.222399999999993</v>
      </c>
      <c r="AO63" s="169">
        <f t="shared" si="2"/>
        <v>-1371656091.7562048</v>
      </c>
      <c r="AP63" s="169">
        <f t="shared" si="3"/>
        <v>0</v>
      </c>
      <c r="AQ63" s="169">
        <f t="shared" si="4"/>
        <v>0</v>
      </c>
    </row>
    <row r="64" spans="1:43" s="242" customFormat="1" ht="17" outlineLevel="2">
      <c r="A64" s="239"/>
      <c r="B64" s="239" t="str">
        <f>'B-1. THKL THEO ID'!B62</f>
        <v>ID-024</v>
      </c>
      <c r="C64" s="239" t="str">
        <f>'B-1. THKL THEO ID'!C62</f>
        <v>CBS</v>
      </c>
      <c r="D64" s="239"/>
      <c r="E64" s="239" t="s">
        <v>135</v>
      </c>
      <c r="F64" s="237"/>
      <c r="G64" s="237"/>
      <c r="H64" s="237"/>
      <c r="I64" s="237"/>
      <c r="J64" s="237"/>
      <c r="K64" s="237"/>
      <c r="L64" s="237" t="s">
        <v>333</v>
      </c>
      <c r="M64" s="237"/>
      <c r="N64" s="237"/>
      <c r="O64" s="237"/>
      <c r="P64" s="237"/>
      <c r="Q64" s="237"/>
      <c r="R64" s="237"/>
      <c r="S64" s="237"/>
      <c r="T64" s="237"/>
      <c r="U64" s="237"/>
      <c r="V64" s="237"/>
      <c r="W64" s="237"/>
      <c r="X64" s="237"/>
      <c r="Y64" s="237"/>
      <c r="Z64" s="237"/>
      <c r="AA64" s="237"/>
      <c r="AB64" s="239" t="s">
        <v>299</v>
      </c>
      <c r="AC64" s="168" t="s">
        <v>15</v>
      </c>
      <c r="AD64" s="166"/>
      <c r="AE64" s="170"/>
      <c r="AF64" s="172"/>
      <c r="AG64" s="172"/>
      <c r="AH64" s="224"/>
      <c r="AI64" s="169"/>
      <c r="AJ64" s="169"/>
      <c r="AK64" s="224"/>
      <c r="AL64" s="169"/>
      <c r="AM64" s="169">
        <f>SUMIFS('B3. THKL THEO CKHD'!K:K,'B3. THKL THEO CKHD'!C:C,'SCAN BOQ'!B64)</f>
        <v>0</v>
      </c>
      <c r="AN64" s="169">
        <f t="shared" si="1"/>
        <v>0</v>
      </c>
      <c r="AO64" s="169">
        <f t="shared" si="2"/>
        <v>0</v>
      </c>
      <c r="AP64" s="169">
        <f t="shared" si="3"/>
        <v>0</v>
      </c>
      <c r="AQ64" s="169"/>
    </row>
    <row r="65" spans="1:43" s="242" customFormat="1" ht="34" outlineLevel="2">
      <c r="A65" s="239"/>
      <c r="B65" s="239" t="str">
        <f>'B-1. THKL THEO ID'!B63</f>
        <v>ID-025</v>
      </c>
      <c r="C65" s="239" t="str">
        <f>'B-1. THKL THEO ID'!C63</f>
        <v>CBS</v>
      </c>
      <c r="D65" s="239"/>
      <c r="E65" s="239" t="s">
        <v>135</v>
      </c>
      <c r="F65" s="237"/>
      <c r="G65" s="237"/>
      <c r="H65" s="237"/>
      <c r="I65" s="237"/>
      <c r="J65" s="237"/>
      <c r="K65" s="237"/>
      <c r="L65" s="237" t="s">
        <v>333</v>
      </c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40" t="s">
        <v>346</v>
      </c>
      <c r="AC65" s="168" t="s">
        <v>15</v>
      </c>
      <c r="AD65" s="166"/>
      <c r="AE65" s="170"/>
      <c r="AF65" s="172"/>
      <c r="AG65" s="172" t="s">
        <v>345</v>
      </c>
      <c r="AH65" s="224"/>
      <c r="AI65" s="169"/>
      <c r="AJ65" s="169"/>
      <c r="AK65" s="224"/>
      <c r="AL65" s="169"/>
      <c r="AM65" s="169">
        <f>SUMIFS('B3. THKL THEO CKHD'!K:K,'B3. THKL THEO CKHD'!C:C,'SCAN BOQ'!B65)</f>
        <v>0</v>
      </c>
      <c r="AN65" s="169">
        <f t="shared" si="1"/>
        <v>0</v>
      </c>
      <c r="AO65" s="169">
        <f t="shared" si="2"/>
        <v>0</v>
      </c>
      <c r="AP65" s="169">
        <f t="shared" si="3"/>
        <v>0</v>
      </c>
      <c r="AQ65" s="169"/>
    </row>
    <row r="66" spans="1:43" s="242" customFormat="1" ht="34" outlineLevel="2">
      <c r="A66" s="239"/>
      <c r="B66" s="239" t="str">
        <f>'B-1. THKL THEO ID'!B64</f>
        <v>ID-026</v>
      </c>
      <c r="C66" s="239" t="str">
        <f>'B-1. THKL THEO ID'!C64</f>
        <v>CBS</v>
      </c>
      <c r="D66" s="239"/>
      <c r="E66" s="239" t="s">
        <v>135</v>
      </c>
      <c r="F66" s="237"/>
      <c r="G66" s="237"/>
      <c r="H66" s="237"/>
      <c r="I66" s="237"/>
      <c r="J66" s="237"/>
      <c r="K66" s="237"/>
      <c r="L66" s="237" t="s">
        <v>333</v>
      </c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  <c r="Z66" s="237"/>
      <c r="AA66" s="237"/>
      <c r="AB66" s="240" t="s">
        <v>347</v>
      </c>
      <c r="AC66" s="168" t="s">
        <v>118</v>
      </c>
      <c r="AD66" s="166"/>
      <c r="AE66" s="170"/>
      <c r="AF66" s="172"/>
      <c r="AG66" s="172" t="s">
        <v>345</v>
      </c>
      <c r="AH66" s="224"/>
      <c r="AI66" s="169"/>
      <c r="AJ66" s="169"/>
      <c r="AK66" s="224"/>
      <c r="AL66" s="169"/>
      <c r="AM66" s="169">
        <f>SUMIFS('B3. THKL THEO CKHD'!K:K,'B3. THKL THEO CKHD'!C:C,'SCAN BOQ'!B66)</f>
        <v>0</v>
      </c>
      <c r="AN66" s="169">
        <f t="shared" si="1"/>
        <v>0</v>
      </c>
      <c r="AO66" s="169">
        <f t="shared" si="2"/>
        <v>0</v>
      </c>
      <c r="AP66" s="169">
        <f t="shared" si="3"/>
        <v>0</v>
      </c>
      <c r="AQ66" s="169"/>
    </row>
    <row r="67" spans="1:43" s="242" customFormat="1" ht="34" outlineLevel="2">
      <c r="A67" s="239"/>
      <c r="B67" s="239" t="str">
        <f>'B-1. THKL THEO ID'!B65</f>
        <v>ID-027</v>
      </c>
      <c r="C67" s="239" t="str">
        <f>'B-1. THKL THEO ID'!C65</f>
        <v>CBS</v>
      </c>
      <c r="D67" s="239" t="str">
        <f>"BOQ-"&amp; TEXT(COUNTA($D$6:D64),"000")</f>
        <v>BOQ-028</v>
      </c>
      <c r="E67" s="239" t="s">
        <v>98</v>
      </c>
      <c r="F67" s="237"/>
      <c r="G67" s="237"/>
      <c r="H67" s="237"/>
      <c r="I67" s="237"/>
      <c r="J67" s="237"/>
      <c r="K67" s="237"/>
      <c r="L67" s="237" t="s">
        <v>333</v>
      </c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237"/>
      <c r="Y67" s="237"/>
      <c r="Z67" s="237"/>
      <c r="AA67" s="237"/>
      <c r="AB67" s="239" t="s">
        <v>352</v>
      </c>
      <c r="AC67" s="168" t="s">
        <v>13</v>
      </c>
      <c r="AD67" s="166"/>
      <c r="AE67" s="170">
        <v>30</v>
      </c>
      <c r="AF67" s="172" t="s">
        <v>199</v>
      </c>
      <c r="AG67" s="172"/>
      <c r="AH67" s="224">
        <v>124.5248</v>
      </c>
      <c r="AI67" s="169">
        <v>1745289.4435000001</v>
      </c>
      <c r="AJ67" s="169">
        <f t="shared" si="0"/>
        <v>217331818.89394879</v>
      </c>
      <c r="AK67" s="224">
        <v>124.5248</v>
      </c>
      <c r="AL67" s="169"/>
      <c r="AM67" s="169">
        <f>SUMIFS('B3. THKL THEO CKHD'!K:K,'B3. THKL THEO CKHD'!C:C,'SCAN BOQ'!B67)</f>
        <v>0</v>
      </c>
      <c r="AN67" s="169">
        <f t="shared" si="1"/>
        <v>-124.5248</v>
      </c>
      <c r="AO67" s="169">
        <f t="shared" si="2"/>
        <v>-217331818.89394879</v>
      </c>
      <c r="AP67" s="169">
        <f t="shared" si="3"/>
        <v>0</v>
      </c>
      <c r="AQ67" s="169">
        <f t="shared" si="4"/>
        <v>0</v>
      </c>
    </row>
    <row r="68" spans="1:43" s="242" customFormat="1" ht="51" outlineLevel="2">
      <c r="A68" s="239"/>
      <c r="B68" s="239" t="str">
        <f>'B-1. THKL THEO ID'!B66</f>
        <v>ID-028</v>
      </c>
      <c r="C68" s="239"/>
      <c r="D68" s="239" t="str">
        <f>"BOQ-"&amp; TEXT(COUNTA($D$6:D67),"000")</f>
        <v>BOQ-029</v>
      </c>
      <c r="E68" s="239" t="s">
        <v>157</v>
      </c>
      <c r="F68" s="237"/>
      <c r="G68" s="237"/>
      <c r="H68" s="237"/>
      <c r="I68" s="237"/>
      <c r="J68" s="237"/>
      <c r="K68" s="237"/>
      <c r="L68" s="237"/>
      <c r="M68" s="237" t="s">
        <v>333</v>
      </c>
      <c r="N68" s="237" t="s">
        <v>333</v>
      </c>
      <c r="O68" s="237" t="s">
        <v>333</v>
      </c>
      <c r="P68" s="237" t="s">
        <v>333</v>
      </c>
      <c r="Q68" s="237"/>
      <c r="R68" s="237"/>
      <c r="S68" s="237"/>
      <c r="T68" s="237"/>
      <c r="U68" s="237"/>
      <c r="V68" s="237"/>
      <c r="W68" s="237"/>
      <c r="X68" s="237"/>
      <c r="Y68" s="237" t="s">
        <v>333</v>
      </c>
      <c r="Z68" s="237"/>
      <c r="AA68" s="237"/>
      <c r="AB68" s="239" t="s">
        <v>255</v>
      </c>
      <c r="AC68" s="168" t="s">
        <v>214</v>
      </c>
      <c r="AD68" s="166"/>
      <c r="AE68" s="170">
        <v>31</v>
      </c>
      <c r="AF68" s="172" t="s">
        <v>200</v>
      </c>
      <c r="AG68" s="172"/>
      <c r="AH68" s="224">
        <v>36.985300000000002</v>
      </c>
      <c r="AI68" s="169">
        <v>26769068.280000001</v>
      </c>
      <c r="AJ68" s="169">
        <f t="shared" si="0"/>
        <v>990062021.05628407</v>
      </c>
      <c r="AK68" s="224">
        <v>36.985300000000002</v>
      </c>
      <c r="AL68" s="169"/>
      <c r="AM68" s="169">
        <f>SUMIFS('B3. THKL THEO CKHD'!K:K,'B3. THKL THEO CKHD'!C:C,'SCAN BOQ'!B68)</f>
        <v>5.6641600000000007</v>
      </c>
      <c r="AN68" s="169">
        <f t="shared" si="1"/>
        <v>-31.32114</v>
      </c>
      <c r="AO68" s="169">
        <f t="shared" si="2"/>
        <v>-838437735.26743925</v>
      </c>
      <c r="AP68" s="169">
        <f t="shared" si="3"/>
        <v>5.6641600000000007</v>
      </c>
      <c r="AQ68" s="169">
        <f t="shared" si="4"/>
        <v>151624285.78884482</v>
      </c>
    </row>
    <row r="69" spans="1:43" s="242" customFormat="1" ht="17" outlineLevel="2">
      <c r="A69" s="239"/>
      <c r="B69" s="239" t="str">
        <f>'B-1. THKL THEO ID'!B67</f>
        <v>ID-028A</v>
      </c>
      <c r="C69" s="239" t="str">
        <f>'B-1. THKL THEO ID'!C67</f>
        <v>CBS</v>
      </c>
      <c r="D69" s="239"/>
      <c r="E69" s="239" t="s">
        <v>157</v>
      </c>
      <c r="F69" s="237"/>
      <c r="G69" s="237"/>
      <c r="H69" s="237"/>
      <c r="I69" s="237"/>
      <c r="J69" s="237"/>
      <c r="K69" s="237"/>
      <c r="L69" s="237"/>
      <c r="M69" s="237" t="s">
        <v>333</v>
      </c>
      <c r="N69" s="237" t="s">
        <v>333</v>
      </c>
      <c r="O69" s="237" t="s">
        <v>333</v>
      </c>
      <c r="P69" s="237" t="s">
        <v>333</v>
      </c>
      <c r="Q69" s="237"/>
      <c r="R69" s="237"/>
      <c r="S69" s="237"/>
      <c r="T69" s="237"/>
      <c r="U69" s="237"/>
      <c r="V69" s="237"/>
      <c r="W69" s="237"/>
      <c r="X69" s="237"/>
      <c r="Y69" s="237" t="s">
        <v>333</v>
      </c>
      <c r="Z69" s="237"/>
      <c r="AA69" s="237"/>
      <c r="AB69" s="239" t="s">
        <v>300</v>
      </c>
      <c r="AC69" s="168" t="s">
        <v>14</v>
      </c>
      <c r="AD69" s="166"/>
      <c r="AE69" s="170"/>
      <c r="AF69" s="172"/>
      <c r="AG69" s="172"/>
      <c r="AH69" s="224"/>
      <c r="AI69" s="169"/>
      <c r="AJ69" s="169"/>
      <c r="AK69" s="224"/>
      <c r="AL69" s="169"/>
      <c r="AM69" s="169">
        <f>SUMIFS('B3. THKL THEO CKHD'!K:K,'B3. THKL THEO CKHD'!C:C,'SCAN BOQ'!B69)</f>
        <v>566.41600000000005</v>
      </c>
      <c r="AN69" s="169">
        <f t="shared" si="1"/>
        <v>566.41600000000005</v>
      </c>
      <c r="AO69" s="169">
        <f t="shared" si="2"/>
        <v>0</v>
      </c>
      <c r="AP69" s="169">
        <f t="shared" si="3"/>
        <v>566.41600000000005</v>
      </c>
      <c r="AQ69" s="169"/>
    </row>
    <row r="70" spans="1:43" s="242" customFormat="1" ht="34" outlineLevel="2">
      <c r="A70" s="239"/>
      <c r="B70" s="239" t="str">
        <f>'B-1. THKL THEO ID'!B68</f>
        <v>ID-029A</v>
      </c>
      <c r="C70" s="239"/>
      <c r="D70" s="239" t="str">
        <f>"BOQ-"&amp; TEXT(COUNTA($D$6:D69),"000")</f>
        <v>BOQ-030</v>
      </c>
      <c r="E70" s="239" t="s">
        <v>135</v>
      </c>
      <c r="F70" s="237"/>
      <c r="G70" s="237"/>
      <c r="H70" s="237"/>
      <c r="I70" s="237"/>
      <c r="J70" s="237"/>
      <c r="K70" s="237"/>
      <c r="L70" s="237"/>
      <c r="M70" s="237" t="s">
        <v>333</v>
      </c>
      <c r="N70" s="237" t="s">
        <v>333</v>
      </c>
      <c r="O70" s="237" t="s">
        <v>333</v>
      </c>
      <c r="P70" s="237" t="s">
        <v>333</v>
      </c>
      <c r="Q70" s="237"/>
      <c r="R70" s="237"/>
      <c r="S70" s="237"/>
      <c r="T70" s="237"/>
      <c r="U70" s="237"/>
      <c r="V70" s="237"/>
      <c r="W70" s="237"/>
      <c r="X70" s="237"/>
      <c r="Y70" s="237" t="s">
        <v>333</v>
      </c>
      <c r="Z70" s="237"/>
      <c r="AA70" s="237"/>
      <c r="AB70" s="239" t="s">
        <v>256</v>
      </c>
      <c r="AC70" s="168" t="s">
        <v>215</v>
      </c>
      <c r="AD70" s="166"/>
      <c r="AE70" s="170">
        <v>32</v>
      </c>
      <c r="AF70" s="172" t="s">
        <v>201</v>
      </c>
      <c r="AG70" s="172"/>
      <c r="AH70" s="224">
        <v>32.635899999999999</v>
      </c>
      <c r="AI70" s="169">
        <v>20404747.402000003</v>
      </c>
      <c r="AJ70" s="169">
        <f t="shared" si="0"/>
        <v>665927295.73693192</v>
      </c>
      <c r="AK70" s="224">
        <v>32.635899999999999</v>
      </c>
      <c r="AL70" s="169"/>
      <c r="AM70" s="169">
        <f>SUMIFS('B3. THKL THEO CKHD'!K:K,'B3. THKL THEO CKHD'!C:C,'SCAN BOQ'!B70)</f>
        <v>0</v>
      </c>
      <c r="AN70" s="169">
        <f t="shared" si="1"/>
        <v>-32.635899999999999</v>
      </c>
      <c r="AO70" s="169">
        <f t="shared" si="2"/>
        <v>-665927295.73693192</v>
      </c>
      <c r="AP70" s="169">
        <f t="shared" si="3"/>
        <v>0</v>
      </c>
      <c r="AQ70" s="169">
        <f t="shared" si="4"/>
        <v>0</v>
      </c>
    </row>
    <row r="71" spans="1:43" s="242" customFormat="1" ht="34" outlineLevel="2">
      <c r="A71" s="239"/>
      <c r="B71" s="239" t="str">
        <f>'B-1. THKL THEO ID'!B69</f>
        <v>ID-029B</v>
      </c>
      <c r="C71" s="239"/>
      <c r="D71" s="239" t="str">
        <f>"BOQ-"&amp; TEXT(COUNTA($D$6:D70),"000")</f>
        <v>BOQ-031</v>
      </c>
      <c r="E71" s="239" t="s">
        <v>135</v>
      </c>
      <c r="F71" s="237"/>
      <c r="G71" s="237"/>
      <c r="H71" s="237"/>
      <c r="I71" s="237"/>
      <c r="J71" s="237"/>
      <c r="K71" s="237"/>
      <c r="L71" s="237"/>
      <c r="M71" s="237" t="s">
        <v>333</v>
      </c>
      <c r="N71" s="237" t="s">
        <v>333</v>
      </c>
      <c r="O71" s="237" t="s">
        <v>333</v>
      </c>
      <c r="P71" s="237" t="s">
        <v>333</v>
      </c>
      <c r="Q71" s="237"/>
      <c r="R71" s="237"/>
      <c r="S71" s="237"/>
      <c r="T71" s="237"/>
      <c r="U71" s="237"/>
      <c r="V71" s="237"/>
      <c r="W71" s="237"/>
      <c r="X71" s="237"/>
      <c r="Y71" s="237" t="s">
        <v>333</v>
      </c>
      <c r="Z71" s="237"/>
      <c r="AA71" s="237"/>
      <c r="AB71" s="239" t="s">
        <v>257</v>
      </c>
      <c r="AC71" s="168" t="s">
        <v>215</v>
      </c>
      <c r="AD71" s="166"/>
      <c r="AE71" s="170">
        <v>33</v>
      </c>
      <c r="AF71" s="172" t="s">
        <v>202</v>
      </c>
      <c r="AG71" s="172"/>
      <c r="AH71" s="224">
        <v>36.153100000000002</v>
      </c>
      <c r="AI71" s="169">
        <v>20404747.402000003</v>
      </c>
      <c r="AJ71" s="169">
        <f t="shared" si="0"/>
        <v>737694873.29924631</v>
      </c>
      <c r="AK71" s="224">
        <v>36.153100000000002</v>
      </c>
      <c r="AL71" s="169"/>
      <c r="AM71" s="169">
        <f>SUMIFS('B3. THKL THEO CKHD'!K:K,'B3. THKL THEO CKHD'!C:C,'SCAN BOQ'!B71)</f>
        <v>0</v>
      </c>
      <c r="AN71" s="169">
        <f t="shared" si="1"/>
        <v>-36.153100000000002</v>
      </c>
      <c r="AO71" s="169">
        <f t="shared" si="2"/>
        <v>-737694873.29924631</v>
      </c>
      <c r="AP71" s="169">
        <f t="shared" si="3"/>
        <v>0</v>
      </c>
      <c r="AQ71" s="169">
        <f t="shared" si="4"/>
        <v>0</v>
      </c>
    </row>
    <row r="72" spans="1:43" s="242" customFormat="1" ht="34" outlineLevel="2">
      <c r="A72" s="239"/>
      <c r="B72" s="239" t="str">
        <f>'B-1. THKL THEO ID'!B70</f>
        <v>ID-029C</v>
      </c>
      <c r="C72" s="239"/>
      <c r="D72" s="239" t="str">
        <f>"BOQ-"&amp; TEXT(COUNTA($D$6:D71),"000")</f>
        <v>BOQ-032</v>
      </c>
      <c r="E72" s="239" t="s">
        <v>135</v>
      </c>
      <c r="F72" s="237"/>
      <c r="G72" s="237"/>
      <c r="H72" s="237"/>
      <c r="I72" s="237"/>
      <c r="J72" s="237"/>
      <c r="K72" s="237"/>
      <c r="L72" s="237"/>
      <c r="M72" s="237" t="s">
        <v>333</v>
      </c>
      <c r="N72" s="237" t="s">
        <v>333</v>
      </c>
      <c r="O72" s="237" t="s">
        <v>333</v>
      </c>
      <c r="P72" s="237" t="s">
        <v>333</v>
      </c>
      <c r="Q72" s="237"/>
      <c r="R72" s="237"/>
      <c r="S72" s="237"/>
      <c r="T72" s="237"/>
      <c r="U72" s="237"/>
      <c r="V72" s="237"/>
      <c r="W72" s="237"/>
      <c r="X72" s="237"/>
      <c r="Y72" s="237" t="s">
        <v>333</v>
      </c>
      <c r="Z72" s="237"/>
      <c r="AA72" s="237"/>
      <c r="AB72" s="239" t="s">
        <v>258</v>
      </c>
      <c r="AC72" s="168" t="s">
        <v>215</v>
      </c>
      <c r="AD72" s="166"/>
      <c r="AE72" s="171">
        <v>34</v>
      </c>
      <c r="AF72" s="172" t="s">
        <v>203</v>
      </c>
      <c r="AG72" s="172"/>
      <c r="AH72" s="224">
        <v>41.484400000000001</v>
      </c>
      <c r="AI72" s="169">
        <v>20404747.402000003</v>
      </c>
      <c r="AJ72" s="169">
        <f t="shared" si="0"/>
        <v>846478703.12352896</v>
      </c>
      <c r="AK72" s="224">
        <v>41.484400000000001</v>
      </c>
      <c r="AL72" s="169"/>
      <c r="AM72" s="169">
        <f>SUMIFS('B3. THKL THEO CKHD'!K:K,'B3. THKL THEO CKHD'!C:C,'SCAN BOQ'!B72)</f>
        <v>0</v>
      </c>
      <c r="AN72" s="169">
        <f t="shared" si="1"/>
        <v>-41.484400000000001</v>
      </c>
      <c r="AO72" s="169">
        <f t="shared" si="2"/>
        <v>-846478703.12352896</v>
      </c>
      <c r="AP72" s="169">
        <f t="shared" si="3"/>
        <v>0</v>
      </c>
      <c r="AQ72" s="169">
        <f>AP72*AI72</f>
        <v>0</v>
      </c>
    </row>
    <row r="73" spans="1:43" s="242" customFormat="1" ht="17" outlineLevel="2">
      <c r="A73" s="239"/>
      <c r="B73" s="239" t="str">
        <f>'B-1. THKL THEO ID'!B71</f>
        <v>ID-029</v>
      </c>
      <c r="C73" s="239" t="str">
        <f>'B-1. THKL THEO ID'!C71</f>
        <v>CBS</v>
      </c>
      <c r="D73" s="239"/>
      <c r="E73" s="239" t="s">
        <v>135</v>
      </c>
      <c r="F73" s="237"/>
      <c r="G73" s="237"/>
      <c r="H73" s="237"/>
      <c r="I73" s="237"/>
      <c r="J73" s="237"/>
      <c r="K73" s="237"/>
      <c r="L73" s="237"/>
      <c r="M73" s="237" t="s">
        <v>333</v>
      </c>
      <c r="N73" s="237" t="s">
        <v>333</v>
      </c>
      <c r="O73" s="237" t="s">
        <v>333</v>
      </c>
      <c r="P73" s="237" t="s">
        <v>333</v>
      </c>
      <c r="Q73" s="237"/>
      <c r="R73" s="237"/>
      <c r="S73" s="237"/>
      <c r="T73" s="237"/>
      <c r="U73" s="237"/>
      <c r="V73" s="237"/>
      <c r="W73" s="237"/>
      <c r="X73" s="237"/>
      <c r="Y73" s="237" t="s">
        <v>333</v>
      </c>
      <c r="Z73" s="237"/>
      <c r="AA73" s="237"/>
      <c r="AB73" s="239" t="s">
        <v>301</v>
      </c>
      <c r="AC73" s="168" t="s">
        <v>15</v>
      </c>
      <c r="AD73" s="166"/>
      <c r="AE73" s="171"/>
      <c r="AF73" s="172"/>
      <c r="AG73" s="172"/>
      <c r="AH73" s="224"/>
      <c r="AI73" s="169"/>
      <c r="AJ73" s="169"/>
      <c r="AK73" s="224"/>
      <c r="AL73" s="169"/>
      <c r="AM73" s="169">
        <f>SUMIFS('B3. THKL THEO CKHD'!K:K,'B3. THKL THEO CKHD'!C:C,'SCAN BOQ'!B73)</f>
        <v>0</v>
      </c>
      <c r="AN73" s="169">
        <f t="shared" si="1"/>
        <v>0</v>
      </c>
      <c r="AO73" s="169">
        <f t="shared" si="2"/>
        <v>0</v>
      </c>
      <c r="AP73" s="169">
        <f t="shared" si="3"/>
        <v>0</v>
      </c>
      <c r="AQ73" s="169"/>
    </row>
    <row r="74" spans="1:43" s="242" customFormat="1" ht="34" outlineLevel="2">
      <c r="A74" s="239"/>
      <c r="B74" s="239" t="str">
        <f>'B-1. THKL THEO ID'!B72</f>
        <v>ID-030</v>
      </c>
      <c r="C74" s="239"/>
      <c r="D74" s="239" t="str">
        <f>"BOQ-"&amp; TEXT(COUNTA($D$6:D73),"000")</f>
        <v>BOQ-033</v>
      </c>
      <c r="E74" s="239" t="s">
        <v>98</v>
      </c>
      <c r="F74" s="237"/>
      <c r="G74" s="237"/>
      <c r="H74" s="237"/>
      <c r="I74" s="237"/>
      <c r="J74" s="237"/>
      <c r="K74" s="237"/>
      <c r="L74" s="237"/>
      <c r="M74" s="237" t="s">
        <v>333</v>
      </c>
      <c r="N74" s="237" t="s">
        <v>333</v>
      </c>
      <c r="O74" s="237" t="s">
        <v>333</v>
      </c>
      <c r="P74" s="237" t="s">
        <v>333</v>
      </c>
      <c r="Q74" s="237"/>
      <c r="R74" s="237"/>
      <c r="S74" s="237"/>
      <c r="T74" s="237"/>
      <c r="U74" s="237"/>
      <c r="V74" s="237"/>
      <c r="W74" s="237"/>
      <c r="X74" s="237"/>
      <c r="Y74" s="237" t="s">
        <v>333</v>
      </c>
      <c r="Z74" s="237"/>
      <c r="AA74" s="237"/>
      <c r="AB74" s="240" t="s">
        <v>432</v>
      </c>
      <c r="AC74" s="168" t="s">
        <v>13</v>
      </c>
      <c r="AD74" s="166"/>
      <c r="AE74" s="171">
        <v>35</v>
      </c>
      <c r="AF74" s="172" t="s">
        <v>204</v>
      </c>
      <c r="AG74" s="172"/>
      <c r="AH74" s="224">
        <v>692.39080000000001</v>
      </c>
      <c r="AI74" s="169">
        <v>1745289.4435000001</v>
      </c>
      <c r="AJ74" s="169">
        <f t="shared" si="0"/>
        <v>1208422354.0165198</v>
      </c>
      <c r="AK74" s="224">
        <v>692.39080000000001</v>
      </c>
      <c r="AL74" s="169"/>
      <c r="AM74" s="169">
        <f>SUMIFS('B3. THKL THEO CKHD'!K:K,'B3. THKL THEO CKHD'!C:C,'SCAN BOQ'!B74)</f>
        <v>100.87600000000002</v>
      </c>
      <c r="AN74" s="169">
        <f t="shared" ref="AN74:AN90" si="5">+AM74-AK74</f>
        <v>-591.51480000000004</v>
      </c>
      <c r="AO74" s="169">
        <f t="shared" ref="AO74:AO90" si="6">AN74*AI74</f>
        <v>-1032364536.1140139</v>
      </c>
      <c r="AP74" s="169">
        <f t="shared" ref="AP74:AP90" si="7">AM74-AL74</f>
        <v>100.87600000000002</v>
      </c>
      <c r="AQ74" s="169">
        <f t="shared" ref="AQ74:AQ88" si="8">AP74*AI74</f>
        <v>176057817.90250602</v>
      </c>
    </row>
    <row r="75" spans="1:43" s="242" customFormat="1" ht="17" outlineLevel="2">
      <c r="A75" s="239"/>
      <c r="B75" s="239" t="str">
        <f>'B-1. THKL THEO ID'!B73</f>
        <v>ID-030A</v>
      </c>
      <c r="C75" s="239" t="str">
        <f>'B-1. THKL THEO ID'!C73</f>
        <v>CBS</v>
      </c>
      <c r="D75" s="239"/>
      <c r="E75" s="239" t="s">
        <v>98</v>
      </c>
      <c r="F75" s="237"/>
      <c r="G75" s="237"/>
      <c r="H75" s="237"/>
      <c r="I75" s="237"/>
      <c r="J75" s="237"/>
      <c r="K75" s="237"/>
      <c r="L75" s="237"/>
      <c r="M75" s="237" t="s">
        <v>333</v>
      </c>
      <c r="N75" s="237" t="s">
        <v>333</v>
      </c>
      <c r="O75" s="237" t="s">
        <v>333</v>
      </c>
      <c r="P75" s="237" t="s">
        <v>333</v>
      </c>
      <c r="Q75" s="237"/>
      <c r="R75" s="237"/>
      <c r="S75" s="237"/>
      <c r="T75" s="237"/>
      <c r="U75" s="237"/>
      <c r="V75" s="237"/>
      <c r="W75" s="237"/>
      <c r="X75" s="237"/>
      <c r="Y75" s="237" t="s">
        <v>333</v>
      </c>
      <c r="Z75" s="237"/>
      <c r="AA75" s="237"/>
      <c r="AB75" s="239" t="s">
        <v>323</v>
      </c>
      <c r="AC75" s="168" t="s">
        <v>13</v>
      </c>
      <c r="AD75" s="166"/>
      <c r="AE75" s="171"/>
      <c r="AF75" s="172"/>
      <c r="AG75" s="172"/>
      <c r="AH75" s="224"/>
      <c r="AI75" s="169"/>
      <c r="AJ75" s="169"/>
      <c r="AK75" s="224"/>
      <c r="AL75" s="169"/>
      <c r="AM75" s="169">
        <f>SUMIFS('B3. THKL THEO CKHD'!K:K,'B3. THKL THEO CKHD'!C:C,'SCAN BOQ'!B75)</f>
        <v>100.87600000000002</v>
      </c>
      <c r="AN75" s="169">
        <f t="shared" si="5"/>
        <v>100.87600000000002</v>
      </c>
      <c r="AO75" s="169">
        <f t="shared" si="6"/>
        <v>0</v>
      </c>
      <c r="AP75" s="169">
        <f t="shared" si="7"/>
        <v>100.87600000000002</v>
      </c>
      <c r="AQ75" s="169"/>
    </row>
    <row r="76" spans="1:43" s="242" customFormat="1" ht="34" outlineLevel="2">
      <c r="A76" s="239"/>
      <c r="B76" s="239" t="str">
        <f>'B-1. THKL THEO ID'!B74</f>
        <v>ID-031</v>
      </c>
      <c r="C76" s="239"/>
      <c r="D76" s="239" t="str">
        <f>"BOQ-"&amp; TEXT(COUNTA($D$6:D74),"000")</f>
        <v>BOQ-034</v>
      </c>
      <c r="E76" s="239" t="s">
        <v>157</v>
      </c>
      <c r="F76" s="237"/>
      <c r="G76" s="237"/>
      <c r="H76" s="237"/>
      <c r="I76" s="237"/>
      <c r="J76" s="237"/>
      <c r="K76" s="237"/>
      <c r="L76" s="237"/>
      <c r="M76" s="237" t="s">
        <v>333</v>
      </c>
      <c r="N76" s="237" t="s">
        <v>333</v>
      </c>
      <c r="O76" s="237" t="s">
        <v>333</v>
      </c>
      <c r="P76" s="237" t="s">
        <v>333</v>
      </c>
      <c r="Q76" s="237"/>
      <c r="R76" s="237"/>
      <c r="S76" s="237"/>
      <c r="T76" s="237"/>
      <c r="U76" s="237"/>
      <c r="V76" s="237"/>
      <c r="W76" s="237"/>
      <c r="X76" s="237"/>
      <c r="Y76" s="237" t="s">
        <v>333</v>
      </c>
      <c r="Z76" s="237"/>
      <c r="AA76" s="237"/>
      <c r="AB76" s="240" t="s">
        <v>259</v>
      </c>
      <c r="AC76" s="168" t="s">
        <v>214</v>
      </c>
      <c r="AD76" s="166"/>
      <c r="AE76" s="171">
        <v>36</v>
      </c>
      <c r="AF76" s="172" t="s">
        <v>205</v>
      </c>
      <c r="AG76" s="172"/>
      <c r="AH76" s="224">
        <v>70.552999999999997</v>
      </c>
      <c r="AI76" s="169">
        <v>26769068.280000001</v>
      </c>
      <c r="AJ76" s="169">
        <f t="shared" si="0"/>
        <v>1888638074.35884</v>
      </c>
      <c r="AK76" s="224">
        <v>70.552999999999997</v>
      </c>
      <c r="AL76" s="169"/>
      <c r="AM76" s="169">
        <f>SUMIFS('B3. THKL THEO CKHD'!K:K,'B3. THKL THEO CKHD'!C:C,'SCAN BOQ'!B76)</f>
        <v>11.440800000000001</v>
      </c>
      <c r="AN76" s="169">
        <f t="shared" si="5"/>
        <v>-59.112199999999994</v>
      </c>
      <c r="AO76" s="169">
        <f t="shared" si="6"/>
        <v>-1582378517.9810159</v>
      </c>
      <c r="AP76" s="169">
        <f t="shared" si="7"/>
        <v>11.440800000000001</v>
      </c>
      <c r="AQ76" s="169">
        <f t="shared" si="8"/>
        <v>306259556.37782407</v>
      </c>
    </row>
    <row r="77" spans="1:43" s="242" customFormat="1" ht="17" outlineLevel="2">
      <c r="A77" s="239"/>
      <c r="B77" s="239" t="str">
        <f>'B-1. THKL THEO ID'!B75</f>
        <v>ID-031A</v>
      </c>
      <c r="C77" s="239" t="str">
        <f>'B-1. THKL THEO ID'!C75</f>
        <v>CBS</v>
      </c>
      <c r="D77" s="239"/>
      <c r="E77" s="239" t="s">
        <v>157</v>
      </c>
      <c r="F77" s="237"/>
      <c r="G77" s="237"/>
      <c r="H77" s="237"/>
      <c r="I77" s="237"/>
      <c r="J77" s="237"/>
      <c r="K77" s="237"/>
      <c r="L77" s="237"/>
      <c r="M77" s="237" t="s">
        <v>333</v>
      </c>
      <c r="N77" s="237" t="s">
        <v>333</v>
      </c>
      <c r="O77" s="237" t="s">
        <v>333</v>
      </c>
      <c r="P77" s="237" t="s">
        <v>333</v>
      </c>
      <c r="Q77" s="237"/>
      <c r="R77" s="237"/>
      <c r="S77" s="237"/>
      <c r="T77" s="237"/>
      <c r="U77" s="237"/>
      <c r="V77" s="237"/>
      <c r="W77" s="237"/>
      <c r="X77" s="237"/>
      <c r="Y77" s="237" t="s">
        <v>333</v>
      </c>
      <c r="Z77" s="237"/>
      <c r="AA77" s="237"/>
      <c r="AB77" s="240" t="s">
        <v>302</v>
      </c>
      <c r="AC77" s="168" t="s">
        <v>14</v>
      </c>
      <c r="AD77" s="166"/>
      <c r="AE77" s="171"/>
      <c r="AF77" s="172"/>
      <c r="AG77" s="172"/>
      <c r="AH77" s="224"/>
      <c r="AI77" s="169"/>
      <c r="AJ77" s="169"/>
      <c r="AK77" s="224"/>
      <c r="AL77" s="169"/>
      <c r="AM77" s="169">
        <f>SUMIFS('B3. THKL THEO CKHD'!K:K,'B3. THKL THEO CKHD'!C:C,'SCAN BOQ'!B77)</f>
        <v>1144.0800000000002</v>
      </c>
      <c r="AN77" s="169">
        <f t="shared" si="5"/>
        <v>1144.0800000000002</v>
      </c>
      <c r="AO77" s="169">
        <f t="shared" si="6"/>
        <v>0</v>
      </c>
      <c r="AP77" s="169">
        <f t="shared" si="7"/>
        <v>1144.0800000000002</v>
      </c>
      <c r="AQ77" s="169"/>
    </row>
    <row r="78" spans="1:43" s="242" customFormat="1" ht="34" outlineLevel="2">
      <c r="A78" s="239"/>
      <c r="B78" s="239" t="str">
        <f>'B-1. THKL THEO ID'!B76</f>
        <v>ID-032A</v>
      </c>
      <c r="C78" s="239"/>
      <c r="D78" s="239" t="str">
        <f>"BOQ-"&amp; TEXT(COUNTA($D$6:D77),"000")</f>
        <v>BOQ-035</v>
      </c>
      <c r="E78" s="239" t="s">
        <v>135</v>
      </c>
      <c r="F78" s="237"/>
      <c r="G78" s="237"/>
      <c r="H78" s="237"/>
      <c r="I78" s="237"/>
      <c r="J78" s="237"/>
      <c r="K78" s="237"/>
      <c r="L78" s="237"/>
      <c r="M78" s="237" t="s">
        <v>333</v>
      </c>
      <c r="N78" s="237" t="s">
        <v>333</v>
      </c>
      <c r="O78" s="237" t="s">
        <v>333</v>
      </c>
      <c r="P78" s="237" t="s">
        <v>333</v>
      </c>
      <c r="Q78" s="237"/>
      <c r="R78" s="237"/>
      <c r="S78" s="237"/>
      <c r="T78" s="237"/>
      <c r="U78" s="237"/>
      <c r="V78" s="237"/>
      <c r="W78" s="237"/>
      <c r="X78" s="237"/>
      <c r="Y78" s="237" t="s">
        <v>333</v>
      </c>
      <c r="Z78" s="237"/>
      <c r="AA78" s="237"/>
      <c r="AB78" s="239" t="s">
        <v>260</v>
      </c>
      <c r="AC78" s="168" t="s">
        <v>215</v>
      </c>
      <c r="AD78" s="166"/>
      <c r="AE78" s="171">
        <v>37</v>
      </c>
      <c r="AF78" s="172" t="s">
        <v>206</v>
      </c>
      <c r="AG78" s="172"/>
      <c r="AH78" s="224">
        <v>36.867400000000004</v>
      </c>
      <c r="AI78" s="169">
        <v>20404747.402000003</v>
      </c>
      <c r="AJ78" s="169">
        <f t="shared" si="0"/>
        <v>752269984.36849499</v>
      </c>
      <c r="AK78" s="224">
        <v>36.867400000000004</v>
      </c>
      <c r="AL78" s="169"/>
      <c r="AM78" s="169">
        <f>SUMIFS('B3. THKL THEO CKHD'!K:K,'B3. THKL THEO CKHD'!C:C,'SCAN BOQ'!B78)</f>
        <v>0</v>
      </c>
      <c r="AN78" s="169">
        <f t="shared" si="5"/>
        <v>-36.867400000000004</v>
      </c>
      <c r="AO78" s="169">
        <f t="shared" si="6"/>
        <v>-752269984.36849499</v>
      </c>
      <c r="AP78" s="169">
        <f t="shared" si="7"/>
        <v>0</v>
      </c>
      <c r="AQ78" s="169">
        <f t="shared" si="8"/>
        <v>0</v>
      </c>
    </row>
    <row r="79" spans="1:43" s="242" customFormat="1" ht="34" outlineLevel="2">
      <c r="A79" s="239"/>
      <c r="B79" s="239" t="str">
        <f>'B-1. THKL THEO ID'!B77</f>
        <v>ID-032B</v>
      </c>
      <c r="C79" s="239"/>
      <c r="D79" s="239" t="str">
        <f>"BOQ-"&amp; TEXT(COUNTA($D$6:D78),"000")</f>
        <v>BOQ-036</v>
      </c>
      <c r="E79" s="239" t="s">
        <v>135</v>
      </c>
      <c r="F79" s="237"/>
      <c r="G79" s="237"/>
      <c r="H79" s="237"/>
      <c r="I79" s="237"/>
      <c r="J79" s="237"/>
      <c r="K79" s="237"/>
      <c r="L79" s="237"/>
      <c r="M79" s="237" t="s">
        <v>333</v>
      </c>
      <c r="N79" s="237" t="s">
        <v>333</v>
      </c>
      <c r="O79" s="237" t="s">
        <v>333</v>
      </c>
      <c r="P79" s="237" t="s">
        <v>333</v>
      </c>
      <c r="Q79" s="237"/>
      <c r="R79" s="237"/>
      <c r="S79" s="237"/>
      <c r="T79" s="237"/>
      <c r="U79" s="237"/>
      <c r="V79" s="237"/>
      <c r="W79" s="237"/>
      <c r="X79" s="237"/>
      <c r="Y79" s="237" t="s">
        <v>333</v>
      </c>
      <c r="Z79" s="237"/>
      <c r="AA79" s="237"/>
      <c r="AB79" s="239" t="s">
        <v>261</v>
      </c>
      <c r="AC79" s="168" t="s">
        <v>215</v>
      </c>
      <c r="AD79" s="166"/>
      <c r="AE79" s="167">
        <v>38</v>
      </c>
      <c r="AF79" s="172" t="s">
        <v>207</v>
      </c>
      <c r="AG79" s="172"/>
      <c r="AH79" s="224">
        <v>130.46709999999999</v>
      </c>
      <c r="AI79" s="169">
        <v>20404747.402000003</v>
      </c>
      <c r="AJ79" s="169">
        <f t="shared" si="0"/>
        <v>2662148219.7714744</v>
      </c>
      <c r="AK79" s="224">
        <v>130.46709999999999</v>
      </c>
      <c r="AL79" s="169"/>
      <c r="AM79" s="169">
        <f>SUMIFS('B3. THKL THEO CKHD'!K:K,'B3. THKL THEO CKHD'!C:C,'SCAN BOQ'!B79)</f>
        <v>0</v>
      </c>
      <c r="AN79" s="169">
        <f t="shared" si="5"/>
        <v>-130.46709999999999</v>
      </c>
      <c r="AO79" s="169">
        <f t="shared" si="6"/>
        <v>-2662148219.7714744</v>
      </c>
      <c r="AP79" s="169">
        <f t="shared" si="7"/>
        <v>0</v>
      </c>
      <c r="AQ79" s="169">
        <f t="shared" si="8"/>
        <v>0</v>
      </c>
    </row>
    <row r="80" spans="1:43" s="242" customFormat="1" ht="17" outlineLevel="2">
      <c r="A80" s="239"/>
      <c r="B80" s="239" t="str">
        <f>'B-1. THKL THEO ID'!B78</f>
        <v>ID-032</v>
      </c>
      <c r="C80" s="239" t="str">
        <f>'B-1. THKL THEO ID'!C78</f>
        <v>CBS</v>
      </c>
      <c r="D80" s="239"/>
      <c r="E80" s="239" t="s">
        <v>135</v>
      </c>
      <c r="F80" s="237"/>
      <c r="G80" s="237"/>
      <c r="H80" s="237"/>
      <c r="I80" s="237"/>
      <c r="J80" s="237"/>
      <c r="K80" s="237"/>
      <c r="L80" s="237"/>
      <c r="M80" s="237" t="s">
        <v>333</v>
      </c>
      <c r="N80" s="237" t="s">
        <v>333</v>
      </c>
      <c r="O80" s="237" t="s">
        <v>333</v>
      </c>
      <c r="P80" s="237" t="s">
        <v>333</v>
      </c>
      <c r="Q80" s="237"/>
      <c r="R80" s="237"/>
      <c r="S80" s="237"/>
      <c r="T80" s="237"/>
      <c r="U80" s="237"/>
      <c r="V80" s="237"/>
      <c r="W80" s="237"/>
      <c r="X80" s="237"/>
      <c r="Y80" s="237" t="s">
        <v>333</v>
      </c>
      <c r="Z80" s="237"/>
      <c r="AA80" s="237"/>
      <c r="AB80" s="239" t="s">
        <v>303</v>
      </c>
      <c r="AC80" s="168" t="s">
        <v>15</v>
      </c>
      <c r="AD80" s="166"/>
      <c r="AE80" s="167"/>
      <c r="AF80" s="172"/>
      <c r="AG80" s="172"/>
      <c r="AH80" s="224"/>
      <c r="AI80" s="169"/>
      <c r="AJ80" s="169"/>
      <c r="AK80" s="224"/>
      <c r="AL80" s="169"/>
      <c r="AM80" s="169">
        <f>SUMIFS('B3. THKL THEO CKHD'!K:K,'B3. THKL THEO CKHD'!C:C,'SCAN BOQ'!B80)</f>
        <v>0</v>
      </c>
      <c r="AN80" s="169">
        <f t="shared" si="5"/>
        <v>0</v>
      </c>
      <c r="AO80" s="169">
        <f t="shared" si="6"/>
        <v>0</v>
      </c>
      <c r="AP80" s="169">
        <f t="shared" si="7"/>
        <v>0</v>
      </c>
      <c r="AQ80" s="169"/>
    </row>
    <row r="81" spans="1:43" s="242" customFormat="1" ht="34" outlineLevel="2">
      <c r="A81" s="239"/>
      <c r="B81" s="239" t="str">
        <f>'B-1. THKL THEO ID'!B79</f>
        <v>ID-033</v>
      </c>
      <c r="C81" s="239"/>
      <c r="D81" s="239" t="str">
        <f>"BOQ-"&amp; TEXT(COUNTA($D$6:D80),"000")</f>
        <v>BOQ-037</v>
      </c>
      <c r="E81" s="239" t="s">
        <v>98</v>
      </c>
      <c r="F81" s="237"/>
      <c r="G81" s="237"/>
      <c r="H81" s="237"/>
      <c r="I81" s="237"/>
      <c r="J81" s="237"/>
      <c r="K81" s="237"/>
      <c r="L81" s="237"/>
      <c r="M81" s="237" t="s">
        <v>333</v>
      </c>
      <c r="N81" s="237" t="s">
        <v>333</v>
      </c>
      <c r="O81" s="237" t="s">
        <v>333</v>
      </c>
      <c r="P81" s="237" t="s">
        <v>333</v>
      </c>
      <c r="Q81" s="237"/>
      <c r="R81" s="237"/>
      <c r="S81" s="237"/>
      <c r="T81" s="237"/>
      <c r="U81" s="237"/>
      <c r="V81" s="237"/>
      <c r="W81" s="237"/>
      <c r="X81" s="237"/>
      <c r="Y81" s="237" t="s">
        <v>333</v>
      </c>
      <c r="Z81" s="237"/>
      <c r="AA81" s="237"/>
      <c r="AB81" s="240" t="s">
        <v>433</v>
      </c>
      <c r="AC81" s="168" t="s">
        <v>13</v>
      </c>
      <c r="AD81" s="166"/>
      <c r="AE81" s="167">
        <v>39</v>
      </c>
      <c r="AF81" s="172" t="s">
        <v>208</v>
      </c>
      <c r="AG81" s="172"/>
      <c r="AH81" s="224">
        <v>1530.777</v>
      </c>
      <c r="AI81" s="169">
        <v>1745289.4435000001</v>
      </c>
      <c r="AJ81" s="169">
        <f t="shared" si="0"/>
        <v>2671648938.4525995</v>
      </c>
      <c r="AK81" s="224">
        <v>1530.777</v>
      </c>
      <c r="AL81" s="169"/>
      <c r="AM81" s="169">
        <f>SUMIFS('B3. THKL THEO CKHD'!K:K,'B3. THKL THEO CKHD'!C:C,'SCAN BOQ'!B81)</f>
        <v>416.89800000000002</v>
      </c>
      <c r="AN81" s="169">
        <f t="shared" si="5"/>
        <v>-1113.8789999999999</v>
      </c>
      <c r="AO81" s="169">
        <f t="shared" si="6"/>
        <v>-1944041260.0363364</v>
      </c>
      <c r="AP81" s="169">
        <f t="shared" si="7"/>
        <v>416.89800000000002</v>
      </c>
      <c r="AQ81" s="169">
        <f t="shared" si="8"/>
        <v>727607678.4162631</v>
      </c>
    </row>
    <row r="82" spans="1:43" s="242" customFormat="1" ht="17" outlineLevel="2">
      <c r="A82" s="239"/>
      <c r="B82" s="239" t="str">
        <f>'B-1. THKL THEO ID'!B80</f>
        <v>ID-033A</v>
      </c>
      <c r="C82" s="239" t="str">
        <f>'B-1. THKL THEO ID'!C80</f>
        <v>CBS</v>
      </c>
      <c r="D82" s="239"/>
      <c r="E82" s="239" t="s">
        <v>98</v>
      </c>
      <c r="F82" s="237"/>
      <c r="G82" s="237"/>
      <c r="H82" s="237"/>
      <c r="I82" s="237"/>
      <c r="J82" s="237"/>
      <c r="K82" s="237"/>
      <c r="L82" s="237"/>
      <c r="M82" s="237" t="s">
        <v>333</v>
      </c>
      <c r="N82" s="237" t="s">
        <v>333</v>
      </c>
      <c r="O82" s="237" t="s">
        <v>333</v>
      </c>
      <c r="P82" s="237" t="s">
        <v>333</v>
      </c>
      <c r="Q82" s="237"/>
      <c r="R82" s="237"/>
      <c r="S82" s="237"/>
      <c r="T82" s="237"/>
      <c r="U82" s="237"/>
      <c r="V82" s="237"/>
      <c r="W82" s="237"/>
      <c r="X82" s="237"/>
      <c r="Y82" s="237" t="s">
        <v>333</v>
      </c>
      <c r="Z82" s="237"/>
      <c r="AA82" s="237"/>
      <c r="AB82" s="239" t="s">
        <v>324</v>
      </c>
      <c r="AC82" s="168" t="s">
        <v>13</v>
      </c>
      <c r="AD82" s="166"/>
      <c r="AE82" s="167"/>
      <c r="AF82" s="172"/>
      <c r="AG82" s="172"/>
      <c r="AH82" s="224"/>
      <c r="AI82" s="169"/>
      <c r="AJ82" s="169"/>
      <c r="AK82" s="224"/>
      <c r="AL82" s="169"/>
      <c r="AM82" s="169">
        <f>SUMIFS('B3. THKL THEO CKHD'!K:K,'B3. THKL THEO CKHD'!C:C,'SCAN BOQ'!B82)</f>
        <v>416.89800000000002</v>
      </c>
      <c r="AN82" s="169">
        <f t="shared" si="5"/>
        <v>416.89800000000002</v>
      </c>
      <c r="AO82" s="169">
        <f t="shared" si="6"/>
        <v>0</v>
      </c>
      <c r="AP82" s="169">
        <f t="shared" si="7"/>
        <v>416.89800000000002</v>
      </c>
      <c r="AQ82" s="169"/>
    </row>
    <row r="83" spans="1:43" s="242" customFormat="1" ht="46.5" customHeight="1" outlineLevel="2">
      <c r="A83" s="239"/>
      <c r="B83" s="239" t="str">
        <f>'B-1. THKL THEO ID'!B81</f>
        <v>ID-033</v>
      </c>
      <c r="C83" s="239"/>
      <c r="D83" s="239" t="str">
        <f>"BOQ-"&amp; TEXT(COUNTA($D$6:D81),"000")</f>
        <v>BOQ-038</v>
      </c>
      <c r="E83" s="239" t="s">
        <v>157</v>
      </c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 t="s">
        <v>333</v>
      </c>
      <c r="R83" s="237" t="s">
        <v>333</v>
      </c>
      <c r="S83" s="237"/>
      <c r="T83" s="237"/>
      <c r="U83" s="237"/>
      <c r="V83" s="237"/>
      <c r="W83" s="237"/>
      <c r="X83" s="237"/>
      <c r="Y83" s="237"/>
      <c r="Z83" s="237"/>
      <c r="AA83" s="237"/>
      <c r="AB83" s="239" t="s">
        <v>262</v>
      </c>
      <c r="AC83" s="168" t="s">
        <v>214</v>
      </c>
      <c r="AD83" s="166"/>
      <c r="AE83" s="171">
        <v>40</v>
      </c>
      <c r="AF83" s="172" t="s">
        <v>209</v>
      </c>
      <c r="AG83" s="172"/>
      <c r="AH83" s="224">
        <v>5.5717999999999996</v>
      </c>
      <c r="AI83" s="169">
        <v>29472333.279999997</v>
      </c>
      <c r="AJ83" s="169">
        <f t="shared" si="0"/>
        <v>164213946.56950396</v>
      </c>
      <c r="AK83" s="224">
        <v>5.5717999999999996</v>
      </c>
      <c r="AL83" s="169"/>
      <c r="AM83" s="169">
        <f>SUMIFS('B3. THKL THEO CKHD'!K:K,'B3. THKL THEO CKHD'!C:C,'SCAN BOQ'!B83)</f>
        <v>416.89800000000002</v>
      </c>
      <c r="AN83" s="169">
        <f t="shared" si="5"/>
        <v>411.32620000000003</v>
      </c>
      <c r="AO83" s="169">
        <f t="shared" si="6"/>
        <v>12122742853.195936</v>
      </c>
      <c r="AP83" s="169">
        <f t="shared" si="7"/>
        <v>416.89800000000002</v>
      </c>
      <c r="AQ83" s="169">
        <f t="shared" si="8"/>
        <v>12286956799.76544</v>
      </c>
    </row>
    <row r="84" spans="1:43" s="242" customFormat="1" ht="17" outlineLevel="2">
      <c r="A84" s="239"/>
      <c r="B84" s="239" t="str">
        <f>'B-1. THKL THEO ID'!B82</f>
        <v>ID-033A</v>
      </c>
      <c r="C84" s="239" t="str">
        <f>'B-1. THKL THEO ID'!C82</f>
        <v>CBS</v>
      </c>
      <c r="D84" s="239"/>
      <c r="E84" s="239" t="s">
        <v>157</v>
      </c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 t="s">
        <v>333</v>
      </c>
      <c r="R84" s="237" t="s">
        <v>333</v>
      </c>
      <c r="S84" s="237"/>
      <c r="T84" s="237"/>
      <c r="U84" s="237"/>
      <c r="V84" s="237"/>
      <c r="W84" s="237"/>
      <c r="X84" s="237"/>
      <c r="Y84" s="237"/>
      <c r="Z84" s="237"/>
      <c r="AA84" s="237"/>
      <c r="AB84" s="239" t="s">
        <v>304</v>
      </c>
      <c r="AC84" s="168" t="s">
        <v>14</v>
      </c>
      <c r="AD84" s="166"/>
      <c r="AE84" s="171"/>
      <c r="AF84" s="172"/>
      <c r="AG84" s="172"/>
      <c r="AH84" s="224"/>
      <c r="AI84" s="169"/>
      <c r="AJ84" s="169"/>
      <c r="AK84" s="224"/>
      <c r="AL84" s="169"/>
      <c r="AM84" s="169">
        <f>SUMIFS('B3. THKL THEO CKHD'!K:K,'B3. THKL THEO CKHD'!C:C,'SCAN BOQ'!B84)</f>
        <v>416.89800000000002</v>
      </c>
      <c r="AN84" s="169">
        <f t="shared" si="5"/>
        <v>416.89800000000002</v>
      </c>
      <c r="AO84" s="169">
        <f t="shared" si="6"/>
        <v>0</v>
      </c>
      <c r="AP84" s="169">
        <f t="shared" si="7"/>
        <v>416.89800000000002</v>
      </c>
      <c r="AQ84" s="169"/>
    </row>
    <row r="85" spans="1:43" s="242" customFormat="1" ht="34" outlineLevel="2">
      <c r="A85" s="239"/>
      <c r="B85" s="239" t="str">
        <f>'B-1. THKL THEO ID'!B83</f>
        <v>ID-034A</v>
      </c>
      <c r="C85" s="239"/>
      <c r="D85" s="239" t="str">
        <f>"BOQ-"&amp; TEXT(COUNTA($D$6:D84),"000")</f>
        <v>BOQ-039</v>
      </c>
      <c r="E85" s="239" t="s">
        <v>135</v>
      </c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 t="s">
        <v>333</v>
      </c>
      <c r="R85" s="237" t="s">
        <v>333</v>
      </c>
      <c r="S85" s="237"/>
      <c r="T85" s="237"/>
      <c r="U85" s="237"/>
      <c r="V85" s="237"/>
      <c r="W85" s="237"/>
      <c r="X85" s="237"/>
      <c r="Y85" s="237"/>
      <c r="Z85" s="237"/>
      <c r="AA85" s="237"/>
      <c r="AB85" s="239" t="s">
        <v>263</v>
      </c>
      <c r="AC85" s="168" t="s">
        <v>215</v>
      </c>
      <c r="AD85" s="166"/>
      <c r="AE85" s="167">
        <v>41</v>
      </c>
      <c r="AF85" s="172" t="s">
        <v>210</v>
      </c>
      <c r="AG85" s="172"/>
      <c r="AH85" s="224">
        <v>2.3153000000000001</v>
      </c>
      <c r="AI85" s="169">
        <v>22351098.202</v>
      </c>
      <c r="AJ85" s="169">
        <f t="shared" si="0"/>
        <v>51749497.667090602</v>
      </c>
      <c r="AK85" s="224">
        <v>2.3153000000000001</v>
      </c>
      <c r="AL85" s="169"/>
      <c r="AM85" s="169">
        <f>SUMIFS('B3. THKL THEO CKHD'!K:K,'B3. THKL THEO CKHD'!C:C,'SCAN BOQ'!B85)</f>
        <v>0</v>
      </c>
      <c r="AN85" s="169">
        <f t="shared" si="5"/>
        <v>-2.3153000000000001</v>
      </c>
      <c r="AO85" s="169">
        <f t="shared" si="6"/>
        <v>-51749497.667090602</v>
      </c>
      <c r="AP85" s="169">
        <f t="shared" si="7"/>
        <v>0</v>
      </c>
      <c r="AQ85" s="169">
        <f t="shared" si="8"/>
        <v>0</v>
      </c>
    </row>
    <row r="86" spans="1:43" s="242" customFormat="1" ht="34" outlineLevel="2">
      <c r="A86" s="239"/>
      <c r="B86" s="239" t="str">
        <f>'B-1. THKL THEO ID'!B84</f>
        <v>ID-035B</v>
      </c>
      <c r="C86" s="239"/>
      <c r="D86" s="239" t="str">
        <f>"BOQ-"&amp; TEXT(COUNTA($D$6:D85),"000")</f>
        <v>BOQ-040</v>
      </c>
      <c r="E86" s="239" t="s">
        <v>135</v>
      </c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 t="s">
        <v>333</v>
      </c>
      <c r="R86" s="237" t="s">
        <v>333</v>
      </c>
      <c r="S86" s="237"/>
      <c r="T86" s="237"/>
      <c r="U86" s="237"/>
      <c r="V86" s="237"/>
      <c r="W86" s="237"/>
      <c r="X86" s="237"/>
      <c r="Y86" s="237"/>
      <c r="Z86" s="237"/>
      <c r="AA86" s="237"/>
      <c r="AB86" s="239" t="s">
        <v>264</v>
      </c>
      <c r="AC86" s="168" t="s">
        <v>215</v>
      </c>
      <c r="AD86" s="166"/>
      <c r="AE86" s="171">
        <v>42</v>
      </c>
      <c r="AF86" s="172" t="s">
        <v>211</v>
      </c>
      <c r="AG86" s="172"/>
      <c r="AH86" s="224">
        <v>14.789899999999999</v>
      </c>
      <c r="AI86" s="169">
        <v>22351098.202</v>
      </c>
      <c r="AJ86" s="169">
        <f t="shared" si="0"/>
        <v>330570507.29775977</v>
      </c>
      <c r="AK86" s="224">
        <v>14.789899999999999</v>
      </c>
      <c r="AL86" s="169"/>
      <c r="AM86" s="169">
        <f>SUMIFS('B3. THKL THEO CKHD'!K:K,'B3. THKL THEO CKHD'!C:C,'SCAN BOQ'!B86)</f>
        <v>0</v>
      </c>
      <c r="AN86" s="169">
        <f t="shared" si="5"/>
        <v>-14.789899999999999</v>
      </c>
      <c r="AO86" s="169">
        <f t="shared" si="6"/>
        <v>-330570507.29775977</v>
      </c>
      <c r="AP86" s="169">
        <f t="shared" si="7"/>
        <v>0</v>
      </c>
      <c r="AQ86" s="169">
        <f t="shared" si="8"/>
        <v>0</v>
      </c>
    </row>
    <row r="87" spans="1:43" s="242" customFormat="1" ht="17" outlineLevel="2">
      <c r="A87" s="239"/>
      <c r="B87" s="239" t="str">
        <f>'B-1. THKL THEO ID'!B85</f>
        <v>ID-035</v>
      </c>
      <c r="C87" s="239" t="str">
        <f>'B-1. THKL THEO ID'!C85</f>
        <v>CBS</v>
      </c>
      <c r="D87" s="239"/>
      <c r="E87" s="239" t="s">
        <v>135</v>
      </c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 t="s">
        <v>333</v>
      </c>
      <c r="R87" s="237" t="s">
        <v>333</v>
      </c>
      <c r="S87" s="237"/>
      <c r="T87" s="237"/>
      <c r="U87" s="237"/>
      <c r="V87" s="237"/>
      <c r="W87" s="237"/>
      <c r="X87" s="237"/>
      <c r="Y87" s="237"/>
      <c r="Z87" s="237"/>
      <c r="AA87" s="237"/>
      <c r="AB87" s="239" t="s">
        <v>305</v>
      </c>
      <c r="AC87" s="168" t="s">
        <v>15</v>
      </c>
      <c r="AD87" s="166"/>
      <c r="AE87" s="171"/>
      <c r="AF87" s="172"/>
      <c r="AG87" s="172"/>
      <c r="AH87" s="224"/>
      <c r="AI87" s="169"/>
      <c r="AJ87" s="169"/>
      <c r="AK87" s="224"/>
      <c r="AL87" s="169"/>
      <c r="AM87" s="169">
        <f>SUMIFS('B3. THKL THEO CKHD'!K:K,'B3. THKL THEO CKHD'!C:C,'SCAN BOQ'!B87)</f>
        <v>0</v>
      </c>
      <c r="AN87" s="169">
        <f t="shared" si="5"/>
        <v>0</v>
      </c>
      <c r="AO87" s="169">
        <f t="shared" si="6"/>
        <v>0</v>
      </c>
      <c r="AP87" s="169">
        <f t="shared" si="7"/>
        <v>0</v>
      </c>
      <c r="AQ87" s="169"/>
    </row>
    <row r="88" spans="1:43" s="242" customFormat="1" ht="34" outlineLevel="2">
      <c r="A88" s="239"/>
      <c r="B88" s="239" t="str">
        <f>'B-1. THKL THEO ID'!B86</f>
        <v>ID-036</v>
      </c>
      <c r="C88" s="239"/>
      <c r="D88" s="239" t="str">
        <f>"BOQ-"&amp; TEXT(COUNTA($D$6:D87),"000")</f>
        <v>BOQ-041</v>
      </c>
      <c r="E88" s="239" t="s">
        <v>98</v>
      </c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 t="s">
        <v>333</v>
      </c>
      <c r="R88" s="237" t="s">
        <v>333</v>
      </c>
      <c r="S88" s="237"/>
      <c r="T88" s="237"/>
      <c r="U88" s="237"/>
      <c r="V88" s="237"/>
      <c r="W88" s="237"/>
      <c r="X88" s="237"/>
      <c r="Y88" s="237"/>
      <c r="Z88" s="237"/>
      <c r="AA88" s="237"/>
      <c r="AB88" s="240" t="s">
        <v>526</v>
      </c>
      <c r="AC88" s="168" t="s">
        <v>13</v>
      </c>
      <c r="AD88" s="166"/>
      <c r="AE88" s="167">
        <v>43</v>
      </c>
      <c r="AF88" s="172" t="s">
        <v>212</v>
      </c>
      <c r="AG88" s="172"/>
      <c r="AH88" s="224">
        <v>125.33280000000001</v>
      </c>
      <c r="AI88" s="169">
        <v>1319778.1352499998</v>
      </c>
      <c r="AJ88" s="169">
        <f t="shared" si="0"/>
        <v>165411489.06966117</v>
      </c>
      <c r="AK88" s="224">
        <v>125.33280000000001</v>
      </c>
      <c r="AL88" s="169"/>
      <c r="AM88" s="169">
        <f>SUMIFS('B3. THKL THEO CKHD'!K:K,'B3. THKL THEO CKHD'!C:C,'SCAN BOQ'!B88)</f>
        <v>0</v>
      </c>
      <c r="AN88" s="169">
        <f t="shared" si="5"/>
        <v>-125.33280000000001</v>
      </c>
      <c r="AO88" s="169">
        <f t="shared" si="6"/>
        <v>-165411489.06966117</v>
      </c>
      <c r="AP88" s="169">
        <f t="shared" si="7"/>
        <v>0</v>
      </c>
      <c r="AQ88" s="169">
        <f t="shared" si="8"/>
        <v>0</v>
      </c>
    </row>
    <row r="89" spans="1:43" s="242" customFormat="1" ht="17" outlineLevel="2">
      <c r="A89" s="243"/>
      <c r="B89" s="239" t="str">
        <f>'B-1. THKL THEO ID'!B87</f>
        <v>ID-036A</v>
      </c>
      <c r="C89" s="239" t="str">
        <f>'B-1. THKL THEO ID'!C87</f>
        <v>CBS</v>
      </c>
      <c r="D89" s="239"/>
      <c r="E89" s="239" t="s">
        <v>98</v>
      </c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 t="s">
        <v>333</v>
      </c>
      <c r="R89" s="318"/>
      <c r="S89" s="237"/>
      <c r="T89" s="237"/>
      <c r="U89" s="237"/>
      <c r="V89" s="237"/>
      <c r="W89" s="237"/>
      <c r="X89" s="237"/>
      <c r="Y89" s="237"/>
      <c r="Z89" s="237"/>
      <c r="AA89" s="237"/>
      <c r="AB89" s="239" t="s">
        <v>306</v>
      </c>
      <c r="AC89" s="226" t="s">
        <v>13</v>
      </c>
      <c r="AD89" s="225"/>
      <c r="AE89" s="227"/>
      <c r="AF89" s="228"/>
      <c r="AG89" s="228"/>
      <c r="AH89" s="229"/>
      <c r="AI89" s="230"/>
      <c r="AJ89" s="230"/>
      <c r="AK89" s="229"/>
      <c r="AL89" s="169"/>
      <c r="AM89" s="169">
        <f>SUMIFS('B3. THKL THEO CKHD'!K:K,'B3. THKL THEO CKHD'!C:C,'SCAN BOQ'!B89)</f>
        <v>0</v>
      </c>
      <c r="AN89" s="169">
        <f t="shared" si="5"/>
        <v>0</v>
      </c>
      <c r="AO89" s="169">
        <f t="shared" si="6"/>
        <v>0</v>
      </c>
      <c r="AP89" s="169">
        <f t="shared" si="7"/>
        <v>0</v>
      </c>
      <c r="AQ89" s="230"/>
    </row>
    <row r="90" spans="1:43" s="242" customFormat="1" ht="17" outlineLevel="2">
      <c r="A90" s="243"/>
      <c r="B90" s="239" t="str">
        <f>'B-1. THKL THEO ID'!B88</f>
        <v>ID-036B</v>
      </c>
      <c r="C90" s="239" t="str">
        <f>'B-1. THKL THEO ID'!C88</f>
        <v>CBS</v>
      </c>
      <c r="D90" s="239"/>
      <c r="E90" s="239" t="s">
        <v>98</v>
      </c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37" t="s">
        <v>333</v>
      </c>
      <c r="S90" s="237"/>
      <c r="T90" s="237"/>
      <c r="U90" s="237"/>
      <c r="V90" s="237"/>
      <c r="W90" s="237"/>
      <c r="X90" s="237"/>
      <c r="Y90" s="237"/>
      <c r="Z90" s="237"/>
      <c r="AA90" s="237"/>
      <c r="AB90" s="239" t="s">
        <v>119</v>
      </c>
      <c r="AC90" s="226" t="s">
        <v>13</v>
      </c>
      <c r="AD90" s="225"/>
      <c r="AE90" s="227"/>
      <c r="AF90" s="228"/>
      <c r="AG90" s="228"/>
      <c r="AH90" s="229"/>
      <c r="AI90" s="230"/>
      <c r="AJ90" s="230"/>
      <c r="AK90" s="229"/>
      <c r="AL90" s="169"/>
      <c r="AM90" s="169">
        <f>SUMIFS('B3. THKL THEO CKHD'!K:K,'B3. THKL THEO CKHD'!C:C,'SCAN BOQ'!B90)</f>
        <v>0</v>
      </c>
      <c r="AN90" s="169">
        <f t="shared" si="5"/>
        <v>0</v>
      </c>
      <c r="AO90" s="169">
        <f t="shared" si="6"/>
        <v>0</v>
      </c>
      <c r="AP90" s="169">
        <f t="shared" si="7"/>
        <v>0</v>
      </c>
      <c r="AQ90" s="230"/>
    </row>
    <row r="91" spans="1:43" outlineLevel="1">
      <c r="A91" s="163"/>
      <c r="B91" s="164"/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4"/>
      <c r="Y91" s="164"/>
      <c r="Z91" s="164"/>
      <c r="AA91" s="164"/>
      <c r="AB91" s="164"/>
      <c r="AC91" s="164"/>
      <c r="AD91" s="164"/>
      <c r="AE91" s="223" t="s">
        <v>6</v>
      </c>
      <c r="AF91" s="164" t="s">
        <v>217</v>
      </c>
      <c r="AG91" s="164"/>
      <c r="AH91" s="164"/>
      <c r="AI91" s="164"/>
      <c r="AJ91" s="165">
        <f>SUBTOTAL(9,AJ92:AJ99)</f>
        <v>4689077081.3930607</v>
      </c>
      <c r="AK91" s="165"/>
      <c r="AL91" s="165"/>
      <c r="AM91" s="165"/>
      <c r="AN91" s="165"/>
      <c r="AO91" s="165">
        <f>SUBTOTAL(9,AO92:AO99)</f>
        <v>-4689077081.3930607</v>
      </c>
      <c r="AP91" s="165">
        <f t="shared" ref="AP91:AQ91" si="9">SUBTOTAL(9,AP92:AP99)</f>
        <v>0</v>
      </c>
      <c r="AQ91" s="165">
        <f t="shared" si="9"/>
        <v>0</v>
      </c>
    </row>
    <row r="92" spans="1:43" s="242" customFormat="1" ht="17" outlineLevel="2">
      <c r="A92" s="239"/>
      <c r="B92" s="239" t="str">
        <f>'B-1. THKL THEO ID'!B89</f>
        <v>ID-X02</v>
      </c>
      <c r="C92" s="239" t="str">
        <f>'B-1. THKL THEO ID'!C89</f>
        <v>CBS</v>
      </c>
      <c r="D92" s="239" t="str">
        <f>"BOQ-"&amp; TEXT(COUNTA($D$6:D91),"000")</f>
        <v>BOQ-042</v>
      </c>
      <c r="E92" s="239" t="s">
        <v>159</v>
      </c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 t="s">
        <v>333</v>
      </c>
      <c r="AA92" s="237"/>
      <c r="AB92" s="239" t="s">
        <v>218</v>
      </c>
      <c r="AC92" s="168" t="s">
        <v>226</v>
      </c>
      <c r="AD92" s="166"/>
      <c r="AE92" s="231">
        <v>1</v>
      </c>
      <c r="AF92" s="172" t="s">
        <v>218</v>
      </c>
      <c r="AG92" s="442" t="s">
        <v>280</v>
      </c>
      <c r="AH92" s="224">
        <v>1</v>
      </c>
      <c r="AI92" s="169">
        <v>2355108250</v>
      </c>
      <c r="AJ92" s="169">
        <f t="shared" ref="AJ92:AJ99" si="10">AI92*AH92</f>
        <v>2355108250</v>
      </c>
      <c r="AK92" s="224">
        <v>1</v>
      </c>
      <c r="AL92" s="169"/>
      <c r="AM92" s="169">
        <f>SUMIFS('B3. THKL THEO CKHD'!K:K,'B3. THKL THEO CKHD'!C:C,'SCAN BOQ'!B92)</f>
        <v>0</v>
      </c>
      <c r="AN92" s="169">
        <f t="shared" ref="AN92:AN99" si="11">+AM92-AK92</f>
        <v>-1</v>
      </c>
      <c r="AO92" s="169">
        <f t="shared" ref="AO92:AO99" si="12">AN92*AI92</f>
        <v>-2355108250</v>
      </c>
      <c r="AP92" s="169">
        <f t="shared" ref="AP92:AP99" si="13">AM92-AL92</f>
        <v>0</v>
      </c>
      <c r="AQ92" s="169">
        <f>AP92*AI92</f>
        <v>0</v>
      </c>
    </row>
    <row r="93" spans="1:43" s="242" customFormat="1" ht="17" outlineLevel="2">
      <c r="A93" s="239"/>
      <c r="B93" s="239" t="str">
        <f>'B-1. THKL THEO ID'!B90</f>
        <v>ID-X03</v>
      </c>
      <c r="C93" s="239" t="str">
        <f>'B-1. THKL THEO ID'!C90</f>
        <v>CBS</v>
      </c>
      <c r="D93" s="239" t="str">
        <f>"BOQ-"&amp; TEXT(COUNTA($D$6:D92),"000")</f>
        <v>BOQ-043</v>
      </c>
      <c r="E93" s="239" t="s">
        <v>159</v>
      </c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237"/>
      <c r="Y93" s="237"/>
      <c r="Z93" s="237" t="s">
        <v>333</v>
      </c>
      <c r="AA93" s="237"/>
      <c r="AB93" s="239" t="s">
        <v>219</v>
      </c>
      <c r="AC93" s="168" t="s">
        <v>226</v>
      </c>
      <c r="AD93" s="166"/>
      <c r="AE93" s="232">
        <f t="shared" ref="AE93:AE99" si="14">+AE92+1</f>
        <v>2</v>
      </c>
      <c r="AF93" s="172" t="s">
        <v>219</v>
      </c>
      <c r="AG93" s="443"/>
      <c r="AH93" s="224">
        <v>1</v>
      </c>
      <c r="AI93" s="169">
        <v>1114478414.6896</v>
      </c>
      <c r="AJ93" s="169">
        <f t="shared" si="10"/>
        <v>1114478414.6896</v>
      </c>
      <c r="AK93" s="224">
        <v>1</v>
      </c>
      <c r="AL93" s="169"/>
      <c r="AM93" s="169">
        <f>SUMIFS('B3. THKL THEO CKHD'!K:K,'B3. THKL THEO CKHD'!C:C,'SCAN BOQ'!B93)</f>
        <v>0</v>
      </c>
      <c r="AN93" s="169">
        <f t="shared" si="11"/>
        <v>-1</v>
      </c>
      <c r="AO93" s="169">
        <f t="shared" si="12"/>
        <v>-1114478414.6896</v>
      </c>
      <c r="AP93" s="169">
        <f t="shared" si="13"/>
        <v>0</v>
      </c>
      <c r="AQ93" s="169">
        <f t="shared" ref="AQ93:AQ99" si="15">AP93*AI93</f>
        <v>0</v>
      </c>
    </row>
    <row r="94" spans="1:43" s="242" customFormat="1" ht="17" outlineLevel="2">
      <c r="A94" s="239"/>
      <c r="B94" s="239" t="str">
        <f>'B-1. THKL THEO ID'!B91</f>
        <v>ID-X04</v>
      </c>
      <c r="C94" s="239" t="str">
        <f>'B-1. THKL THEO ID'!C91</f>
        <v>CBS</v>
      </c>
      <c r="D94" s="239" t="str">
        <f>"BOQ-"&amp; TEXT(COUNTA($D$6:D93),"000")</f>
        <v>BOQ-044</v>
      </c>
      <c r="E94" s="239" t="s">
        <v>159</v>
      </c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37"/>
      <c r="S94" s="237"/>
      <c r="T94" s="237"/>
      <c r="U94" s="237"/>
      <c r="V94" s="237"/>
      <c r="W94" s="237"/>
      <c r="X94" s="237"/>
      <c r="Y94" s="237"/>
      <c r="Z94" s="237" t="s">
        <v>333</v>
      </c>
      <c r="AA94" s="237"/>
      <c r="AB94" s="239" t="s">
        <v>220</v>
      </c>
      <c r="AC94" s="168" t="s">
        <v>226</v>
      </c>
      <c r="AD94" s="166"/>
      <c r="AE94" s="232">
        <f t="shared" si="14"/>
        <v>3</v>
      </c>
      <c r="AF94" s="172" t="s">
        <v>220</v>
      </c>
      <c r="AG94" s="443"/>
      <c r="AH94" s="224">
        <v>1</v>
      </c>
      <c r="AI94" s="169">
        <v>428925416.70346069</v>
      </c>
      <c r="AJ94" s="169">
        <f t="shared" si="10"/>
        <v>428925416.70346069</v>
      </c>
      <c r="AK94" s="224">
        <v>1</v>
      </c>
      <c r="AL94" s="169"/>
      <c r="AM94" s="169">
        <f>SUMIFS('B3. THKL THEO CKHD'!K:K,'B3. THKL THEO CKHD'!C:C,'SCAN BOQ'!B94)</f>
        <v>0</v>
      </c>
      <c r="AN94" s="169">
        <f t="shared" si="11"/>
        <v>-1</v>
      </c>
      <c r="AO94" s="169">
        <f t="shared" si="12"/>
        <v>-428925416.70346069</v>
      </c>
      <c r="AP94" s="169">
        <f t="shared" si="13"/>
        <v>0</v>
      </c>
      <c r="AQ94" s="169">
        <f t="shared" si="15"/>
        <v>0</v>
      </c>
    </row>
    <row r="95" spans="1:43" s="242" customFormat="1" ht="17" outlineLevel="2">
      <c r="A95" s="239"/>
      <c r="B95" s="239" t="str">
        <f>'B-1. THKL THEO ID'!B92</f>
        <v>ID-X05</v>
      </c>
      <c r="C95" s="239" t="str">
        <f>'B-1. THKL THEO ID'!C92</f>
        <v>CBS</v>
      </c>
      <c r="D95" s="239" t="str">
        <f>"BOQ-"&amp; TEXT(COUNTA($D$6:D94),"000")</f>
        <v>BOQ-045</v>
      </c>
      <c r="E95" s="239" t="s">
        <v>159</v>
      </c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37"/>
      <c r="S95" s="237"/>
      <c r="T95" s="237"/>
      <c r="U95" s="237"/>
      <c r="V95" s="237"/>
      <c r="W95" s="237"/>
      <c r="X95" s="237"/>
      <c r="Y95" s="237"/>
      <c r="Z95" s="237" t="s">
        <v>333</v>
      </c>
      <c r="AA95" s="237"/>
      <c r="AB95" s="239" t="s">
        <v>221</v>
      </c>
      <c r="AC95" s="168" t="s">
        <v>226</v>
      </c>
      <c r="AD95" s="166"/>
      <c r="AE95" s="232">
        <f t="shared" si="14"/>
        <v>4</v>
      </c>
      <c r="AF95" s="172" t="s">
        <v>221</v>
      </c>
      <c r="AG95" s="443"/>
      <c r="AH95" s="224">
        <v>1</v>
      </c>
      <c r="AI95" s="169">
        <v>62500000</v>
      </c>
      <c r="AJ95" s="169">
        <f t="shared" si="10"/>
        <v>62500000</v>
      </c>
      <c r="AK95" s="224">
        <v>1</v>
      </c>
      <c r="AL95" s="169"/>
      <c r="AM95" s="169">
        <f>SUMIFS('B3. THKL THEO CKHD'!K:K,'B3. THKL THEO CKHD'!C:C,'SCAN BOQ'!B95)</f>
        <v>0</v>
      </c>
      <c r="AN95" s="169">
        <f t="shared" si="11"/>
        <v>-1</v>
      </c>
      <c r="AO95" s="169">
        <f t="shared" si="12"/>
        <v>-62500000</v>
      </c>
      <c r="AP95" s="169">
        <f t="shared" si="13"/>
        <v>0</v>
      </c>
      <c r="AQ95" s="169">
        <f t="shared" si="15"/>
        <v>0</v>
      </c>
    </row>
    <row r="96" spans="1:43" s="242" customFormat="1" ht="17" outlineLevel="2">
      <c r="A96" s="239"/>
      <c r="B96" s="239" t="str">
        <f>'B-1. THKL THEO ID'!B93</f>
        <v>ID-X06</v>
      </c>
      <c r="C96" s="239" t="str">
        <f>'B-1. THKL THEO ID'!C93</f>
        <v>CBS</v>
      </c>
      <c r="D96" s="239" t="str">
        <f>"BOQ-"&amp; TEXT(COUNTA($D$6:D95),"000")</f>
        <v>BOQ-046</v>
      </c>
      <c r="E96" s="239" t="s">
        <v>159</v>
      </c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37"/>
      <c r="S96" s="237"/>
      <c r="T96" s="237"/>
      <c r="U96" s="237"/>
      <c r="V96" s="237"/>
      <c r="W96" s="237"/>
      <c r="X96" s="237"/>
      <c r="Y96" s="237"/>
      <c r="Z96" s="237" t="s">
        <v>333</v>
      </c>
      <c r="AA96" s="237"/>
      <c r="AB96" s="239" t="s">
        <v>222</v>
      </c>
      <c r="AC96" s="168" t="s">
        <v>226</v>
      </c>
      <c r="AD96" s="166"/>
      <c r="AE96" s="232">
        <f t="shared" si="14"/>
        <v>5</v>
      </c>
      <c r="AF96" s="172" t="s">
        <v>222</v>
      </c>
      <c r="AG96" s="444"/>
      <c r="AH96" s="224">
        <v>1</v>
      </c>
      <c r="AI96" s="169">
        <v>62500000</v>
      </c>
      <c r="AJ96" s="169">
        <f t="shared" si="10"/>
        <v>62500000</v>
      </c>
      <c r="AK96" s="224">
        <v>1</v>
      </c>
      <c r="AL96" s="169"/>
      <c r="AM96" s="169">
        <f>SUMIFS('B3. THKL THEO CKHD'!K:K,'B3. THKL THEO CKHD'!C:C,'SCAN BOQ'!B96)</f>
        <v>0</v>
      </c>
      <c r="AN96" s="169">
        <f t="shared" si="11"/>
        <v>-1</v>
      </c>
      <c r="AO96" s="169">
        <f t="shared" si="12"/>
        <v>-62500000</v>
      </c>
      <c r="AP96" s="169">
        <f t="shared" si="13"/>
        <v>0</v>
      </c>
      <c r="AQ96" s="169">
        <f t="shared" si="15"/>
        <v>0</v>
      </c>
    </row>
    <row r="97" spans="1:43" s="242" customFormat="1" ht="17" outlineLevel="2">
      <c r="A97" s="239"/>
      <c r="B97" s="239" t="str">
        <f>'B-1. THKL THEO ID'!B94</f>
        <v>ID-X07</v>
      </c>
      <c r="C97" s="239" t="str">
        <f>'B-1. THKL THEO ID'!C94</f>
        <v>CBS</v>
      </c>
      <c r="D97" s="239" t="str">
        <f>"BOQ-"&amp; TEXT(COUNTA($D$6:D96),"000")</f>
        <v>BOQ-047</v>
      </c>
      <c r="E97" s="239" t="s">
        <v>159</v>
      </c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37"/>
      <c r="S97" s="237"/>
      <c r="T97" s="237"/>
      <c r="U97" s="237"/>
      <c r="V97" s="237"/>
      <c r="W97" s="237"/>
      <c r="X97" s="237"/>
      <c r="Y97" s="237"/>
      <c r="Z97" s="237" t="s">
        <v>333</v>
      </c>
      <c r="AA97" s="237"/>
      <c r="AB97" s="239" t="s">
        <v>223</v>
      </c>
      <c r="AC97" s="168" t="s">
        <v>13</v>
      </c>
      <c r="AD97" s="166"/>
      <c r="AE97" s="232">
        <f t="shared" si="14"/>
        <v>6</v>
      </c>
      <c r="AF97" s="172" t="s">
        <v>223</v>
      </c>
      <c r="AG97" s="233"/>
      <c r="AH97" s="224">
        <v>63.179999999999993</v>
      </c>
      <c r="AI97" s="169">
        <v>1750000</v>
      </c>
      <c r="AJ97" s="169">
        <f t="shared" si="10"/>
        <v>110564999.99999999</v>
      </c>
      <c r="AK97" s="224">
        <v>63.179999999999993</v>
      </c>
      <c r="AL97" s="169"/>
      <c r="AM97" s="169">
        <f>SUMIFS('B3. THKL THEO CKHD'!K:K,'B3. THKL THEO CKHD'!C:C,'SCAN BOQ'!B97)</f>
        <v>0</v>
      </c>
      <c r="AN97" s="169">
        <f t="shared" si="11"/>
        <v>-63.179999999999993</v>
      </c>
      <c r="AO97" s="169">
        <f t="shared" si="12"/>
        <v>-110564999.99999999</v>
      </c>
      <c r="AP97" s="169">
        <f t="shared" si="13"/>
        <v>0</v>
      </c>
      <c r="AQ97" s="169">
        <f t="shared" si="15"/>
        <v>0</v>
      </c>
    </row>
    <row r="98" spans="1:43" s="242" customFormat="1" ht="17" outlineLevel="2">
      <c r="A98" s="239"/>
      <c r="B98" s="239" t="str">
        <f>'B-1. THKL THEO ID'!B95</f>
        <v>ID-X08</v>
      </c>
      <c r="C98" s="239" t="str">
        <f>'B-1. THKL THEO ID'!C95</f>
        <v>CBS</v>
      </c>
      <c r="D98" s="239" t="str">
        <f>"BOQ-"&amp; TEXT(COUNTA($D$6:D97),"000")</f>
        <v>BOQ-048</v>
      </c>
      <c r="E98" s="239" t="s">
        <v>159</v>
      </c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37"/>
      <c r="S98" s="237"/>
      <c r="T98" s="237"/>
      <c r="U98" s="237"/>
      <c r="V98" s="237"/>
      <c r="W98" s="237"/>
      <c r="X98" s="237"/>
      <c r="Y98" s="237"/>
      <c r="Z98" s="237" t="s">
        <v>333</v>
      </c>
      <c r="AA98" s="237"/>
      <c r="AB98" s="239" t="s">
        <v>224</v>
      </c>
      <c r="AC98" s="168" t="s">
        <v>13</v>
      </c>
      <c r="AD98" s="166"/>
      <c r="AE98" s="232">
        <f t="shared" si="14"/>
        <v>7</v>
      </c>
      <c r="AF98" s="172" t="s">
        <v>224</v>
      </c>
      <c r="AG98" s="233"/>
      <c r="AH98" s="224">
        <v>1200</v>
      </c>
      <c r="AI98" s="169">
        <v>306250</v>
      </c>
      <c r="AJ98" s="169">
        <f t="shared" si="10"/>
        <v>367500000</v>
      </c>
      <c r="AK98" s="224">
        <v>1200</v>
      </c>
      <c r="AL98" s="169"/>
      <c r="AM98" s="169">
        <f>SUMIFS('B3. THKL THEO CKHD'!K:K,'B3. THKL THEO CKHD'!C:C,'SCAN BOQ'!B98)</f>
        <v>0</v>
      </c>
      <c r="AN98" s="169">
        <f t="shared" si="11"/>
        <v>-1200</v>
      </c>
      <c r="AO98" s="169">
        <f t="shared" si="12"/>
        <v>-367500000</v>
      </c>
      <c r="AP98" s="169">
        <f t="shared" si="13"/>
        <v>0</v>
      </c>
      <c r="AQ98" s="169">
        <f t="shared" si="15"/>
        <v>0</v>
      </c>
    </row>
    <row r="99" spans="1:43" s="242" customFormat="1" ht="34" outlineLevel="2">
      <c r="A99" s="239"/>
      <c r="B99" s="239" t="str">
        <f>'B-1. THKL THEO ID'!B96</f>
        <v>ID-X09</v>
      </c>
      <c r="C99" s="239" t="str">
        <f>'B-1. THKL THEO ID'!C96</f>
        <v>CBS</v>
      </c>
      <c r="D99" s="239" t="str">
        <f>"BOQ-"&amp; TEXT(COUNTA($D$6:D98),"000")</f>
        <v>BOQ-049</v>
      </c>
      <c r="E99" s="239" t="s">
        <v>159</v>
      </c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37"/>
      <c r="S99" s="237"/>
      <c r="T99" s="237"/>
      <c r="U99" s="237"/>
      <c r="V99" s="237"/>
      <c r="W99" s="237"/>
      <c r="X99" s="237"/>
      <c r="Y99" s="237"/>
      <c r="Z99" s="237" t="s">
        <v>333</v>
      </c>
      <c r="AA99" s="237"/>
      <c r="AB99" s="240" t="s">
        <v>225</v>
      </c>
      <c r="AC99" s="168" t="s">
        <v>227</v>
      </c>
      <c r="AD99" s="166"/>
      <c r="AE99" s="232">
        <f t="shared" si="14"/>
        <v>8</v>
      </c>
      <c r="AF99" s="172" t="s">
        <v>225</v>
      </c>
      <c r="AG99" s="233"/>
      <c r="AH99" s="224">
        <v>750</v>
      </c>
      <c r="AI99" s="169">
        <v>250000</v>
      </c>
      <c r="AJ99" s="169">
        <f t="shared" si="10"/>
        <v>187500000</v>
      </c>
      <c r="AK99" s="224">
        <v>750</v>
      </c>
      <c r="AL99" s="169"/>
      <c r="AM99" s="169">
        <f>SUMIFS('B3. THKL THEO CKHD'!K:K,'B3. THKL THEO CKHD'!C:C,'SCAN BOQ'!B99)</f>
        <v>0</v>
      </c>
      <c r="AN99" s="169">
        <f t="shared" si="11"/>
        <v>-750</v>
      </c>
      <c r="AO99" s="169">
        <f t="shared" si="12"/>
        <v>-187500000</v>
      </c>
      <c r="AP99" s="169">
        <f t="shared" si="13"/>
        <v>0</v>
      </c>
      <c r="AQ99" s="169">
        <f t="shared" si="15"/>
        <v>0</v>
      </c>
    </row>
    <row r="100" spans="1:43" outlineLevel="1">
      <c r="A100" s="163"/>
      <c r="B100" s="164"/>
      <c r="C100" s="164"/>
      <c r="D100" s="164"/>
      <c r="E100" s="164"/>
      <c r="F100" s="164"/>
      <c r="G100" s="164"/>
      <c r="H100" s="164"/>
      <c r="I100" s="164"/>
      <c r="J100" s="164"/>
      <c r="K100" s="164"/>
      <c r="L100" s="164"/>
      <c r="M100" s="164"/>
      <c r="N100" s="164"/>
      <c r="O100" s="164"/>
      <c r="P100" s="164"/>
      <c r="Q100" s="164"/>
      <c r="R100" s="164"/>
      <c r="S100" s="164"/>
      <c r="T100" s="164"/>
      <c r="U100" s="164"/>
      <c r="V100" s="164"/>
      <c r="W100" s="164"/>
      <c r="X100" s="164"/>
      <c r="Y100" s="164"/>
      <c r="Z100" s="164"/>
      <c r="AA100" s="164"/>
      <c r="AB100" s="164"/>
      <c r="AC100" s="164"/>
      <c r="AD100" s="164"/>
      <c r="AE100" s="223" t="s">
        <v>7</v>
      </c>
      <c r="AF100" s="164" t="s">
        <v>228</v>
      </c>
      <c r="AG100" s="164"/>
      <c r="AH100" s="164"/>
      <c r="AI100" s="164"/>
      <c r="AJ100" s="165">
        <f>SUBTOTAL(9,AJ101:AJ105)</f>
        <v>3250500000</v>
      </c>
      <c r="AK100" s="165"/>
      <c r="AL100" s="165"/>
      <c r="AM100" s="165"/>
      <c r="AN100" s="165"/>
      <c r="AO100" s="165">
        <f>SUBTOTAL(9,AO101:AO105)</f>
        <v>-3250500000</v>
      </c>
      <c r="AP100" s="165">
        <f t="shared" ref="AP100:AQ100" si="16">SUBTOTAL(9,AP101:AP105)</f>
        <v>0</v>
      </c>
      <c r="AQ100" s="165">
        <f t="shared" si="16"/>
        <v>0</v>
      </c>
    </row>
    <row r="101" spans="1:43" s="242" customFormat="1" ht="30" outlineLevel="2">
      <c r="A101" s="239"/>
      <c r="B101" s="239" t="str">
        <f>'B-1. THKL THEO ID'!B97</f>
        <v>ID-X10</v>
      </c>
      <c r="C101" s="239" t="str">
        <f>'B-1. THKL THEO ID'!C97</f>
        <v>CBS</v>
      </c>
      <c r="D101" s="239" t="str">
        <f>"BOQ-"&amp; TEXT(COUNTA($D$6:D100),"000")</f>
        <v>BOQ-050</v>
      </c>
      <c r="E101" s="239" t="s">
        <v>159</v>
      </c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37"/>
      <c r="S101" s="237"/>
      <c r="T101" s="237"/>
      <c r="U101" s="237"/>
      <c r="V101" s="237"/>
      <c r="W101" s="237"/>
      <c r="X101" s="237"/>
      <c r="Y101" s="237"/>
      <c r="Z101" s="237" t="s">
        <v>333</v>
      </c>
      <c r="AA101" s="237"/>
      <c r="AB101" s="239" t="s">
        <v>229</v>
      </c>
      <c r="AC101" s="168" t="s">
        <v>226</v>
      </c>
      <c r="AD101" s="166"/>
      <c r="AE101" s="231">
        <v>1</v>
      </c>
      <c r="AF101" s="172" t="s">
        <v>229</v>
      </c>
      <c r="AG101" s="234" t="s">
        <v>281</v>
      </c>
      <c r="AH101" s="224">
        <v>1</v>
      </c>
      <c r="AI101" s="169">
        <v>2458000000</v>
      </c>
      <c r="AJ101" s="169">
        <f t="shared" ref="AJ101:AJ105" si="17">AI101*AH101</f>
        <v>2458000000</v>
      </c>
      <c r="AK101" s="224">
        <v>1</v>
      </c>
      <c r="AL101" s="169"/>
      <c r="AM101" s="169">
        <f>SUMIFS('B3. THKL THEO CKHD'!K:K,'B3. THKL THEO CKHD'!C:C,'SCAN BOQ'!B101)</f>
        <v>0</v>
      </c>
      <c r="AN101" s="169">
        <f t="shared" ref="AN101:AN105" si="18">+AM101-AK101</f>
        <v>-1</v>
      </c>
      <c r="AO101" s="169">
        <f t="shared" ref="AO101:AO105" si="19">AN101*AI101</f>
        <v>-2458000000</v>
      </c>
      <c r="AP101" s="169">
        <f t="shared" ref="AP101:AP105" si="20">AM101-AL101</f>
        <v>0</v>
      </c>
      <c r="AQ101" s="169">
        <f>AP101*AI101</f>
        <v>0</v>
      </c>
    </row>
    <row r="102" spans="1:43" s="242" customFormat="1" ht="34" outlineLevel="2">
      <c r="A102" s="239"/>
      <c r="B102" s="239" t="str">
        <f>'B-1. THKL THEO ID'!B98</f>
        <v>ID-X11</v>
      </c>
      <c r="C102" s="239" t="str">
        <f>'B-1. THKL THEO ID'!C98</f>
        <v>CBS</v>
      </c>
      <c r="D102" s="239" t="str">
        <f>"BOQ-"&amp; TEXT(COUNTA($D$6:D101),"000")</f>
        <v>BOQ-051</v>
      </c>
      <c r="E102" s="239" t="s">
        <v>159</v>
      </c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37"/>
      <c r="S102" s="237"/>
      <c r="T102" s="237"/>
      <c r="U102" s="237"/>
      <c r="V102" s="237"/>
      <c r="W102" s="237"/>
      <c r="X102" s="237"/>
      <c r="Y102" s="237"/>
      <c r="Z102" s="237" t="s">
        <v>333</v>
      </c>
      <c r="AA102" s="237"/>
      <c r="AB102" s="240" t="s">
        <v>230</v>
      </c>
      <c r="AC102" s="168" t="s">
        <v>226</v>
      </c>
      <c r="AD102" s="166"/>
      <c r="AE102" s="232">
        <f t="shared" ref="AE102:AE105" si="21">+AE101+1</f>
        <v>2</v>
      </c>
      <c r="AF102" s="172" t="s">
        <v>230</v>
      </c>
      <c r="AG102" s="233" t="s">
        <v>282</v>
      </c>
      <c r="AH102" s="224">
        <v>1</v>
      </c>
      <c r="AI102" s="169">
        <v>367500000</v>
      </c>
      <c r="AJ102" s="169">
        <f t="shared" si="17"/>
        <v>367500000</v>
      </c>
      <c r="AK102" s="224">
        <v>1</v>
      </c>
      <c r="AL102" s="169"/>
      <c r="AM102" s="169">
        <f>SUMIFS('B3. THKL THEO CKHD'!K:K,'B3. THKL THEO CKHD'!C:C,'SCAN BOQ'!B102)</f>
        <v>0</v>
      </c>
      <c r="AN102" s="169">
        <f t="shared" si="18"/>
        <v>-1</v>
      </c>
      <c r="AO102" s="169">
        <f t="shared" si="19"/>
        <v>-367500000</v>
      </c>
      <c r="AP102" s="169">
        <f t="shared" si="20"/>
        <v>0</v>
      </c>
      <c r="AQ102" s="169">
        <f t="shared" ref="AQ102:AQ105" si="22">AP102*AI102</f>
        <v>0</v>
      </c>
    </row>
    <row r="103" spans="1:43" s="242" customFormat="1" ht="17" outlineLevel="2">
      <c r="A103" s="239"/>
      <c r="B103" s="239" t="str">
        <f>'B-1. THKL THEO ID'!B99</f>
        <v>ID-X12</v>
      </c>
      <c r="C103" s="239" t="str">
        <f>'B-1. THKL THEO ID'!C99</f>
        <v>CBS</v>
      </c>
      <c r="D103" s="239" t="str">
        <f>"BOQ-"&amp; TEXT(COUNTA($D$6:D102),"000")</f>
        <v>BOQ-052</v>
      </c>
      <c r="E103" s="239" t="s">
        <v>159</v>
      </c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  <c r="Z103" s="237" t="s">
        <v>333</v>
      </c>
      <c r="AA103" s="237"/>
      <c r="AB103" s="239" t="s">
        <v>231</v>
      </c>
      <c r="AC103" s="168" t="s">
        <v>226</v>
      </c>
      <c r="AD103" s="166"/>
      <c r="AE103" s="232">
        <f t="shared" si="21"/>
        <v>3</v>
      </c>
      <c r="AF103" s="172" t="s">
        <v>231</v>
      </c>
      <c r="AG103" s="233" t="s">
        <v>283</v>
      </c>
      <c r="AH103" s="224">
        <v>1</v>
      </c>
      <c r="AI103" s="169">
        <v>125000000</v>
      </c>
      <c r="AJ103" s="169">
        <f t="shared" si="17"/>
        <v>125000000</v>
      </c>
      <c r="AK103" s="224">
        <v>1</v>
      </c>
      <c r="AL103" s="169"/>
      <c r="AM103" s="169">
        <f>SUMIFS('B3. THKL THEO CKHD'!K:K,'B3. THKL THEO CKHD'!C:C,'SCAN BOQ'!B103)</f>
        <v>0</v>
      </c>
      <c r="AN103" s="169">
        <f t="shared" si="18"/>
        <v>-1</v>
      </c>
      <c r="AO103" s="169">
        <f t="shared" si="19"/>
        <v>-125000000</v>
      </c>
      <c r="AP103" s="169">
        <f t="shared" si="20"/>
        <v>0</v>
      </c>
      <c r="AQ103" s="169">
        <f t="shared" si="22"/>
        <v>0</v>
      </c>
    </row>
    <row r="104" spans="1:43" s="242" customFormat="1" ht="17" outlineLevel="2">
      <c r="A104" s="239"/>
      <c r="B104" s="239" t="str">
        <f>'B-1. THKL THEO ID'!B100</f>
        <v>ID-X13</v>
      </c>
      <c r="C104" s="239" t="str">
        <f>'B-1. THKL THEO ID'!C100</f>
        <v>CBS</v>
      </c>
      <c r="D104" s="239" t="str">
        <f>"BOQ-"&amp; TEXT(COUNTA($D$6:D103),"000")</f>
        <v>BOQ-053</v>
      </c>
      <c r="E104" s="239" t="s">
        <v>159</v>
      </c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  <c r="Z104" s="237" t="s">
        <v>333</v>
      </c>
      <c r="AA104" s="237"/>
      <c r="AB104" s="239" t="s">
        <v>232</v>
      </c>
      <c r="AC104" s="168" t="s">
        <v>226</v>
      </c>
      <c r="AD104" s="166"/>
      <c r="AE104" s="232">
        <f t="shared" si="21"/>
        <v>4</v>
      </c>
      <c r="AF104" s="172" t="s">
        <v>232</v>
      </c>
      <c r="AG104" s="233" t="s">
        <v>283</v>
      </c>
      <c r="AH104" s="224">
        <v>1</v>
      </c>
      <c r="AI104" s="169">
        <v>300000000</v>
      </c>
      <c r="AJ104" s="169">
        <f t="shared" si="17"/>
        <v>300000000</v>
      </c>
      <c r="AK104" s="224">
        <v>1</v>
      </c>
      <c r="AL104" s="169"/>
      <c r="AM104" s="169">
        <f>SUMIFS('B3. THKL THEO CKHD'!K:K,'B3. THKL THEO CKHD'!C:C,'SCAN BOQ'!B104)</f>
        <v>0</v>
      </c>
      <c r="AN104" s="169">
        <f t="shared" si="18"/>
        <v>-1</v>
      </c>
      <c r="AO104" s="169">
        <f t="shared" si="19"/>
        <v>-300000000</v>
      </c>
      <c r="AP104" s="169">
        <f t="shared" si="20"/>
        <v>0</v>
      </c>
      <c r="AQ104" s="169">
        <f t="shared" si="22"/>
        <v>0</v>
      </c>
    </row>
    <row r="105" spans="1:43" s="242" customFormat="1" ht="30" outlineLevel="2">
      <c r="A105" s="239"/>
      <c r="B105" s="239" t="str">
        <f>'B-1. THKL THEO ID'!B101</f>
        <v>ID-X14</v>
      </c>
      <c r="C105" s="239" t="str">
        <f>'B-1. THKL THEO ID'!C101</f>
        <v>CBS</v>
      </c>
      <c r="D105" s="239" t="str">
        <f>"BOQ-"&amp; TEXT(COUNTA($D$6:D104),"000")</f>
        <v>BOQ-054</v>
      </c>
      <c r="E105" s="239" t="s">
        <v>159</v>
      </c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37"/>
      <c r="S105" s="237"/>
      <c r="T105" s="237"/>
      <c r="U105" s="237"/>
      <c r="V105" s="237"/>
      <c r="W105" s="237"/>
      <c r="X105" s="237"/>
      <c r="Y105" s="237"/>
      <c r="Z105" s="237" t="s">
        <v>333</v>
      </c>
      <c r="AA105" s="237"/>
      <c r="AB105" s="239" t="s">
        <v>233</v>
      </c>
      <c r="AC105" s="168" t="s">
        <v>226</v>
      </c>
      <c r="AD105" s="166"/>
      <c r="AE105" s="232">
        <f t="shared" si="21"/>
        <v>5</v>
      </c>
      <c r="AF105" s="172" t="s">
        <v>233</v>
      </c>
      <c r="AG105" s="233" t="s">
        <v>284</v>
      </c>
      <c r="AH105" s="224">
        <v>1</v>
      </c>
      <c r="AI105" s="169"/>
      <c r="AJ105" s="169">
        <f t="shared" si="17"/>
        <v>0</v>
      </c>
      <c r="AK105" s="224">
        <v>1</v>
      </c>
      <c r="AL105" s="169"/>
      <c r="AM105" s="169">
        <f>SUMIFS('B3. THKL THEO CKHD'!K:K,'B3. THKL THEO CKHD'!C:C,'SCAN BOQ'!B105)</f>
        <v>0</v>
      </c>
      <c r="AN105" s="169">
        <f t="shared" si="18"/>
        <v>-1</v>
      </c>
      <c r="AO105" s="169">
        <f t="shared" si="19"/>
        <v>0</v>
      </c>
      <c r="AP105" s="169">
        <f t="shared" si="20"/>
        <v>0</v>
      </c>
      <c r="AQ105" s="169">
        <f t="shared" si="22"/>
        <v>0</v>
      </c>
    </row>
    <row r="106" spans="1:43" outlineLevel="1">
      <c r="A106" s="163"/>
      <c r="B106" s="164"/>
      <c r="C106" s="164"/>
      <c r="D106" s="164"/>
      <c r="E106" s="164"/>
      <c r="F106" s="164"/>
      <c r="G106" s="164"/>
      <c r="H106" s="164"/>
      <c r="I106" s="164"/>
      <c r="J106" s="164"/>
      <c r="K106" s="164"/>
      <c r="L106" s="164"/>
      <c r="M106" s="164"/>
      <c r="N106" s="164"/>
      <c r="O106" s="164"/>
      <c r="P106" s="164"/>
      <c r="Q106" s="164"/>
      <c r="R106" s="164"/>
      <c r="S106" s="164"/>
      <c r="T106" s="164"/>
      <c r="U106" s="164"/>
      <c r="V106" s="164"/>
      <c r="W106" s="164"/>
      <c r="X106" s="164"/>
      <c r="Y106" s="164"/>
      <c r="Z106" s="164"/>
      <c r="AA106" s="164"/>
      <c r="AB106" s="164"/>
      <c r="AC106" s="164"/>
      <c r="AD106" s="164"/>
      <c r="AE106" s="223" t="s">
        <v>8</v>
      </c>
      <c r="AF106" s="164" t="s">
        <v>234</v>
      </c>
      <c r="AG106" s="164"/>
      <c r="AH106" s="164"/>
      <c r="AI106" s="164"/>
      <c r="AJ106" s="165">
        <f>SUBTOTAL(9,AJ107:AJ109)</f>
        <v>2338750000</v>
      </c>
      <c r="AK106" s="165"/>
      <c r="AL106" s="165"/>
      <c r="AM106" s="165"/>
      <c r="AN106" s="165"/>
      <c r="AO106" s="165">
        <f>SUBTOTAL(9,AO107:AO109)</f>
        <v>-2338750000</v>
      </c>
      <c r="AP106" s="165">
        <f>SUBTOTAL(9,AP107:AP109)</f>
        <v>0</v>
      </c>
      <c r="AQ106" s="165">
        <f>SUBTOTAL(9,AQ107:AQ109)</f>
        <v>0</v>
      </c>
    </row>
    <row r="107" spans="1:43" s="242" customFormat="1" ht="17" outlineLevel="2">
      <c r="A107" s="239"/>
      <c r="B107" s="239" t="str">
        <f>'B-1. THKL THEO ID'!B102</f>
        <v>ID-X15</v>
      </c>
      <c r="C107" s="239" t="str">
        <f>'B-1. THKL THEO ID'!C102</f>
        <v>CBS</v>
      </c>
      <c r="D107" s="239" t="str">
        <f>"BOQ-"&amp; TEXT(COUNTA($D$6:D106),"000")</f>
        <v>BOQ-055</v>
      </c>
      <c r="E107" s="239" t="s">
        <v>159</v>
      </c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37"/>
      <c r="S107" s="237"/>
      <c r="T107" s="237"/>
      <c r="U107" s="237"/>
      <c r="V107" s="237"/>
      <c r="W107" s="237"/>
      <c r="X107" s="237"/>
      <c r="Y107" s="237"/>
      <c r="Z107" s="237" t="s">
        <v>333</v>
      </c>
      <c r="AA107" s="237"/>
      <c r="AB107" s="239" t="s">
        <v>285</v>
      </c>
      <c r="AC107" s="168" t="s">
        <v>226</v>
      </c>
      <c r="AD107" s="166"/>
      <c r="AE107" s="231">
        <v>1</v>
      </c>
      <c r="AF107" s="172" t="s">
        <v>285</v>
      </c>
      <c r="AG107" s="172" t="s">
        <v>283</v>
      </c>
      <c r="AH107" s="224">
        <v>1</v>
      </c>
      <c r="AI107" s="169">
        <v>288750000</v>
      </c>
      <c r="AJ107" s="169">
        <f t="shared" ref="AJ107:AJ109" si="23">AI107*AH107</f>
        <v>288750000</v>
      </c>
      <c r="AK107" s="224">
        <v>1</v>
      </c>
      <c r="AL107" s="169"/>
      <c r="AM107" s="169">
        <f>SUMIFS('B3. THKL THEO CKHD'!K:K,'B3. THKL THEO CKHD'!C:C,'SCAN BOQ'!B107)</f>
        <v>0</v>
      </c>
      <c r="AN107" s="169">
        <f t="shared" ref="AN107:AN110" si="24">+AM107-AK107</f>
        <v>-1</v>
      </c>
      <c r="AO107" s="169">
        <f t="shared" ref="AO107:AO110" si="25">AN107*AI107</f>
        <v>-288750000</v>
      </c>
      <c r="AP107" s="169">
        <f t="shared" ref="AP107:AP110" si="26">AM107-AL107</f>
        <v>0</v>
      </c>
      <c r="AQ107" s="169">
        <f>AP107*AI107</f>
        <v>0</v>
      </c>
    </row>
    <row r="108" spans="1:43" s="242" customFormat="1" ht="34" outlineLevel="2">
      <c r="A108" s="239"/>
      <c r="B108" s="239" t="str">
        <f>'B-1. THKL THEO ID'!B103</f>
        <v>ID-X16</v>
      </c>
      <c r="C108" s="239" t="str">
        <f>'B-1. THKL THEO ID'!C103</f>
        <v>CBS</v>
      </c>
      <c r="D108" s="239" t="str">
        <f>"BOQ-"&amp; TEXT(COUNTA($D$6:D107),"000")</f>
        <v>BOQ-056</v>
      </c>
      <c r="E108" s="239" t="s">
        <v>159</v>
      </c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37"/>
      <c r="S108" s="237"/>
      <c r="T108" s="237"/>
      <c r="U108" s="237"/>
      <c r="V108" s="237"/>
      <c r="W108" s="237"/>
      <c r="X108" s="237"/>
      <c r="Y108" s="237"/>
      <c r="Z108" s="237" t="s">
        <v>333</v>
      </c>
      <c r="AA108" s="237"/>
      <c r="AB108" s="239" t="s">
        <v>286</v>
      </c>
      <c r="AC108" s="168" t="s">
        <v>226</v>
      </c>
      <c r="AD108" s="166"/>
      <c r="AE108" s="232">
        <v>2</v>
      </c>
      <c r="AF108" s="172" t="s">
        <v>286</v>
      </c>
      <c r="AG108" s="172" t="s">
        <v>288</v>
      </c>
      <c r="AH108" s="224">
        <v>1</v>
      </c>
      <c r="AI108" s="169">
        <v>1875000000</v>
      </c>
      <c r="AJ108" s="169">
        <f t="shared" si="23"/>
        <v>1875000000</v>
      </c>
      <c r="AK108" s="224">
        <v>1</v>
      </c>
      <c r="AL108" s="169"/>
      <c r="AM108" s="169">
        <f>SUMIFS('B3. THKL THEO CKHD'!K:K,'B3. THKL THEO CKHD'!C:C,'SCAN BOQ'!B108)</f>
        <v>0</v>
      </c>
      <c r="AN108" s="169">
        <f t="shared" si="24"/>
        <v>-1</v>
      </c>
      <c r="AO108" s="169">
        <f t="shared" si="25"/>
        <v>-1875000000</v>
      </c>
      <c r="AP108" s="169">
        <f t="shared" si="26"/>
        <v>0</v>
      </c>
      <c r="AQ108" s="169">
        <f t="shared" ref="AQ108:AQ109" si="27">AP108*AI108</f>
        <v>0</v>
      </c>
    </row>
    <row r="109" spans="1:43" s="242" customFormat="1" ht="34" outlineLevel="2">
      <c r="A109" s="239"/>
      <c r="B109" s="239" t="str">
        <f>'B-1. THKL THEO ID'!B104</f>
        <v>ID-X17</v>
      </c>
      <c r="C109" s="239" t="str">
        <f>'B-1. THKL THEO ID'!C104</f>
        <v>CBS</v>
      </c>
      <c r="D109" s="239" t="str">
        <f>"BOQ-"&amp; TEXT(COUNTA($D$6:D108),"000")</f>
        <v>BOQ-057</v>
      </c>
      <c r="E109" s="239" t="s">
        <v>159</v>
      </c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37"/>
      <c r="S109" s="237"/>
      <c r="T109" s="237"/>
      <c r="U109" s="237"/>
      <c r="V109" s="237"/>
      <c r="W109" s="237"/>
      <c r="X109" s="237"/>
      <c r="Y109" s="237"/>
      <c r="Z109" s="237" t="s">
        <v>333</v>
      </c>
      <c r="AA109" s="237"/>
      <c r="AB109" s="239" t="s">
        <v>287</v>
      </c>
      <c r="AC109" s="168" t="s">
        <v>226</v>
      </c>
      <c r="AD109" s="166"/>
      <c r="AE109" s="232">
        <v>3</v>
      </c>
      <c r="AF109" s="172" t="s">
        <v>287</v>
      </c>
      <c r="AG109" s="172" t="s">
        <v>283</v>
      </c>
      <c r="AH109" s="224">
        <v>1</v>
      </c>
      <c r="AI109" s="169">
        <v>174999999.99999997</v>
      </c>
      <c r="AJ109" s="169">
        <f t="shared" si="23"/>
        <v>174999999.99999997</v>
      </c>
      <c r="AK109" s="224">
        <v>1</v>
      </c>
      <c r="AL109" s="169"/>
      <c r="AM109" s="169">
        <f>SUMIFS('B3. THKL THEO CKHD'!K:K,'B3. THKL THEO CKHD'!C:C,'SCAN BOQ'!B109)</f>
        <v>0</v>
      </c>
      <c r="AN109" s="169">
        <f t="shared" si="24"/>
        <v>-1</v>
      </c>
      <c r="AO109" s="169">
        <f t="shared" si="25"/>
        <v>-174999999.99999997</v>
      </c>
      <c r="AP109" s="169">
        <f t="shared" si="26"/>
        <v>0</v>
      </c>
      <c r="AQ109" s="169">
        <f t="shared" si="27"/>
        <v>0</v>
      </c>
    </row>
    <row r="110" spans="1:43" s="242" customFormat="1" outlineLevel="1">
      <c r="A110" s="243"/>
      <c r="B110" s="243"/>
      <c r="C110" s="243"/>
      <c r="D110" s="243"/>
      <c r="E110" s="243"/>
      <c r="F110" s="245"/>
      <c r="G110" s="245"/>
      <c r="H110" s="245"/>
      <c r="I110" s="245"/>
      <c r="J110" s="245"/>
      <c r="K110" s="245"/>
      <c r="L110" s="245"/>
      <c r="M110" s="245"/>
      <c r="N110" s="245"/>
      <c r="O110" s="245"/>
      <c r="P110" s="245"/>
      <c r="Q110" s="245"/>
      <c r="R110" s="245"/>
      <c r="S110" s="245"/>
      <c r="T110" s="245"/>
      <c r="U110" s="245"/>
      <c r="V110" s="245"/>
      <c r="W110" s="245"/>
      <c r="X110" s="245"/>
      <c r="Y110" s="245"/>
      <c r="Z110" s="245"/>
      <c r="AA110" s="245"/>
      <c r="AB110" s="243"/>
      <c r="AC110" s="226"/>
      <c r="AD110" s="225"/>
      <c r="AE110" s="231"/>
      <c r="AF110" s="228"/>
      <c r="AG110" s="228"/>
      <c r="AH110" s="229"/>
      <c r="AI110" s="230"/>
      <c r="AJ110" s="230"/>
      <c r="AK110" s="229"/>
      <c r="AL110" s="169"/>
      <c r="AM110" s="169">
        <f>SUMIFS('B3. THKL THEO CKHD'!K:K,'B3. THKL THEO CKHD'!C:C,'SCAN BOQ'!B110)</f>
        <v>757.8097090431454</v>
      </c>
      <c r="AN110" s="169">
        <f t="shared" si="24"/>
        <v>757.8097090431454</v>
      </c>
      <c r="AO110" s="169">
        <f t="shared" si="25"/>
        <v>0</v>
      </c>
      <c r="AP110" s="169">
        <f t="shared" si="26"/>
        <v>757.8097090431454</v>
      </c>
      <c r="AQ110" s="230"/>
    </row>
    <row r="111" spans="1:43" ht="20">
      <c r="A111" s="173"/>
      <c r="B111" s="173"/>
      <c r="C111" s="173"/>
      <c r="D111" s="173"/>
      <c r="E111" s="173"/>
      <c r="F111" s="205"/>
      <c r="G111" s="205"/>
      <c r="H111" s="205"/>
      <c r="I111" s="205"/>
      <c r="J111" s="205"/>
      <c r="K111" s="205"/>
      <c r="L111" s="205"/>
      <c r="M111" s="205"/>
      <c r="N111" s="205"/>
      <c r="O111" s="205"/>
      <c r="P111" s="205"/>
      <c r="Q111" s="205"/>
      <c r="R111" s="205"/>
      <c r="S111" s="205"/>
      <c r="T111" s="205"/>
      <c r="U111" s="205"/>
      <c r="V111" s="205"/>
      <c r="W111" s="205"/>
      <c r="X111" s="205"/>
      <c r="Y111" s="205"/>
      <c r="Z111" s="205"/>
      <c r="AA111" s="205"/>
      <c r="AB111" s="173"/>
      <c r="AC111" s="173"/>
      <c r="AD111" s="173"/>
      <c r="AE111" s="173"/>
      <c r="AF111" s="173" t="s">
        <v>235</v>
      </c>
      <c r="AG111" s="173"/>
      <c r="AH111" s="173"/>
      <c r="AI111" s="173"/>
      <c r="AJ111" s="162">
        <f>SUBTOTAL(9,AJ112:AJ124)</f>
        <v>2910700248</v>
      </c>
      <c r="AK111" s="162"/>
      <c r="AL111" s="162"/>
      <c r="AM111" s="162"/>
      <c r="AN111" s="162"/>
      <c r="AO111" s="162"/>
      <c r="AP111" s="162"/>
      <c r="AQ111" s="162"/>
    </row>
    <row r="112" spans="1:43" outlineLevel="1">
      <c r="A112" s="163"/>
      <c r="B112" s="164"/>
      <c r="C112" s="164"/>
      <c r="D112" s="164"/>
      <c r="E112" s="164"/>
      <c r="F112" s="164"/>
      <c r="G112" s="164"/>
      <c r="H112" s="164"/>
      <c r="I112" s="164"/>
      <c r="J112" s="164"/>
      <c r="K112" s="164"/>
      <c r="L112" s="164"/>
      <c r="M112" s="164"/>
      <c r="N112" s="164"/>
      <c r="O112" s="164"/>
      <c r="P112" s="164"/>
      <c r="Q112" s="164"/>
      <c r="R112" s="164"/>
      <c r="S112" s="164"/>
      <c r="T112" s="164"/>
      <c r="U112" s="164"/>
      <c r="V112" s="164"/>
      <c r="W112" s="164"/>
      <c r="X112" s="164"/>
      <c r="Y112" s="164"/>
      <c r="Z112" s="164"/>
      <c r="AA112" s="164"/>
      <c r="AB112" s="164"/>
      <c r="AC112" s="164"/>
      <c r="AD112" s="164"/>
      <c r="AE112" s="223" t="s">
        <v>6</v>
      </c>
      <c r="AF112" s="164" t="s">
        <v>292</v>
      </c>
      <c r="AG112" s="164"/>
      <c r="AH112" s="164"/>
      <c r="AI112" s="164"/>
      <c r="AJ112" s="165">
        <f>SUBTOTAL(9,AJ113:AJ120)</f>
        <v>2723200248</v>
      </c>
      <c r="AK112" s="165"/>
      <c r="AL112" s="165"/>
      <c r="AM112" s="165"/>
      <c r="AN112" s="165"/>
      <c r="AO112" s="165">
        <f>SUBTOTAL(9,AO113:AO120)</f>
        <v>-2680346628.8891196</v>
      </c>
      <c r="AP112" s="165">
        <f t="shared" ref="AP112:AQ112" si="28">SUBTOTAL(9,AP113:AP120)</f>
        <v>1736.9313972590669</v>
      </c>
      <c r="AQ112" s="165">
        <f t="shared" si="28"/>
        <v>42853619.110880218</v>
      </c>
    </row>
    <row r="113" spans="1:43" s="242" customFormat="1" ht="51" outlineLevel="2">
      <c r="A113" s="239"/>
      <c r="B113" s="239" t="str">
        <f>'B-1. THKL THEO ID'!B105</f>
        <v>ID-037</v>
      </c>
      <c r="C113" s="239" t="str">
        <f>'B-1. THKL THEO ID'!C105</f>
        <v>CBS</v>
      </c>
      <c r="D113" s="239" t="str">
        <f>"BOQ-"&amp; TEXT(COUNTA($D$6:D112),"000")</f>
        <v>BOQ-058</v>
      </c>
      <c r="E113" s="239" t="s">
        <v>136</v>
      </c>
      <c r="F113" s="237"/>
      <c r="G113" s="237"/>
      <c r="H113" s="237" t="s">
        <v>333</v>
      </c>
      <c r="I113" s="237"/>
      <c r="J113" s="237"/>
      <c r="K113" s="237"/>
      <c r="L113" s="237"/>
      <c r="M113" s="237"/>
      <c r="N113" s="237"/>
      <c r="O113" s="237"/>
      <c r="P113" s="237"/>
      <c r="Q113" s="237"/>
      <c r="R113" s="237"/>
      <c r="S113" s="237" t="s">
        <v>333</v>
      </c>
      <c r="T113" s="237" t="s">
        <v>333</v>
      </c>
      <c r="U113" s="237"/>
      <c r="V113" s="237" t="s">
        <v>333</v>
      </c>
      <c r="W113" s="237"/>
      <c r="X113" s="237"/>
      <c r="Y113" s="237"/>
      <c r="Z113" s="237"/>
      <c r="AA113" s="237"/>
      <c r="AB113" s="240" t="s">
        <v>265</v>
      </c>
      <c r="AC113" s="168" t="s">
        <v>14</v>
      </c>
      <c r="AD113" s="166"/>
      <c r="AE113" s="231">
        <v>1</v>
      </c>
      <c r="AF113" s="172" t="s">
        <v>265</v>
      </c>
      <c r="AG113" s="172" t="s">
        <v>289</v>
      </c>
      <c r="AH113" s="224">
        <v>5660</v>
      </c>
      <c r="AI113" s="169">
        <v>247200</v>
      </c>
      <c r="AJ113" s="169">
        <f t="shared" ref="AJ113:AJ123" si="29">AI113*AH113</f>
        <v>1399152000</v>
      </c>
      <c r="AK113" s="224">
        <v>5660</v>
      </c>
      <c r="AL113" s="169"/>
      <c r="AM113" s="169">
        <f>SUMIFS('B3. THKL THEO CKHD'!K:K,'B3. THKL THEO CKHD'!C:C,'SCAN BOQ'!B113)</f>
        <v>0</v>
      </c>
      <c r="AN113" s="169">
        <f t="shared" ref="AN113:AN123" si="30">+AM113-AK113</f>
        <v>-5660</v>
      </c>
      <c r="AO113" s="169">
        <f t="shared" ref="AO113:AO123" si="31">AN113*AI113</f>
        <v>-1399152000</v>
      </c>
      <c r="AP113" s="169">
        <f t="shared" ref="AP113:AP123" si="32">AM113-AL113</f>
        <v>0</v>
      </c>
      <c r="AQ113" s="169">
        <f>AP113*AI113</f>
        <v>0</v>
      </c>
    </row>
    <row r="114" spans="1:43" s="242" customFormat="1" ht="34" outlineLevel="2">
      <c r="A114" s="239"/>
      <c r="B114" s="239" t="str">
        <f>'B-1. THKL THEO ID'!B106</f>
        <v>ID-038</v>
      </c>
      <c r="C114" s="239" t="str">
        <f>'B-1. THKL THEO ID'!C106</f>
        <v>CBS</v>
      </c>
      <c r="D114" s="239" t="str">
        <f>"BOQ-"&amp; TEXT(COUNTA($D$6:D113),"000")</f>
        <v>BOQ-059</v>
      </c>
      <c r="E114" s="239" t="s">
        <v>136</v>
      </c>
      <c r="F114" s="237"/>
      <c r="G114" s="237"/>
      <c r="H114" s="237"/>
      <c r="I114" s="237"/>
      <c r="J114" s="237" t="s">
        <v>333</v>
      </c>
      <c r="K114" s="237"/>
      <c r="L114" s="237"/>
      <c r="M114" s="237"/>
      <c r="N114" s="237"/>
      <c r="O114" s="237"/>
      <c r="P114" s="237"/>
      <c r="Q114" s="237"/>
      <c r="R114" s="237"/>
      <c r="S114" s="237"/>
      <c r="T114" s="237"/>
      <c r="U114" s="237"/>
      <c r="V114" s="237"/>
      <c r="W114" s="237" t="s">
        <v>333</v>
      </c>
      <c r="X114" s="237"/>
      <c r="Y114" s="237"/>
      <c r="Z114" s="237"/>
      <c r="AA114" s="237"/>
      <c r="AB114" s="240" t="s">
        <v>266</v>
      </c>
      <c r="AC114" s="168" t="s">
        <v>14</v>
      </c>
      <c r="AD114" s="166"/>
      <c r="AE114" s="232">
        <v>2</v>
      </c>
      <c r="AF114" s="172" t="s">
        <v>266</v>
      </c>
      <c r="AG114" s="172" t="s">
        <v>290</v>
      </c>
      <c r="AH114" s="224">
        <v>1990</v>
      </c>
      <c r="AI114" s="169">
        <v>263400</v>
      </c>
      <c r="AJ114" s="169">
        <f t="shared" si="29"/>
        <v>524166000</v>
      </c>
      <c r="AK114" s="224">
        <v>1990</v>
      </c>
      <c r="AL114" s="169"/>
      <c r="AM114" s="169">
        <f>SUMIFS('B3. THKL THEO CKHD'!K:K,'B3. THKL THEO CKHD'!C:C,'SCAN BOQ'!B114)</f>
        <v>0</v>
      </c>
      <c r="AN114" s="169">
        <f t="shared" si="30"/>
        <v>-1990</v>
      </c>
      <c r="AO114" s="169">
        <f t="shared" si="31"/>
        <v>-524166000</v>
      </c>
      <c r="AP114" s="169">
        <f t="shared" si="32"/>
        <v>0</v>
      </c>
      <c r="AQ114" s="169">
        <f t="shared" ref="AQ114:AQ123" si="33">AP114*AI114</f>
        <v>0</v>
      </c>
    </row>
    <row r="115" spans="1:43" s="242" customFormat="1" ht="17" outlineLevel="2">
      <c r="A115" s="239"/>
      <c r="B115" s="239" t="str">
        <f>'B-1. THKL THEO ID'!B107</f>
        <v>ID-039</v>
      </c>
      <c r="C115" s="239" t="str">
        <f>'B-1. THKL THEO ID'!C107</f>
        <v>CBS</v>
      </c>
      <c r="D115" s="239" t="str">
        <f>"BOQ-"&amp; TEXT(COUNTA($D$6:D114),"000")</f>
        <v>BOQ-060</v>
      </c>
      <c r="E115" s="239" t="s">
        <v>158</v>
      </c>
      <c r="F115" s="237"/>
      <c r="G115" s="237"/>
      <c r="H115" s="237" t="s">
        <v>333</v>
      </c>
      <c r="I115" s="237"/>
      <c r="J115" s="237"/>
      <c r="K115" s="237"/>
      <c r="L115" s="237"/>
      <c r="M115" s="237"/>
      <c r="N115" s="237"/>
      <c r="O115" s="237"/>
      <c r="P115" s="237"/>
      <c r="Q115" s="237"/>
      <c r="R115" s="237"/>
      <c r="S115" s="237" t="s">
        <v>333</v>
      </c>
      <c r="T115" s="237" t="s">
        <v>333</v>
      </c>
      <c r="U115" s="237"/>
      <c r="V115" s="237" t="s">
        <v>333</v>
      </c>
      <c r="W115" s="237"/>
      <c r="X115" s="237"/>
      <c r="Y115" s="237"/>
      <c r="Z115" s="237"/>
      <c r="AA115" s="237"/>
      <c r="AB115" s="240" t="s">
        <v>267</v>
      </c>
      <c r="AC115" s="168" t="s">
        <v>14</v>
      </c>
      <c r="AD115" s="166"/>
      <c r="AE115" s="232">
        <v>3</v>
      </c>
      <c r="AF115" s="172" t="s">
        <v>267</v>
      </c>
      <c r="AG115" s="172"/>
      <c r="AH115" s="224">
        <v>7560</v>
      </c>
      <c r="AI115" s="169">
        <v>33600</v>
      </c>
      <c r="AJ115" s="169">
        <f t="shared" si="29"/>
        <v>254016000</v>
      </c>
      <c r="AK115" s="224">
        <v>7560</v>
      </c>
      <c r="AL115" s="169"/>
      <c r="AM115" s="169">
        <f>SUMIFS('B3. THKL THEO CKHD'!K:K,'B3. THKL THEO CKHD'!C:C,'SCAN BOQ'!B115)</f>
        <v>0</v>
      </c>
      <c r="AN115" s="169">
        <f t="shared" si="30"/>
        <v>-7560</v>
      </c>
      <c r="AO115" s="169">
        <f t="shared" si="31"/>
        <v>-254016000</v>
      </c>
      <c r="AP115" s="169">
        <f t="shared" si="32"/>
        <v>0</v>
      </c>
      <c r="AQ115" s="169">
        <f t="shared" si="33"/>
        <v>0</v>
      </c>
    </row>
    <row r="116" spans="1:43" s="242" customFormat="1" ht="17" outlineLevel="2">
      <c r="A116" s="239"/>
      <c r="B116" s="239" t="str">
        <f>'B-1. THKL THEO ID'!B108</f>
        <v>ID-040</v>
      </c>
      <c r="C116" s="239" t="str">
        <f>'B-1. THKL THEO ID'!C108</f>
        <v>CBS</v>
      </c>
      <c r="D116" s="239" t="str">
        <f>"BOQ-"&amp; TEXT(COUNTA($D$6:D115),"000")</f>
        <v>BOQ-061</v>
      </c>
      <c r="E116" s="239" t="s">
        <v>158</v>
      </c>
      <c r="F116" s="237"/>
      <c r="G116" s="237"/>
      <c r="H116" s="237"/>
      <c r="I116" s="237"/>
      <c r="J116" s="237" t="s">
        <v>333</v>
      </c>
      <c r="K116" s="237"/>
      <c r="L116" s="237"/>
      <c r="M116" s="237"/>
      <c r="N116" s="237"/>
      <c r="O116" s="237"/>
      <c r="P116" s="237"/>
      <c r="Q116" s="237"/>
      <c r="R116" s="237"/>
      <c r="S116" s="237"/>
      <c r="T116" s="237"/>
      <c r="U116" s="237"/>
      <c r="V116" s="237"/>
      <c r="W116" s="237" t="s">
        <v>333</v>
      </c>
      <c r="X116" s="237"/>
      <c r="Y116" s="237"/>
      <c r="Z116" s="237"/>
      <c r="AA116" s="237"/>
      <c r="AB116" s="240" t="s">
        <v>268</v>
      </c>
      <c r="AC116" s="168" t="s">
        <v>14</v>
      </c>
      <c r="AD116" s="166"/>
      <c r="AE116" s="232">
        <v>4</v>
      </c>
      <c r="AF116" s="172" t="s">
        <v>268</v>
      </c>
      <c r="AG116" s="172"/>
      <c r="AH116" s="224">
        <v>1990</v>
      </c>
      <c r="AI116" s="169">
        <v>21600</v>
      </c>
      <c r="AJ116" s="169">
        <f t="shared" si="29"/>
        <v>42984000</v>
      </c>
      <c r="AK116" s="224">
        <v>1990</v>
      </c>
      <c r="AL116" s="169"/>
      <c r="AM116" s="169">
        <f>SUMIFS('B3. THKL THEO CKHD'!K:K,'B3. THKL THEO CKHD'!C:C,'SCAN BOQ'!B116)</f>
        <v>0</v>
      </c>
      <c r="AN116" s="169">
        <f t="shared" si="30"/>
        <v>-1990</v>
      </c>
      <c r="AO116" s="169">
        <f t="shared" si="31"/>
        <v>-42984000</v>
      </c>
      <c r="AP116" s="169">
        <f t="shared" si="32"/>
        <v>0</v>
      </c>
      <c r="AQ116" s="169">
        <f t="shared" si="33"/>
        <v>0</v>
      </c>
    </row>
    <row r="117" spans="1:43" s="242" customFormat="1" ht="34" outlineLevel="2">
      <c r="A117" s="239"/>
      <c r="B117" s="239" t="str">
        <f>'B-1. THKL THEO ID'!B109</f>
        <v>ID-041</v>
      </c>
      <c r="C117" s="239" t="str">
        <f>'B-1. THKL THEO ID'!C109</f>
        <v>CBS</v>
      </c>
      <c r="D117" s="239" t="str">
        <f>"BOQ-"&amp; TEXT(COUNTA($D$6:D116),"000")</f>
        <v>BOQ-062</v>
      </c>
      <c r="E117" s="239" t="s">
        <v>130</v>
      </c>
      <c r="F117" s="237" t="s">
        <v>333</v>
      </c>
      <c r="G117" s="237" t="s">
        <v>333</v>
      </c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37"/>
      <c r="S117" s="237" t="s">
        <v>333</v>
      </c>
      <c r="T117" s="237" t="s">
        <v>333</v>
      </c>
      <c r="U117" s="237" t="s">
        <v>333</v>
      </c>
      <c r="V117" s="237"/>
      <c r="W117" s="237"/>
      <c r="X117" s="237"/>
      <c r="Y117" s="237"/>
      <c r="Z117" s="237"/>
      <c r="AA117" s="237"/>
      <c r="AB117" s="240" t="s">
        <v>269</v>
      </c>
      <c r="AC117" s="168" t="s">
        <v>13</v>
      </c>
      <c r="AD117" s="166"/>
      <c r="AE117" s="232">
        <v>5</v>
      </c>
      <c r="AF117" s="172" t="s">
        <v>269</v>
      </c>
      <c r="AG117" s="172" t="s">
        <v>291</v>
      </c>
      <c r="AH117" s="224">
        <v>192.01099999999997</v>
      </c>
      <c r="AI117" s="169">
        <v>1200000</v>
      </c>
      <c r="AJ117" s="169">
        <f t="shared" si="29"/>
        <v>230413199.99999997</v>
      </c>
      <c r="AK117" s="224">
        <v>192.01099999999997</v>
      </c>
      <c r="AL117" s="169"/>
      <c r="AM117" s="169">
        <f>SUMIFS('B3. THKL THEO CKHD'!K:K,'B3. THKL THEO CKHD'!C:C,'SCAN BOQ'!B117)</f>
        <v>11.435397259066846</v>
      </c>
      <c r="AN117" s="169">
        <f t="shared" si="30"/>
        <v>-180.57560274093311</v>
      </c>
      <c r="AO117" s="169">
        <f t="shared" si="31"/>
        <v>-216690723.28911972</v>
      </c>
      <c r="AP117" s="169">
        <f t="shared" si="32"/>
        <v>11.435397259066846</v>
      </c>
      <c r="AQ117" s="169">
        <f t="shared" si="33"/>
        <v>13722476.710880216</v>
      </c>
    </row>
    <row r="118" spans="1:43" s="242" customFormat="1" ht="17" outlineLevel="2">
      <c r="A118" s="239"/>
      <c r="B118" s="239" t="str">
        <f>'B-1. THKL THEO ID'!B110</f>
        <v>ID-042</v>
      </c>
      <c r="C118" s="239" t="str">
        <f>'B-1. THKL THEO ID'!C110</f>
        <v>CBS</v>
      </c>
      <c r="D118" s="239" t="str">
        <f>"BOQ-"&amp; TEXT(COUNTA($D$6:D117),"000")</f>
        <v>BOQ-063</v>
      </c>
      <c r="E118" s="239" t="s">
        <v>130</v>
      </c>
      <c r="F118" s="237" t="s">
        <v>333</v>
      </c>
      <c r="G118" s="237" t="s">
        <v>333</v>
      </c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37"/>
      <c r="S118" s="237" t="s">
        <v>333</v>
      </c>
      <c r="T118" s="237" t="s">
        <v>333</v>
      </c>
      <c r="U118" s="237" t="s">
        <v>333</v>
      </c>
      <c r="V118" s="237"/>
      <c r="W118" s="237"/>
      <c r="X118" s="237"/>
      <c r="Y118" s="237"/>
      <c r="Z118" s="237"/>
      <c r="AA118" s="237"/>
      <c r="AB118" s="240" t="s">
        <v>270</v>
      </c>
      <c r="AC118" s="168" t="s">
        <v>236</v>
      </c>
      <c r="AD118" s="166"/>
      <c r="AE118" s="232">
        <v>6</v>
      </c>
      <c r="AF118" s="172" t="s">
        <v>270</v>
      </c>
      <c r="AG118" s="172"/>
      <c r="AH118" s="224">
        <v>171</v>
      </c>
      <c r="AI118" s="169">
        <v>300000</v>
      </c>
      <c r="AJ118" s="169">
        <f t="shared" si="29"/>
        <v>51300000</v>
      </c>
      <c r="AK118" s="224">
        <v>171</v>
      </c>
      <c r="AL118" s="169"/>
      <c r="AM118" s="169">
        <f>SUMIFS('B3. THKL THEO CKHD'!K:K,'B3. THKL THEO CKHD'!C:C,'SCAN BOQ'!B118)</f>
        <v>15</v>
      </c>
      <c r="AN118" s="169">
        <f t="shared" si="30"/>
        <v>-156</v>
      </c>
      <c r="AO118" s="169">
        <f t="shared" si="31"/>
        <v>-46800000</v>
      </c>
      <c r="AP118" s="169">
        <f t="shared" si="32"/>
        <v>15</v>
      </c>
      <c r="AQ118" s="169">
        <f t="shared" si="33"/>
        <v>4500000</v>
      </c>
    </row>
    <row r="119" spans="1:43" s="242" customFormat="1" ht="17" outlineLevel="2">
      <c r="A119" s="239"/>
      <c r="B119" s="239" t="str">
        <f>'B-1. THKL THEO ID'!B111</f>
        <v>ID-043</v>
      </c>
      <c r="C119" s="239" t="str">
        <f>'B-1. THKL THEO ID'!C111</f>
        <v>CBS</v>
      </c>
      <c r="D119" s="239" t="str">
        <f>"BOQ-"&amp; TEXT(COUNTA($D$6:D118),"000")</f>
        <v>BOQ-064</v>
      </c>
      <c r="E119" s="242" t="s">
        <v>319</v>
      </c>
      <c r="F119" s="181"/>
      <c r="G119" s="181"/>
      <c r="H119" s="181"/>
      <c r="I119" s="181"/>
      <c r="J119" s="181"/>
      <c r="K119" s="181"/>
      <c r="L119" s="181"/>
      <c r="M119" s="181"/>
      <c r="N119" s="181"/>
      <c r="O119" s="181"/>
      <c r="P119" s="181"/>
      <c r="Q119" s="181"/>
      <c r="R119" s="181" t="s">
        <v>333</v>
      </c>
      <c r="S119" s="181"/>
      <c r="T119" s="181"/>
      <c r="U119" s="181"/>
      <c r="V119" s="181"/>
      <c r="W119" s="181"/>
      <c r="X119" s="181"/>
      <c r="Y119" s="181"/>
      <c r="Z119" s="181"/>
      <c r="AA119" s="181"/>
      <c r="AB119" s="240" t="s">
        <v>271</v>
      </c>
      <c r="AC119" s="168" t="s">
        <v>227</v>
      </c>
      <c r="AD119" s="166"/>
      <c r="AE119" s="232">
        <v>7</v>
      </c>
      <c r="AF119" s="172" t="s">
        <v>271</v>
      </c>
      <c r="AG119" s="172"/>
      <c r="AH119" s="224">
        <v>421.59999999999997</v>
      </c>
      <c r="AI119" s="169">
        <v>42000</v>
      </c>
      <c r="AJ119" s="169">
        <f t="shared" si="29"/>
        <v>17707200</v>
      </c>
      <c r="AK119" s="224">
        <v>421.59999999999997</v>
      </c>
      <c r="AL119" s="169"/>
      <c r="AM119" s="169">
        <f>SUMIFS('B3. THKL THEO CKHD'!K:K,'B3. THKL THEO CKHD'!C:C,'SCAN BOQ'!B119)</f>
        <v>0</v>
      </c>
      <c r="AN119" s="169">
        <f t="shared" si="30"/>
        <v>-421.59999999999997</v>
      </c>
      <c r="AO119" s="169">
        <f t="shared" si="31"/>
        <v>-17707200</v>
      </c>
      <c r="AP119" s="169">
        <f t="shared" si="32"/>
        <v>0</v>
      </c>
      <c r="AQ119" s="169">
        <f t="shared" si="33"/>
        <v>0</v>
      </c>
    </row>
    <row r="120" spans="1:43" s="242" customFormat="1" ht="17" outlineLevel="2">
      <c r="A120" s="239"/>
      <c r="B120" s="239" t="str">
        <f>'B-1. THKL THEO ID'!B112</f>
        <v>ID-044</v>
      </c>
      <c r="C120" s="239" t="str">
        <f>'B-1. THKL THEO ID'!C112</f>
        <v>CBS</v>
      </c>
      <c r="D120" s="239" t="str">
        <f>"BOQ-"&amp; TEXT(COUNTA($D$6:D119),"000")</f>
        <v>BOQ-065</v>
      </c>
      <c r="E120" s="242" t="s">
        <v>319</v>
      </c>
      <c r="F120" s="320"/>
      <c r="G120" s="320"/>
      <c r="H120" s="320"/>
      <c r="I120" s="320"/>
      <c r="J120" s="320" t="s">
        <v>333</v>
      </c>
      <c r="K120" s="320" t="s">
        <v>333</v>
      </c>
      <c r="L120" s="320" t="s">
        <v>333</v>
      </c>
      <c r="M120" s="320" t="s">
        <v>333</v>
      </c>
      <c r="N120" s="320" t="s">
        <v>333</v>
      </c>
      <c r="O120" s="320" t="s">
        <v>333</v>
      </c>
      <c r="P120" s="320" t="s">
        <v>333</v>
      </c>
      <c r="Q120" s="320"/>
      <c r="R120" s="320"/>
      <c r="S120" s="320" t="s">
        <v>333</v>
      </c>
      <c r="T120" s="320" t="s">
        <v>333</v>
      </c>
      <c r="U120" s="320"/>
      <c r="V120" s="320"/>
      <c r="W120" s="320" t="s">
        <v>333</v>
      </c>
      <c r="X120" s="320" t="s">
        <v>333</v>
      </c>
      <c r="Y120" s="320" t="s">
        <v>333</v>
      </c>
      <c r="Z120" s="320"/>
      <c r="AA120" s="320"/>
      <c r="AB120" s="240" t="s">
        <v>272</v>
      </c>
      <c r="AC120" s="168" t="s">
        <v>14</v>
      </c>
      <c r="AD120" s="166"/>
      <c r="AE120" s="232">
        <v>8</v>
      </c>
      <c r="AF120" s="172" t="s">
        <v>272</v>
      </c>
      <c r="AG120" s="172"/>
      <c r="AH120" s="224">
        <v>14129.295</v>
      </c>
      <c r="AI120" s="169">
        <v>14400</v>
      </c>
      <c r="AJ120" s="169">
        <f t="shared" si="29"/>
        <v>203461848</v>
      </c>
      <c r="AK120" s="224">
        <v>14129.295</v>
      </c>
      <c r="AL120" s="169"/>
      <c r="AM120" s="169">
        <f>SUMIFS('B3. THKL THEO CKHD'!K:K,'B3. THKL THEO CKHD'!C:C,'SCAN BOQ'!B120)</f>
        <v>1710.4960000000001</v>
      </c>
      <c r="AN120" s="169">
        <f t="shared" si="30"/>
        <v>-12418.798999999999</v>
      </c>
      <c r="AO120" s="169">
        <f t="shared" si="31"/>
        <v>-178830705.59999999</v>
      </c>
      <c r="AP120" s="169">
        <f t="shared" si="32"/>
        <v>1710.4960000000001</v>
      </c>
      <c r="AQ120" s="169">
        <f t="shared" si="33"/>
        <v>24631142.400000002</v>
      </c>
    </row>
    <row r="121" spans="1:43" s="242" customFormat="1" ht="17" outlineLevel="2">
      <c r="A121" s="239"/>
      <c r="B121" s="239" t="str">
        <f>'B-1. THKL THEO ID'!B113</f>
        <v>ID-X18</v>
      </c>
      <c r="C121" s="239" t="str">
        <f>'B-1. THKL THEO ID'!C113</f>
        <v>CBS</v>
      </c>
      <c r="D121" s="239" t="str">
        <f>"BOQ-"&amp; TEXT(COUNTA($D$6:D120),"000")</f>
        <v>BOQ-066</v>
      </c>
      <c r="E121" s="239" t="s">
        <v>159</v>
      </c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37"/>
      <c r="S121" s="237"/>
      <c r="T121" s="237"/>
      <c r="U121" s="237"/>
      <c r="V121" s="237"/>
      <c r="W121" s="237"/>
      <c r="X121" s="237"/>
      <c r="Y121" s="237"/>
      <c r="Z121" s="237" t="s">
        <v>333</v>
      </c>
      <c r="AA121" s="237"/>
      <c r="AB121" s="240" t="s">
        <v>273</v>
      </c>
      <c r="AC121" s="168" t="s">
        <v>226</v>
      </c>
      <c r="AD121" s="166"/>
      <c r="AE121" s="232">
        <v>9</v>
      </c>
      <c r="AF121" s="172" t="s">
        <v>273</v>
      </c>
      <c r="AG121" s="172"/>
      <c r="AH121" s="224">
        <v>1</v>
      </c>
      <c r="AI121" s="169">
        <v>62500000</v>
      </c>
      <c r="AJ121" s="169">
        <f t="shared" si="29"/>
        <v>62500000</v>
      </c>
      <c r="AK121" s="224">
        <v>1</v>
      </c>
      <c r="AL121" s="169"/>
      <c r="AM121" s="169">
        <f>SUMIFS('B3. THKL THEO CKHD'!K:K,'B3. THKL THEO CKHD'!C:C,'SCAN BOQ'!B121)</f>
        <v>0</v>
      </c>
      <c r="AN121" s="169">
        <f t="shared" si="30"/>
        <v>-1</v>
      </c>
      <c r="AO121" s="169">
        <f t="shared" si="31"/>
        <v>-62500000</v>
      </c>
      <c r="AP121" s="169">
        <f t="shared" si="32"/>
        <v>0</v>
      </c>
      <c r="AQ121" s="169">
        <f t="shared" si="33"/>
        <v>0</v>
      </c>
    </row>
    <row r="122" spans="1:43" s="242" customFormat="1" ht="17" outlineLevel="2">
      <c r="A122" s="239"/>
      <c r="B122" s="239" t="str">
        <f>'B-1. THKL THEO ID'!B114</f>
        <v>ID-X19</v>
      </c>
      <c r="C122" s="239" t="str">
        <f>'B-1. THKL THEO ID'!C114</f>
        <v>CBS</v>
      </c>
      <c r="D122" s="239" t="str">
        <f>"BOQ-"&amp; TEXT(COUNTA($D$6:D121),"000")</f>
        <v>BOQ-067</v>
      </c>
      <c r="E122" s="239" t="s">
        <v>159</v>
      </c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37"/>
      <c r="S122" s="237"/>
      <c r="T122" s="237"/>
      <c r="U122" s="237"/>
      <c r="V122" s="237"/>
      <c r="W122" s="237"/>
      <c r="X122" s="237"/>
      <c r="Y122" s="237"/>
      <c r="Z122" s="237" t="s">
        <v>333</v>
      </c>
      <c r="AA122" s="237"/>
      <c r="AB122" s="240" t="s">
        <v>274</v>
      </c>
      <c r="AC122" s="168" t="s">
        <v>226</v>
      </c>
      <c r="AD122" s="166"/>
      <c r="AE122" s="232">
        <v>10</v>
      </c>
      <c r="AF122" s="172" t="s">
        <v>274</v>
      </c>
      <c r="AG122" s="172"/>
      <c r="AH122" s="224">
        <v>1</v>
      </c>
      <c r="AI122" s="169">
        <v>62500000</v>
      </c>
      <c r="AJ122" s="169">
        <f t="shared" si="29"/>
        <v>62500000</v>
      </c>
      <c r="AK122" s="224">
        <v>1</v>
      </c>
      <c r="AL122" s="169"/>
      <c r="AM122" s="169">
        <f>SUMIFS('B3. THKL THEO CKHD'!K:K,'B3. THKL THEO CKHD'!C:C,'SCAN BOQ'!B122)</f>
        <v>0</v>
      </c>
      <c r="AN122" s="169">
        <f t="shared" si="30"/>
        <v>-1</v>
      </c>
      <c r="AO122" s="169">
        <f t="shared" si="31"/>
        <v>-62500000</v>
      </c>
      <c r="AP122" s="169">
        <f t="shared" si="32"/>
        <v>0</v>
      </c>
      <c r="AQ122" s="169">
        <f t="shared" si="33"/>
        <v>0</v>
      </c>
    </row>
    <row r="123" spans="1:43" s="242" customFormat="1" ht="17" outlineLevel="2">
      <c r="A123" s="253"/>
      <c r="B123" s="253" t="str">
        <f>'B-1. THKL THEO ID'!B115</f>
        <v>ID-X20</v>
      </c>
      <c r="C123" s="253" t="str">
        <f>'B-1. THKL THEO ID'!C115</f>
        <v>CBS</v>
      </c>
      <c r="D123" s="253" t="str">
        <f>"BOQ-"&amp; TEXT(COUNTA($D$6:D122),"000")</f>
        <v>BOQ-068</v>
      </c>
      <c r="E123" s="253" t="s">
        <v>159</v>
      </c>
      <c r="F123" s="336"/>
      <c r="G123" s="336"/>
      <c r="H123" s="336"/>
      <c r="I123" s="336"/>
      <c r="J123" s="336"/>
      <c r="K123" s="336"/>
      <c r="L123" s="336"/>
      <c r="M123" s="336"/>
      <c r="N123" s="336"/>
      <c r="O123" s="336"/>
      <c r="P123" s="336"/>
      <c r="Q123" s="336"/>
      <c r="R123" s="336"/>
      <c r="S123" s="336"/>
      <c r="T123" s="336"/>
      <c r="U123" s="336"/>
      <c r="V123" s="336"/>
      <c r="W123" s="336"/>
      <c r="X123" s="336"/>
      <c r="Y123" s="336"/>
      <c r="Z123" s="336" t="s">
        <v>333</v>
      </c>
      <c r="AA123" s="336"/>
      <c r="AB123" s="254" t="s">
        <v>275</v>
      </c>
      <c r="AC123" s="255" t="s">
        <v>226</v>
      </c>
      <c r="AD123" s="256"/>
      <c r="AE123" s="257">
        <v>11</v>
      </c>
      <c r="AF123" s="258" t="s">
        <v>275</v>
      </c>
      <c r="AG123" s="258"/>
      <c r="AH123" s="259">
        <v>1</v>
      </c>
      <c r="AI123" s="260">
        <v>62500000</v>
      </c>
      <c r="AJ123" s="260">
        <f t="shared" si="29"/>
        <v>62500000</v>
      </c>
      <c r="AK123" s="259">
        <v>1</v>
      </c>
      <c r="AL123" s="260"/>
      <c r="AM123" s="260">
        <f>SUMIFS('B3. THKL THEO CKHD'!K:K,'B3. THKL THEO CKHD'!C:C,'SCAN BOQ'!B123)</f>
        <v>0</v>
      </c>
      <c r="AN123" s="260">
        <f t="shared" si="30"/>
        <v>-1</v>
      </c>
      <c r="AO123" s="260">
        <f t="shared" si="31"/>
        <v>-62500000</v>
      </c>
      <c r="AP123" s="260">
        <f t="shared" si="32"/>
        <v>0</v>
      </c>
      <c r="AQ123" s="169">
        <f t="shared" si="33"/>
        <v>0</v>
      </c>
    </row>
    <row r="124" spans="1:43" s="242" customFormat="1" outlineLevel="1">
      <c r="A124" s="241"/>
      <c r="B124" s="241"/>
      <c r="C124" s="241"/>
      <c r="D124" s="241"/>
      <c r="E124" s="241"/>
      <c r="F124" s="238"/>
      <c r="G124" s="238"/>
      <c r="H124" s="238"/>
      <c r="I124" s="238"/>
      <c r="J124" s="238"/>
      <c r="K124" s="238"/>
      <c r="L124" s="238"/>
      <c r="M124" s="238"/>
      <c r="N124" s="238"/>
      <c r="O124" s="238"/>
      <c r="P124" s="238"/>
      <c r="Q124" s="238"/>
      <c r="R124" s="238"/>
      <c r="S124" s="238"/>
      <c r="T124" s="238"/>
      <c r="U124" s="238"/>
      <c r="V124" s="238"/>
      <c r="W124" s="238"/>
      <c r="X124" s="238"/>
      <c r="Y124" s="238"/>
      <c r="Z124" s="238"/>
      <c r="AA124" s="238"/>
      <c r="AB124" s="246"/>
      <c r="AC124" s="247"/>
      <c r="AD124" s="158"/>
      <c r="AE124" s="248"/>
      <c r="AF124" s="249"/>
      <c r="AG124" s="249"/>
      <c r="AH124" s="250"/>
      <c r="AI124" s="251"/>
      <c r="AJ124" s="251"/>
      <c r="AK124" s="250"/>
      <c r="AL124" s="251"/>
      <c r="AM124" s="251"/>
      <c r="AN124" s="251"/>
      <c r="AO124" s="251"/>
      <c r="AP124" s="251"/>
      <c r="AQ124" s="251"/>
    </row>
    <row r="125" spans="1:43" ht="20">
      <c r="A125" s="173"/>
      <c r="B125" s="173"/>
      <c r="C125" s="173"/>
      <c r="D125" s="173"/>
      <c r="E125" s="173"/>
      <c r="F125" s="205"/>
      <c r="G125" s="205"/>
      <c r="H125" s="205"/>
      <c r="I125" s="205"/>
      <c r="J125" s="205"/>
      <c r="K125" s="205"/>
      <c r="L125" s="205"/>
      <c r="M125" s="205"/>
      <c r="N125" s="205"/>
      <c r="O125" s="205"/>
      <c r="P125" s="205"/>
      <c r="Q125" s="205"/>
      <c r="R125" s="205"/>
      <c r="S125" s="205"/>
      <c r="T125" s="205"/>
      <c r="U125" s="205"/>
      <c r="V125" s="205"/>
      <c r="W125" s="205"/>
      <c r="X125" s="205"/>
      <c r="Y125" s="205"/>
      <c r="Z125" s="205"/>
      <c r="AA125" s="205"/>
      <c r="AB125" s="173"/>
      <c r="AC125" s="173"/>
      <c r="AD125" s="173"/>
      <c r="AE125" s="173"/>
      <c r="AF125" s="173" t="s">
        <v>527</v>
      </c>
      <c r="AG125" s="173"/>
      <c r="AH125" s="173"/>
      <c r="AI125" s="173"/>
      <c r="AJ125" s="162">
        <f>SUBTOTAL(9,AJ126:AJ138)</f>
        <v>0</v>
      </c>
      <c r="AK125" s="162"/>
      <c r="AL125" s="162"/>
      <c r="AM125" s="162"/>
      <c r="AN125" s="162"/>
      <c r="AO125" s="162"/>
      <c r="AP125" s="162"/>
      <c r="AQ125" s="162"/>
    </row>
    <row r="126" spans="1:43" outlineLevel="1">
      <c r="A126" s="163"/>
      <c r="B126" s="164"/>
      <c r="C126" s="164"/>
      <c r="D126" s="164"/>
      <c r="E126" s="164"/>
      <c r="F126" s="164"/>
      <c r="G126" s="164"/>
      <c r="H126" s="164"/>
      <c r="I126" s="164"/>
      <c r="J126" s="164"/>
      <c r="K126" s="164"/>
      <c r="L126" s="164"/>
      <c r="M126" s="164"/>
      <c r="N126" s="164"/>
      <c r="O126" s="164"/>
      <c r="P126" s="164"/>
      <c r="Q126" s="164"/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223" t="s">
        <v>4</v>
      </c>
      <c r="AF126" s="164" t="s">
        <v>292</v>
      </c>
      <c r="AG126" s="164"/>
      <c r="AH126" s="164"/>
      <c r="AI126" s="164"/>
      <c r="AJ126" s="165">
        <f>SUBTOTAL(9,AJ127:AJ134)</f>
        <v>0</v>
      </c>
      <c r="AK126" s="165"/>
      <c r="AL126" s="165"/>
      <c r="AM126" s="165"/>
      <c r="AN126" s="165"/>
      <c r="AO126" s="165">
        <f>SUBTOTAL(9,AO127:AO134)</f>
        <v>0</v>
      </c>
      <c r="AP126" s="165">
        <f t="shared" ref="AP126:AQ126" si="34">SUBTOTAL(9,AP127:AP134)</f>
        <v>0</v>
      </c>
      <c r="AQ126" s="165">
        <f t="shared" si="34"/>
        <v>0</v>
      </c>
    </row>
    <row r="127" spans="1:43" s="242" customFormat="1" outlineLevel="2">
      <c r="A127" s="239"/>
      <c r="B127" s="239" t="e">
        <f>'B-1. THKL THEO ID'!#REF!</f>
        <v>#REF!</v>
      </c>
      <c r="C127" s="239" t="e">
        <f>'B-1. THKL THEO ID'!#REF!</f>
        <v>#REF!</v>
      </c>
      <c r="D127" s="239"/>
      <c r="E127" s="239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37"/>
      <c r="S127" s="237"/>
      <c r="T127" s="237"/>
      <c r="U127" s="237"/>
      <c r="V127" s="237"/>
      <c r="W127" s="237"/>
      <c r="X127" s="237"/>
      <c r="Y127" s="237"/>
      <c r="Z127" s="237"/>
      <c r="AA127" s="237"/>
      <c r="AB127" s="240"/>
      <c r="AC127" s="168"/>
      <c r="AD127" s="166"/>
      <c r="AE127" s="231"/>
      <c r="AF127" s="172"/>
      <c r="AG127" s="172"/>
      <c r="AH127" s="224"/>
      <c r="AI127" s="169"/>
      <c r="AJ127" s="169">
        <f t="shared" ref="AJ127" si="35">AI127*AH127</f>
        <v>0</v>
      </c>
      <c r="AK127" s="224"/>
      <c r="AL127" s="169"/>
      <c r="AM127" s="169">
        <f>SUMIFS('B3. THKL THEO CKHD'!K:K,'B3. THKL THEO CKHD'!C:C,'SCAN BOQ'!B127)</f>
        <v>0</v>
      </c>
      <c r="AN127" s="169">
        <f t="shared" ref="AN127" si="36">+AM127-AK127</f>
        <v>0</v>
      </c>
      <c r="AO127" s="169">
        <f t="shared" ref="AO127" si="37">AN127*AI127</f>
        <v>0</v>
      </c>
      <c r="AP127" s="169">
        <f t="shared" ref="AP127" si="38">AM127-AL127</f>
        <v>0</v>
      </c>
      <c r="AQ127" s="169">
        <f>AP127*AI127</f>
        <v>0</v>
      </c>
    </row>
    <row r="128" spans="1:43" s="242" customFormat="1" outlineLevel="2">
      <c r="A128" s="239"/>
      <c r="B128" s="239"/>
      <c r="C128" s="239"/>
      <c r="D128" s="239"/>
      <c r="E128" s="239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37"/>
      <c r="S128" s="237"/>
      <c r="T128" s="237"/>
      <c r="U128" s="237"/>
      <c r="V128" s="237"/>
      <c r="W128" s="237"/>
      <c r="X128" s="237"/>
      <c r="Y128" s="237"/>
      <c r="Z128" s="237"/>
      <c r="AA128" s="237"/>
      <c r="AB128" s="240"/>
      <c r="AC128" s="168"/>
      <c r="AD128" s="166"/>
      <c r="AE128" s="232"/>
      <c r="AF128" s="172"/>
      <c r="AG128" s="172"/>
      <c r="AH128" s="224"/>
      <c r="AI128" s="169"/>
      <c r="AJ128" s="169"/>
      <c r="AK128" s="224"/>
      <c r="AL128" s="169"/>
      <c r="AM128" s="169"/>
      <c r="AN128" s="169"/>
      <c r="AO128" s="169"/>
      <c r="AP128" s="169"/>
      <c r="AQ128" s="169"/>
    </row>
    <row r="129" spans="1:43" s="242" customFormat="1" outlineLevel="2">
      <c r="A129" s="239"/>
      <c r="B129" s="239"/>
      <c r="C129" s="239"/>
      <c r="D129" s="239"/>
      <c r="E129" s="239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37"/>
      <c r="S129" s="237"/>
      <c r="T129" s="237"/>
      <c r="U129" s="237"/>
      <c r="V129" s="237"/>
      <c r="W129" s="237"/>
      <c r="X129" s="237"/>
      <c r="Y129" s="237"/>
      <c r="Z129" s="237"/>
      <c r="AA129" s="237"/>
      <c r="AB129" s="240"/>
      <c r="AC129" s="168"/>
      <c r="AD129" s="166"/>
      <c r="AE129" s="232"/>
      <c r="AF129" s="172"/>
      <c r="AG129" s="172"/>
      <c r="AH129" s="224"/>
      <c r="AI129" s="169"/>
      <c r="AJ129" s="169"/>
      <c r="AK129" s="224"/>
      <c r="AL129" s="169"/>
      <c r="AM129" s="169"/>
      <c r="AN129" s="169"/>
      <c r="AO129" s="169"/>
      <c r="AP129" s="169"/>
      <c r="AQ129" s="169"/>
    </row>
    <row r="130" spans="1:43" s="242" customFormat="1" outlineLevel="2">
      <c r="A130" s="239"/>
      <c r="B130" s="239"/>
      <c r="C130" s="239"/>
      <c r="D130" s="239"/>
      <c r="E130" s="239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37"/>
      <c r="S130" s="237"/>
      <c r="T130" s="237"/>
      <c r="U130" s="237"/>
      <c r="V130" s="237"/>
      <c r="W130" s="237"/>
      <c r="X130" s="237"/>
      <c r="Y130" s="237"/>
      <c r="Z130" s="237"/>
      <c r="AA130" s="237"/>
      <c r="AB130" s="240"/>
      <c r="AC130" s="168"/>
      <c r="AD130" s="166"/>
      <c r="AE130" s="232"/>
      <c r="AF130" s="172"/>
      <c r="AG130" s="172"/>
      <c r="AH130" s="224"/>
      <c r="AI130" s="169"/>
      <c r="AJ130" s="169"/>
      <c r="AK130" s="224"/>
      <c r="AL130" s="169"/>
      <c r="AM130" s="169"/>
      <c r="AN130" s="169"/>
      <c r="AO130" s="169"/>
      <c r="AP130" s="169"/>
      <c r="AQ130" s="169"/>
    </row>
    <row r="131" spans="1:43" s="242" customFormat="1" outlineLevel="2">
      <c r="A131" s="239"/>
      <c r="B131" s="239"/>
      <c r="C131" s="239"/>
      <c r="D131" s="239"/>
      <c r="E131" s="239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37"/>
      <c r="S131" s="237"/>
      <c r="T131" s="237"/>
      <c r="U131" s="237"/>
      <c r="V131" s="237"/>
      <c r="W131" s="237"/>
      <c r="X131" s="237"/>
      <c r="Y131" s="237"/>
      <c r="Z131" s="237"/>
      <c r="AA131" s="237"/>
      <c r="AB131" s="240"/>
      <c r="AC131" s="168"/>
      <c r="AD131" s="166"/>
      <c r="AE131" s="232"/>
      <c r="AF131" s="172"/>
      <c r="AG131" s="172"/>
      <c r="AH131" s="224"/>
      <c r="AI131" s="169"/>
      <c r="AJ131" s="169"/>
      <c r="AK131" s="224"/>
      <c r="AL131" s="169"/>
      <c r="AM131" s="169"/>
      <c r="AN131" s="169"/>
      <c r="AO131" s="169"/>
      <c r="AP131" s="169"/>
      <c r="AQ131" s="169"/>
    </row>
    <row r="132" spans="1:43" s="242" customFormat="1" outlineLevel="2">
      <c r="A132" s="239"/>
      <c r="B132" s="239"/>
      <c r="C132" s="239"/>
      <c r="D132" s="239"/>
      <c r="E132" s="239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37"/>
      <c r="S132" s="237"/>
      <c r="T132" s="237"/>
      <c r="U132" s="237"/>
      <c r="V132" s="237"/>
      <c r="W132" s="237"/>
      <c r="X132" s="237"/>
      <c r="Y132" s="237"/>
      <c r="Z132" s="237"/>
      <c r="AA132" s="237"/>
      <c r="AB132" s="240"/>
      <c r="AC132" s="168"/>
      <c r="AD132" s="166"/>
      <c r="AE132" s="232"/>
      <c r="AF132" s="172"/>
      <c r="AG132" s="172"/>
      <c r="AH132" s="224"/>
      <c r="AI132" s="169"/>
      <c r="AJ132" s="169"/>
      <c r="AK132" s="224"/>
      <c r="AL132" s="169"/>
      <c r="AM132" s="169"/>
      <c r="AN132" s="169"/>
      <c r="AO132" s="169"/>
      <c r="AP132" s="169"/>
      <c r="AQ132" s="169"/>
    </row>
    <row r="133" spans="1:43" s="242" customFormat="1" outlineLevel="2">
      <c r="A133" s="239"/>
      <c r="B133" s="239"/>
      <c r="C133" s="239"/>
      <c r="D133" s="239"/>
      <c r="F133" s="181"/>
      <c r="G133" s="181"/>
      <c r="H133" s="181"/>
      <c r="I133" s="181"/>
      <c r="J133" s="181"/>
      <c r="K133" s="181"/>
      <c r="L133" s="181"/>
      <c r="M133" s="181"/>
      <c r="N133" s="181"/>
      <c r="O133" s="181"/>
      <c r="P133" s="181"/>
      <c r="Q133" s="181"/>
      <c r="R133" s="181"/>
      <c r="S133" s="181"/>
      <c r="T133" s="181"/>
      <c r="U133" s="181"/>
      <c r="V133" s="181"/>
      <c r="W133" s="181"/>
      <c r="X133" s="181"/>
      <c r="Y133" s="181"/>
      <c r="Z133" s="181"/>
      <c r="AA133" s="181"/>
      <c r="AB133" s="240"/>
      <c r="AC133" s="168"/>
      <c r="AD133" s="166"/>
      <c r="AE133" s="232"/>
      <c r="AF133" s="172"/>
      <c r="AG133" s="172"/>
      <c r="AH133" s="224"/>
      <c r="AI133" s="169"/>
      <c r="AJ133" s="169"/>
      <c r="AK133" s="224"/>
      <c r="AL133" s="169"/>
      <c r="AM133" s="169"/>
      <c r="AN133" s="169"/>
      <c r="AO133" s="169"/>
      <c r="AP133" s="169"/>
      <c r="AQ133" s="169"/>
    </row>
    <row r="134" spans="1:43" s="242" customFormat="1" outlineLevel="2">
      <c r="A134" s="239"/>
      <c r="B134" s="239"/>
      <c r="C134" s="239"/>
      <c r="D134" s="239"/>
      <c r="F134" s="320"/>
      <c r="G134" s="320"/>
      <c r="H134" s="320"/>
      <c r="I134" s="320"/>
      <c r="J134" s="320"/>
      <c r="K134" s="320"/>
      <c r="L134" s="320"/>
      <c r="M134" s="320"/>
      <c r="N134" s="320"/>
      <c r="O134" s="320"/>
      <c r="P134" s="320"/>
      <c r="Q134" s="320"/>
      <c r="R134" s="320"/>
      <c r="S134" s="320"/>
      <c r="T134" s="320"/>
      <c r="U134" s="320"/>
      <c r="V134" s="320"/>
      <c r="W134" s="320"/>
      <c r="X134" s="320"/>
      <c r="Y134" s="320"/>
      <c r="Z134" s="320"/>
      <c r="AA134" s="320"/>
      <c r="AB134" s="240"/>
      <c r="AC134" s="168"/>
      <c r="AD134" s="166"/>
      <c r="AE134" s="232"/>
      <c r="AF134" s="172"/>
      <c r="AG134" s="172"/>
      <c r="AH134" s="224"/>
      <c r="AI134" s="169"/>
      <c r="AJ134" s="169"/>
      <c r="AK134" s="224"/>
      <c r="AL134" s="169"/>
      <c r="AM134" s="169"/>
      <c r="AN134" s="169"/>
      <c r="AO134" s="169"/>
      <c r="AP134" s="169"/>
      <c r="AQ134" s="169"/>
    </row>
    <row r="135" spans="1:43" s="242" customFormat="1" outlineLevel="2">
      <c r="A135" s="239"/>
      <c r="B135" s="239"/>
      <c r="C135" s="239"/>
      <c r="D135" s="239"/>
      <c r="E135" s="239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37"/>
      <c r="S135" s="237"/>
      <c r="T135" s="237"/>
      <c r="U135" s="237"/>
      <c r="V135" s="237"/>
      <c r="W135" s="237"/>
      <c r="X135" s="237"/>
      <c r="Y135" s="237"/>
      <c r="Z135" s="237"/>
      <c r="AA135" s="237"/>
      <c r="AB135" s="240"/>
      <c r="AC135" s="168"/>
      <c r="AD135" s="166"/>
      <c r="AE135" s="232"/>
      <c r="AF135" s="172"/>
      <c r="AG135" s="172"/>
      <c r="AH135" s="224"/>
      <c r="AI135" s="169"/>
      <c r="AJ135" s="169"/>
      <c r="AK135" s="224"/>
      <c r="AL135" s="169"/>
      <c r="AM135" s="169"/>
      <c r="AN135" s="169"/>
      <c r="AO135" s="169"/>
      <c r="AP135" s="169"/>
      <c r="AQ135" s="169"/>
    </row>
    <row r="136" spans="1:43" s="242" customFormat="1" outlineLevel="2">
      <c r="A136" s="239"/>
      <c r="B136" s="239"/>
      <c r="C136" s="239"/>
      <c r="D136" s="239"/>
      <c r="E136" s="239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37"/>
      <c r="S136" s="237"/>
      <c r="T136" s="237"/>
      <c r="U136" s="237"/>
      <c r="V136" s="237"/>
      <c r="W136" s="237"/>
      <c r="X136" s="237"/>
      <c r="Y136" s="237"/>
      <c r="Z136" s="237"/>
      <c r="AA136" s="237"/>
      <c r="AB136" s="240"/>
      <c r="AC136" s="168"/>
      <c r="AD136" s="166"/>
      <c r="AE136" s="232"/>
      <c r="AF136" s="172"/>
      <c r="AG136" s="172"/>
      <c r="AH136" s="224"/>
      <c r="AI136" s="169"/>
      <c r="AJ136" s="169"/>
      <c r="AK136" s="224"/>
      <c r="AL136" s="169"/>
      <c r="AM136" s="169"/>
      <c r="AN136" s="169"/>
      <c r="AO136" s="169"/>
      <c r="AP136" s="169"/>
      <c r="AQ136" s="169"/>
    </row>
    <row r="137" spans="1:43" s="242" customFormat="1" outlineLevel="2">
      <c r="A137" s="253"/>
      <c r="B137" s="253"/>
      <c r="C137" s="253"/>
      <c r="D137" s="253"/>
      <c r="E137" s="253"/>
      <c r="F137" s="336"/>
      <c r="G137" s="336"/>
      <c r="H137" s="336"/>
      <c r="I137" s="336"/>
      <c r="J137" s="336"/>
      <c r="K137" s="336"/>
      <c r="L137" s="336"/>
      <c r="M137" s="336"/>
      <c r="N137" s="336"/>
      <c r="O137" s="336"/>
      <c r="P137" s="336"/>
      <c r="Q137" s="336"/>
      <c r="R137" s="336"/>
      <c r="S137" s="336"/>
      <c r="T137" s="336"/>
      <c r="U137" s="336"/>
      <c r="V137" s="336"/>
      <c r="W137" s="336"/>
      <c r="X137" s="336"/>
      <c r="Y137" s="336"/>
      <c r="Z137" s="336"/>
      <c r="AA137" s="336"/>
      <c r="AB137" s="254"/>
      <c r="AC137" s="255"/>
      <c r="AD137" s="256"/>
      <c r="AE137" s="257"/>
      <c r="AF137" s="258"/>
      <c r="AG137" s="258"/>
      <c r="AH137" s="259"/>
      <c r="AI137" s="260"/>
      <c r="AJ137" s="260"/>
      <c r="AK137" s="259"/>
      <c r="AL137" s="260"/>
      <c r="AM137" s="260"/>
      <c r="AN137" s="260"/>
      <c r="AO137" s="260"/>
      <c r="AP137" s="260"/>
      <c r="AQ137" s="169"/>
    </row>
    <row r="138" spans="1:43" s="242" customFormat="1" outlineLevel="1">
      <c r="A138" s="241"/>
      <c r="B138" s="241"/>
      <c r="C138" s="241"/>
      <c r="D138" s="241"/>
      <c r="E138" s="241"/>
      <c r="F138" s="145"/>
      <c r="G138" s="145"/>
      <c r="H138" s="145"/>
      <c r="I138" s="145"/>
      <c r="J138" s="145"/>
      <c r="K138" s="145"/>
      <c r="L138" s="145"/>
      <c r="M138" s="145"/>
      <c r="N138" s="145"/>
      <c r="O138" s="145"/>
      <c r="P138" s="145"/>
      <c r="Q138" s="145"/>
      <c r="R138" s="145"/>
      <c r="S138" s="145"/>
      <c r="T138" s="145"/>
      <c r="U138" s="145"/>
      <c r="V138" s="145"/>
      <c r="W138" s="145"/>
      <c r="X138" s="145"/>
      <c r="Y138" s="145"/>
      <c r="Z138" s="145"/>
      <c r="AA138" s="145"/>
      <c r="AB138" s="246"/>
      <c r="AC138" s="247"/>
      <c r="AD138" s="158"/>
      <c r="AE138" s="248"/>
      <c r="AF138" s="249"/>
      <c r="AG138" s="249"/>
      <c r="AH138" s="250"/>
      <c r="AI138" s="251"/>
      <c r="AJ138" s="251"/>
      <c r="AK138" s="250"/>
      <c r="AL138" s="251"/>
      <c r="AM138" s="251"/>
      <c r="AN138" s="251"/>
      <c r="AO138" s="251"/>
      <c r="AP138" s="251"/>
      <c r="AQ138" s="251"/>
    </row>
    <row r="139" spans="1:43">
      <c r="F139" s="145"/>
      <c r="G139" s="145"/>
      <c r="H139" s="145"/>
      <c r="I139" s="145"/>
      <c r="J139" s="145"/>
      <c r="K139" s="145"/>
      <c r="L139" s="145"/>
      <c r="M139" s="145"/>
      <c r="N139" s="145"/>
      <c r="O139" s="145"/>
      <c r="P139" s="145"/>
      <c r="Q139" s="145"/>
      <c r="R139" s="145"/>
      <c r="S139" s="145"/>
      <c r="T139" s="145"/>
      <c r="U139" s="145"/>
      <c r="V139" s="145"/>
      <c r="W139" s="145"/>
      <c r="X139" s="145"/>
      <c r="Y139" s="145"/>
      <c r="Z139" s="145"/>
      <c r="AA139" s="145"/>
    </row>
    <row r="140" spans="1:43">
      <c r="F140" s="145"/>
      <c r="G140" s="145"/>
      <c r="H140" s="145"/>
      <c r="I140" s="145"/>
      <c r="J140" s="145"/>
      <c r="K140" s="145"/>
      <c r="L140" s="145"/>
      <c r="M140" s="145"/>
      <c r="N140" s="145"/>
      <c r="O140" s="145"/>
      <c r="P140" s="145"/>
      <c r="Q140" s="145"/>
      <c r="R140" s="145"/>
      <c r="S140" s="145"/>
      <c r="T140" s="145"/>
      <c r="U140" s="145"/>
      <c r="V140" s="145"/>
      <c r="W140" s="145"/>
      <c r="X140" s="145"/>
      <c r="Y140" s="145"/>
      <c r="Z140" s="145"/>
      <c r="AA140" s="145"/>
    </row>
    <row r="145" spans="4:28">
      <c r="D145"/>
      <c r="E145"/>
      <c r="AB145"/>
    </row>
    <row r="146" spans="4:28">
      <c r="D146"/>
      <c r="E146"/>
      <c r="AB146"/>
    </row>
    <row r="147" spans="4:28">
      <c r="D147"/>
      <c r="E147"/>
      <c r="AB147"/>
    </row>
    <row r="148" spans="4:28">
      <c r="D148"/>
      <c r="E148"/>
      <c r="AB148"/>
    </row>
    <row r="149" spans="4:28">
      <c r="D149"/>
      <c r="E149"/>
      <c r="AB149"/>
    </row>
    <row r="150" spans="4:28">
      <c r="D150"/>
      <c r="E150"/>
      <c r="AB150"/>
    </row>
    <row r="151" spans="4:28">
      <c r="D151"/>
      <c r="E151"/>
      <c r="AB151"/>
    </row>
    <row r="152" spans="4:28">
      <c r="D152"/>
      <c r="E152"/>
      <c r="AB152"/>
    </row>
    <row r="153" spans="4:28">
      <c r="D153"/>
      <c r="E153"/>
      <c r="AB153"/>
    </row>
  </sheetData>
  <autoFilter ref="A6:AQ124" xr:uid="{731346DD-BF1A-4655-ACE3-BCD4991EEF0A}"/>
  <mergeCells count="1">
    <mergeCell ref="AG92:AG96"/>
  </mergeCells>
  <pageMargins left="0.7" right="0.7" top="0.75" bottom="0.75" header="0.3" footer="0.3"/>
  <pageSetup paperSize="9" scale="13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92EF6-EA72-4190-A2B1-926B00CF6DFC}">
  <sheetPr codeName="Sheet12">
    <tabColor rgb="FF00B050"/>
    <outlinePr summaryBelow="0" summaryRight="0"/>
    <pageSetUpPr fitToPage="1"/>
  </sheetPr>
  <dimension ref="A1:V79"/>
  <sheetViews>
    <sheetView showZeros="0" view="pageBreakPreview" zoomScaleNormal="100" zoomScaleSheetLayoutView="100" workbookViewId="0">
      <pane ySplit="5" topLeftCell="A6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9.5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ĐÀI_PCL - Mã CK:S21.11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104</v>
      </c>
      <c r="G3" s="218" t="s">
        <v>20</v>
      </c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51" collapsed="1">
      <c r="A6" s="6"/>
      <c r="B6" s="174">
        <v>1</v>
      </c>
      <c r="C6" s="175"/>
      <c r="D6" s="261" t="str">
        <f>VLOOKUP(B6,$C$62:$E$79,2,0)</f>
        <v>ID-004</v>
      </c>
      <c r="E6" s="211" cm="1">
        <f t="array" ref="E6:I6">(_xlfn.XLOOKUP($D6,'B-1. THKL THEO ID'!$B:$B,('B-1. THKL THEO ID'!C:G),"N/A",0))</f>
        <v>0</v>
      </c>
      <c r="F6" s="211" t="str">
        <v>BOQ-004</v>
      </c>
      <c r="G6" s="211">
        <v>0</v>
      </c>
      <c r="H6" s="183" t="str">
        <v>Ván Khuôn gỗ bê tông lót móng (đài, giằng, sàn, hố bơm, rãnh nước, bê phốt)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401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329"/>
      <c r="C7" s="330"/>
      <c r="D7" s="243"/>
      <c r="E7" s="331"/>
      <c r="F7" s="331"/>
      <c r="G7" s="331"/>
      <c r="H7" s="332"/>
      <c r="I7" s="333"/>
      <c r="J7" s="329"/>
      <c r="K7" s="329"/>
      <c r="L7" s="329"/>
      <c r="M7" s="334"/>
      <c r="N7" s="329"/>
      <c r="O7" s="317"/>
      <c r="P7" s="317"/>
      <c r="Q7" s="317"/>
      <c r="R7" s="335"/>
      <c r="S7" s="317"/>
      <c r="T7" s="317"/>
      <c r="U7" s="327"/>
      <c r="V7" s="317"/>
    </row>
    <row r="8" spans="1:22" s="2" customFormat="1" ht="16" hidden="1" outlineLevel="1">
      <c r="A8" s="6"/>
      <c r="B8" s="181"/>
      <c r="C8" s="182"/>
      <c r="D8" s="181"/>
      <c r="E8" s="215" t="str">
        <f>IF(_xlfn.XLOOKUP($D8,'B-1. THKL THEO ID'!$B:$B,'B-1. THKL THEO ID'!C:C,"N/A",0)=0,"",_xlfn.XLOOKUP($D8,'B-1. THKL THEO ID'!$B:$B,'B-1. THKL THEO ID'!C:C,"N/A",0))</f>
        <v/>
      </c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VLOOKUP(B9,$C$62:$E$79,2,0)</f>
        <v>ID-004A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gỗ bê tông lót đài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SUBTOTAL(9,R10:R16)</f>
        <v>11.993</v>
      </c>
      <c r="S9" s="177"/>
      <c r="T9" s="177"/>
      <c r="U9" s="209">
        <f>SUBTOTAL(9,U11:U16)</f>
        <v>0</v>
      </c>
      <c r="V9" s="177"/>
    </row>
    <row r="10" spans="1:22" s="2" customFormat="1" ht="17" hidden="1" outlineLevel="1">
      <c r="A10" s="6"/>
      <c r="B10" s="179"/>
      <c r="C10" s="180"/>
      <c r="D10" s="239"/>
      <c r="E10" s="213"/>
      <c r="F10" s="212"/>
      <c r="G10" s="212"/>
      <c r="H10" s="184" t="s">
        <v>561</v>
      </c>
      <c r="I10" s="179"/>
      <c r="J10" s="179">
        <v>1</v>
      </c>
      <c r="K10" s="179"/>
      <c r="L10" s="179"/>
      <c r="M10" s="179"/>
      <c r="N10" s="179"/>
      <c r="O10" s="179"/>
      <c r="P10" s="179"/>
      <c r="Q10" s="179"/>
      <c r="R10" s="262"/>
      <c r="S10" s="179"/>
      <c r="T10" s="179"/>
      <c r="U10" s="179"/>
      <c r="V10" s="179"/>
    </row>
    <row r="11" spans="1:22" s="2" customFormat="1" ht="17" hidden="1" outlineLevel="1">
      <c r="A11" s="6"/>
      <c r="B11" s="179"/>
      <c r="C11" s="180"/>
      <c r="D11" s="239"/>
      <c r="E11" s="213"/>
      <c r="F11" s="212"/>
      <c r="G11" s="212"/>
      <c r="H11" s="184" t="str">
        <f>'Dữ liệu đầu vào'!B10</f>
        <v>PLC (H4550)</v>
      </c>
      <c r="I11" s="179"/>
      <c r="J11" s="179"/>
      <c r="K11" s="179">
        <f>VLOOKUP(H11,'Dữ liệu đầu vào'!$B$9:$Z$55,13,0)</f>
        <v>40.93</v>
      </c>
      <c r="L11" s="179"/>
      <c r="M11" s="179">
        <f>VLOOKUP(H11,'Dữ liệu đầu vào'!$B$9:$Z$55,12,0)</f>
        <v>0.1</v>
      </c>
      <c r="N11" s="179"/>
      <c r="O11" s="179"/>
      <c r="P11" s="179"/>
      <c r="Q11" s="179"/>
      <c r="R11" s="262">
        <f>PRODUCT(J11:Q11)</f>
        <v>4.093</v>
      </c>
      <c r="S11" s="181"/>
      <c r="T11" s="181"/>
      <c r="U11" s="181"/>
      <c r="V11" s="181"/>
    </row>
    <row r="12" spans="1:22" s="2" customFormat="1" ht="17" hidden="1" outlineLevel="1">
      <c r="A12" s="6"/>
      <c r="B12" s="181"/>
      <c r="C12" s="182"/>
      <c r="D12" s="277"/>
      <c r="E12" s="215"/>
      <c r="F12" s="214"/>
      <c r="G12" s="214"/>
      <c r="H12" s="184" t="str">
        <f>'Dữ liệu đầu vào'!B11</f>
        <v>Trừ PLC (H4550)</v>
      </c>
      <c r="I12" s="181"/>
      <c r="J12" s="179"/>
      <c r="K12" s="179">
        <f>VLOOKUP(H12,'Dữ liệu đầu vào'!$B$9:$Z$55,13,0)</f>
        <v>0</v>
      </c>
      <c r="L12" s="179"/>
      <c r="M12" s="179">
        <f>VLOOKUP(H12,'Dữ liệu đầu vào'!$B$9:$Z$55,12,0)</f>
        <v>0</v>
      </c>
      <c r="N12" s="181"/>
      <c r="O12" s="179"/>
      <c r="P12" s="179"/>
      <c r="Q12" s="179"/>
      <c r="R12" s="262">
        <f>PRODUCT(J12:Q12)</f>
        <v>0</v>
      </c>
      <c r="S12" s="181"/>
      <c r="T12" s="181"/>
      <c r="U12" s="181"/>
      <c r="V12" s="181"/>
    </row>
    <row r="13" spans="1:22" s="2" customFormat="1" ht="17" hidden="1" outlineLevel="1">
      <c r="A13" s="6"/>
      <c r="B13" s="181"/>
      <c r="C13" s="182"/>
      <c r="D13" s="277"/>
      <c r="E13" s="215"/>
      <c r="F13" s="214"/>
      <c r="G13" s="214"/>
      <c r="H13" s="184" t="str">
        <f>'Dữ liệu đầu vào'!B12</f>
        <v>Trừ PLC (H4550)</v>
      </c>
      <c r="I13" s="181"/>
      <c r="J13" s="179"/>
      <c r="K13" s="179">
        <f>VLOOKUP(H13,'Dữ liệu đầu vào'!$B$9:$Z$55,13,0)</f>
        <v>0</v>
      </c>
      <c r="L13" s="181"/>
      <c r="M13" s="179">
        <f>VLOOKUP(H13,'Dữ liệu đầu vào'!$B$9:$Z$55,12,0)</f>
        <v>0</v>
      </c>
      <c r="O13" s="181"/>
      <c r="P13" s="181"/>
      <c r="Q13" s="181"/>
      <c r="R13" s="262">
        <f t="shared" ref="R13:R15" si="0">PRODUCT(J13:Q13)</f>
        <v>0</v>
      </c>
      <c r="S13" s="181"/>
      <c r="T13" s="181"/>
      <c r="U13" s="181"/>
      <c r="V13" s="181"/>
    </row>
    <row r="14" spans="1:22" s="2" customFormat="1" ht="17" hidden="1" outlineLevel="1">
      <c r="A14" s="6"/>
      <c r="B14" s="181"/>
      <c r="C14" s="182"/>
      <c r="D14" s="277"/>
      <c r="E14" s="215"/>
      <c r="F14" s="214"/>
      <c r="G14" s="214"/>
      <c r="H14" s="184" t="str">
        <f>'Dữ liệu đầu vào'!B13</f>
        <v>Trừ PLC (H4550)</v>
      </c>
      <c r="I14" s="181"/>
      <c r="J14" s="179"/>
      <c r="K14" s="179">
        <f>VLOOKUP(H14,'Dữ liệu đầu vào'!$B$9:$Z$55,13,0)</f>
        <v>0</v>
      </c>
      <c r="L14" s="181"/>
      <c r="M14" s="179">
        <f>VLOOKUP(H14,'Dữ liệu đầu vào'!$B$9:$Z$55,12,0)</f>
        <v>0</v>
      </c>
      <c r="N14" s="181"/>
      <c r="O14" s="181"/>
      <c r="P14" s="181"/>
      <c r="Q14" s="181"/>
      <c r="R14" s="262">
        <f t="shared" si="0"/>
        <v>0</v>
      </c>
      <c r="S14" s="181"/>
      <c r="T14" s="181"/>
      <c r="U14" s="181"/>
      <c r="V14" s="181"/>
    </row>
    <row r="15" spans="1:22" s="2" customFormat="1" ht="17" hidden="1" outlineLevel="1">
      <c r="A15" s="6"/>
      <c r="B15" s="181"/>
      <c r="C15" s="182"/>
      <c r="D15" s="277"/>
      <c r="E15" s="215"/>
      <c r="F15" s="214"/>
      <c r="G15" s="214"/>
      <c r="H15" s="184" t="str">
        <f>'Dữ liệu đầu vào'!B14</f>
        <v>PLC (H3000)</v>
      </c>
      <c r="I15" s="181"/>
      <c r="J15" s="179"/>
      <c r="K15" s="179">
        <f>VLOOKUP(H15,'Dữ liệu đầu vào'!$B$9:$Z$55,13,0)</f>
        <v>79</v>
      </c>
      <c r="L15" s="181"/>
      <c r="M15" s="179">
        <f>VLOOKUP(H15,'Dữ liệu đầu vào'!$B$9:$Z$55,12,0)</f>
        <v>0.1</v>
      </c>
      <c r="N15" s="181"/>
      <c r="O15" s="181"/>
      <c r="P15" s="181"/>
      <c r="Q15" s="181"/>
      <c r="R15" s="262">
        <f t="shared" si="0"/>
        <v>7.9</v>
      </c>
      <c r="S15" s="181"/>
      <c r="T15" s="181"/>
      <c r="U15" s="181"/>
      <c r="V15" s="181"/>
    </row>
    <row r="16" spans="1:22" s="2" customFormat="1" ht="16" hidden="1" outlineLevel="1">
      <c r="A16" s="6"/>
      <c r="B16" s="181"/>
      <c r="C16" s="182"/>
      <c r="D16" s="187"/>
      <c r="E16" s="215"/>
      <c r="F16" s="214"/>
      <c r="G16" s="214"/>
      <c r="H16" s="185"/>
      <c r="I16" s="181"/>
      <c r="J16" s="181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81"/>
    </row>
    <row r="17" spans="1:22" s="2" customFormat="1" ht="17" collapsed="1">
      <c r="A17" s="6"/>
      <c r="B17" s="174">
        <v>3</v>
      </c>
      <c r="C17" s="175"/>
      <c r="D17" s="261" t="str">
        <f>VLOOKUP(B17,$C$62:$E$79,2,0)</f>
        <v>ID-005</v>
      </c>
      <c r="E17" s="211" t="str" cm="1">
        <f t="array" ref="E17:I17">(_xlfn.XLOOKUP($D17,'B-1. THKL THEO ID'!$B:$B,('B-1. THKL THEO ID'!C:G),"N/A",0))</f>
        <v>CBS</v>
      </c>
      <c r="F17" s="211" t="str">
        <v>BOQ-005</v>
      </c>
      <c r="G17" s="211">
        <v>0</v>
      </c>
      <c r="H17" s="183" t="str">
        <v>Bê tông lót móng M100</v>
      </c>
      <c r="I17" s="208" t="str">
        <v>m3</v>
      </c>
      <c r="J17" s="174"/>
      <c r="K17" s="174"/>
      <c r="L17" s="174"/>
      <c r="M17" s="176"/>
      <c r="N17" s="174"/>
      <c r="O17" s="177"/>
      <c r="P17" s="177"/>
      <c r="Q17" s="177"/>
      <c r="R17" s="178">
        <f>SUBTOTAL(9,R18:R24)</f>
        <v>26.270900000000001</v>
      </c>
      <c r="S17" s="177"/>
      <c r="T17" s="177"/>
      <c r="U17" s="209">
        <f>SUBTOTAL(9,U18:U24)</f>
        <v>0</v>
      </c>
      <c r="V17" s="177"/>
    </row>
    <row r="18" spans="1:22" s="2" customFormat="1" ht="17" hidden="1" outlineLevel="1">
      <c r="A18" s="6"/>
      <c r="B18" s="179"/>
      <c r="C18" s="180"/>
      <c r="D18" s="239"/>
      <c r="E18" s="213"/>
      <c r="F18" s="212"/>
      <c r="G18" s="212"/>
      <c r="H18" s="184" t="s">
        <v>561</v>
      </c>
      <c r="I18" s="179"/>
      <c r="J18" s="179">
        <v>1</v>
      </c>
      <c r="K18" s="179"/>
      <c r="L18" s="179"/>
      <c r="M18" s="179"/>
      <c r="N18" s="179"/>
      <c r="O18" s="179"/>
      <c r="P18" s="179"/>
      <c r="Q18" s="179"/>
      <c r="R18" s="262"/>
      <c r="S18" s="179"/>
      <c r="T18" s="179"/>
      <c r="U18" s="179"/>
      <c r="V18" s="179"/>
    </row>
    <row r="19" spans="1:22" s="2" customFormat="1" ht="17" hidden="1" outlineLevel="1">
      <c r="A19" s="6"/>
      <c r="B19" s="179"/>
      <c r="C19" s="180"/>
      <c r="D19" s="239"/>
      <c r="E19" s="213"/>
      <c r="F19" s="212"/>
      <c r="G19" s="212"/>
      <c r="H19" s="184" t="str">
        <f>'Dữ liệu đầu vào'!B10</f>
        <v>PLC (H4550)</v>
      </c>
      <c r="I19" s="179"/>
      <c r="J19" s="179"/>
      <c r="K19" s="179"/>
      <c r="L19" s="179"/>
      <c r="M19" s="179">
        <f>VLOOKUP(H19,'Dữ liệu đầu vào'!$B$9:$Z$55,12,0)</f>
        <v>0.1</v>
      </c>
      <c r="N19" s="179">
        <f>VLOOKUP(H19,'Dữ liệu đầu vào'!$B$9:$Z$55,14,0)</f>
        <v>91.509</v>
      </c>
      <c r="O19" s="179"/>
      <c r="P19" s="179"/>
      <c r="Q19" s="179"/>
      <c r="R19" s="262">
        <f>PRODUCT(J19:Q19)</f>
        <v>9.1509</v>
      </c>
      <c r="S19" s="181"/>
      <c r="T19" s="181"/>
      <c r="U19" s="181"/>
      <c r="V19" s="181"/>
    </row>
    <row r="20" spans="1:22" s="2" customFormat="1" ht="17" hidden="1" outlineLevel="1">
      <c r="A20" s="6"/>
      <c r="B20" s="181"/>
      <c r="C20" s="182"/>
      <c r="D20" s="277"/>
      <c r="E20" s="215"/>
      <c r="F20" s="214"/>
      <c r="G20" s="214"/>
      <c r="H20" s="184" t="str">
        <f>'Dữ liệu đầu vào'!B11</f>
        <v>Trừ PLC (H4550)</v>
      </c>
      <c r="I20" s="181"/>
      <c r="J20" s="179"/>
      <c r="K20" s="179"/>
      <c r="L20" s="179"/>
      <c r="M20" s="179">
        <f>VLOOKUP(H20,'Dữ liệu đầu vào'!$B$9:$Z$55,12,0)</f>
        <v>0</v>
      </c>
      <c r="N20" s="179">
        <f>VLOOKUP(H20,'Dữ liệu đầu vào'!$B$9:$Z$55,14,0)</f>
        <v>0</v>
      </c>
      <c r="O20" s="179"/>
      <c r="P20" s="179"/>
      <c r="Q20" s="179"/>
      <c r="R20" s="262">
        <f>PRODUCT(J20:Q20)</f>
        <v>0</v>
      </c>
      <c r="S20" s="181"/>
      <c r="T20" s="181"/>
      <c r="U20" s="181"/>
      <c r="V20" s="181"/>
    </row>
    <row r="21" spans="1:22" s="2" customFormat="1" ht="17" hidden="1" outlineLevel="1">
      <c r="A21" s="6"/>
      <c r="B21" s="181"/>
      <c r="C21" s="182"/>
      <c r="D21" s="277"/>
      <c r="E21" s="215"/>
      <c r="F21" s="214"/>
      <c r="G21" s="214"/>
      <c r="H21" s="184" t="str">
        <f>'Dữ liệu đầu vào'!B12</f>
        <v>Trừ PLC (H4550)</v>
      </c>
      <c r="I21" s="181"/>
      <c r="J21" s="179"/>
      <c r="K21" s="179"/>
      <c r="L21" s="181"/>
      <c r="M21" s="179">
        <f>VLOOKUP(H21,'Dữ liệu đầu vào'!$B$9:$Z$55,12,0)</f>
        <v>0</v>
      </c>
      <c r="N21" s="179">
        <f>VLOOKUP(H21,'Dữ liệu đầu vào'!$B$9:$Z$55,14,0)</f>
        <v>0</v>
      </c>
      <c r="O21" s="181"/>
      <c r="P21" s="181"/>
      <c r="Q21" s="181"/>
      <c r="R21" s="262">
        <f t="shared" ref="R21:R23" si="1">PRODUCT(J21:Q21)</f>
        <v>0</v>
      </c>
      <c r="S21" s="181"/>
      <c r="T21" s="181"/>
      <c r="U21" s="181"/>
      <c r="V21" s="181"/>
    </row>
    <row r="22" spans="1:22" s="2" customFormat="1" ht="17" hidden="1" outlineLevel="1">
      <c r="A22" s="6"/>
      <c r="B22" s="181"/>
      <c r="C22" s="182"/>
      <c r="D22" s="277"/>
      <c r="E22" s="215"/>
      <c r="F22" s="214"/>
      <c r="G22" s="214"/>
      <c r="H22" s="184" t="str">
        <f>'Dữ liệu đầu vào'!B13</f>
        <v>Trừ PLC (H4550)</v>
      </c>
      <c r="I22" s="181"/>
      <c r="J22" s="179"/>
      <c r="K22" s="179"/>
      <c r="L22" s="181"/>
      <c r="M22" s="179">
        <f>VLOOKUP(H22,'Dữ liệu đầu vào'!$B$9:$Z$55,12,0)</f>
        <v>0</v>
      </c>
      <c r="N22" s="179">
        <f>VLOOKUP(H22,'Dữ liệu đầu vào'!$B$9:$Z$55,14,0)</f>
        <v>0</v>
      </c>
      <c r="O22" s="181"/>
      <c r="P22" s="181"/>
      <c r="Q22" s="181"/>
      <c r="R22" s="262">
        <f t="shared" si="1"/>
        <v>0</v>
      </c>
      <c r="S22" s="181"/>
      <c r="T22" s="181"/>
      <c r="U22" s="181"/>
      <c r="V22" s="181"/>
    </row>
    <row r="23" spans="1:22" s="2" customFormat="1" ht="17" hidden="1" outlineLevel="1">
      <c r="A23" s="6"/>
      <c r="B23" s="181"/>
      <c r="C23" s="182"/>
      <c r="D23" s="277"/>
      <c r="E23" s="215"/>
      <c r="F23" s="214"/>
      <c r="G23" s="214"/>
      <c r="H23" s="184" t="str">
        <f>'Dữ liệu đầu vào'!B14</f>
        <v>PLC (H3000)</v>
      </c>
      <c r="I23" s="181"/>
      <c r="J23" s="179"/>
      <c r="K23" s="179"/>
      <c r="L23" s="181"/>
      <c r="M23" s="179">
        <f>VLOOKUP(H23,'Dữ liệu đầu vào'!$B$9:$Z$55,12,0)</f>
        <v>0.1</v>
      </c>
      <c r="N23" s="179">
        <f>VLOOKUP(H23,'Dữ liệu đầu vào'!$B$9:$Z$55,14,0)</f>
        <v>171.2</v>
      </c>
      <c r="O23" s="181"/>
      <c r="P23" s="181"/>
      <c r="Q23" s="181"/>
      <c r="R23" s="262">
        <f t="shared" si="1"/>
        <v>17.12</v>
      </c>
      <c r="S23" s="181"/>
      <c r="T23" s="181"/>
      <c r="U23" s="181"/>
      <c r="V23" s="181"/>
    </row>
    <row r="24" spans="1:22" s="2" customFormat="1" ht="16" hidden="1" outlineLevel="1">
      <c r="A24" s="6"/>
      <c r="B24" s="181"/>
      <c r="C24" s="182"/>
      <c r="D24" s="181"/>
      <c r="E24" s="215" t="str">
        <f>IF(_xlfn.XLOOKUP($D24,'B-1. THKL THEO ID'!$B:$B,'B-1. THKL THEO ID'!C:C,"N/A",0)=0,"",_xlfn.XLOOKUP($D24,'B-1. THKL THEO ID'!$B:$B,'B-1. THKL THEO ID'!C:C,"N/A",0))</f>
        <v/>
      </c>
      <c r="F24" s="214"/>
      <c r="G24" s="214"/>
      <c r="H24" s="185"/>
      <c r="I24" s="181"/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81"/>
    </row>
    <row r="25" spans="1:22" s="2" customFormat="1" ht="51" collapsed="1">
      <c r="A25" s="6"/>
      <c r="B25" s="174">
        <v>4</v>
      </c>
      <c r="C25" s="175"/>
      <c r="D25" s="261" t="str">
        <f>VLOOKUP(B25,$C$62:$E$79,2,0)</f>
        <v>ID-006</v>
      </c>
      <c r="E25" s="211" cm="1">
        <f t="array" ref="E25:I25">(_xlfn.XLOOKUP($D25,'B-1. THKL THEO ID'!$B:$B,('B-1. THKL THEO ID'!C:G),"N/A",0))</f>
        <v>0</v>
      </c>
      <c r="F25" s="211" t="str">
        <v>BOQ-006</v>
      </c>
      <c r="G25" s="211">
        <v>0</v>
      </c>
      <c r="H25" s="183" t="str">
        <v>Ván khuôn kim loại bê tông móng (đài, giằng, sàn, hố bơm, rãnh nước, bê phốt)</v>
      </c>
      <c r="I25" s="208" t="str">
        <v>100m2</v>
      </c>
      <c r="J25" s="174"/>
      <c r="K25" s="174"/>
      <c r="L25" s="174"/>
      <c r="M25" s="176"/>
      <c r="N25" s="174"/>
      <c r="O25" s="177"/>
      <c r="P25" s="177"/>
      <c r="Q25" s="177"/>
      <c r="R25" s="178">
        <f>SUBTOTAL(9,R26:R27)</f>
        <v>0</v>
      </c>
      <c r="S25" s="177"/>
      <c r="T25" s="177"/>
      <c r="U25" s="209">
        <f>SUBTOTAL(9,U26:U27)</f>
        <v>0</v>
      </c>
      <c r="V25" s="177"/>
    </row>
    <row r="26" spans="1:22" s="2" customFormat="1" ht="16" hidden="1" outlineLevel="1">
      <c r="A26" s="6"/>
      <c r="B26" s="179"/>
      <c r="C26" s="180"/>
      <c r="D26" s="239"/>
      <c r="E26" s="213"/>
      <c r="F26" s="212"/>
      <c r="G26" s="212"/>
      <c r="H26" s="184"/>
      <c r="I26" s="179"/>
      <c r="J26" s="179"/>
      <c r="K26" s="179"/>
      <c r="L26" s="179"/>
      <c r="M26" s="179"/>
      <c r="N26" s="179"/>
      <c r="O26" s="179"/>
      <c r="P26" s="179"/>
      <c r="Q26" s="179"/>
      <c r="R26" s="262"/>
      <c r="S26" s="179"/>
      <c r="T26" s="179"/>
      <c r="U26" s="179"/>
      <c r="V26" s="179"/>
    </row>
    <row r="27" spans="1:22" s="2" customFormat="1" ht="16" hidden="1" outlineLevel="1">
      <c r="A27" s="6"/>
      <c r="B27" s="181"/>
      <c r="C27" s="182"/>
      <c r="D27" s="181"/>
      <c r="E27" s="215" t="str">
        <f>IF(_xlfn.XLOOKUP($D27,'B-1. THKL THEO ID'!$B:$B,'B-1. THKL THEO ID'!C:C,"N/A",0)=0,"",_xlfn.XLOOKUP($D27,'B-1. THKL THEO ID'!$B:$B,'B-1. THKL THEO ID'!C:C,"N/A",0))</f>
        <v/>
      </c>
      <c r="F27" s="214"/>
      <c r="G27" s="214"/>
      <c r="H27" s="185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</row>
    <row r="28" spans="1:22" s="2" customFormat="1" ht="17" collapsed="1">
      <c r="A28" s="6"/>
      <c r="B28" s="174">
        <v>5</v>
      </c>
      <c r="C28" s="175"/>
      <c r="D28" s="261" t="str">
        <f>VLOOKUP(B28,$C$62:$E$79,2,0)</f>
        <v>ID-006A</v>
      </c>
      <c r="E28" s="211" t="str" cm="1">
        <f t="array" ref="E28:I28">(_xlfn.XLOOKUP($D28,'B-1. THKL THEO ID'!$B:$B,('B-1. THKL THEO ID'!C:G),"N/A",0))</f>
        <v>CBS</v>
      </c>
      <c r="F28" s="211">
        <v>0</v>
      </c>
      <c r="G28" s="211">
        <v>0</v>
      </c>
      <c r="H28" s="183" t="str">
        <v>Ván khuôn gỗ ép bê tông đài móng</v>
      </c>
      <c r="I28" s="208" t="str">
        <v>m2</v>
      </c>
      <c r="J28" s="174"/>
      <c r="K28" s="174"/>
      <c r="L28" s="174"/>
      <c r="M28" s="176"/>
      <c r="N28" s="174"/>
      <c r="O28" s="177"/>
      <c r="P28" s="177"/>
      <c r="Q28" s="177"/>
      <c r="R28" s="178">
        <f>SUBTOTAL(9,R29:R35)</f>
        <v>0</v>
      </c>
      <c r="S28" s="177"/>
      <c r="T28" s="177"/>
      <c r="U28" s="178">
        <f>SUBTOTAL(9,U29:U29)</f>
        <v>0</v>
      </c>
      <c r="V28" s="177"/>
    </row>
    <row r="29" spans="1:22" s="2" customFormat="1" ht="17" hidden="1" outlineLevel="1">
      <c r="A29" s="6"/>
      <c r="B29" s="179"/>
      <c r="C29" s="180"/>
      <c r="D29" s="186"/>
      <c r="E29" s="213"/>
      <c r="F29" s="212"/>
      <c r="G29" s="212"/>
      <c r="H29" s="184" t="s">
        <v>561</v>
      </c>
      <c r="I29" s="179"/>
      <c r="J29" s="179">
        <v>1</v>
      </c>
      <c r="K29" s="179"/>
      <c r="L29" s="179"/>
      <c r="M29" s="179"/>
      <c r="N29" s="179"/>
      <c r="O29" s="179"/>
      <c r="P29" s="179"/>
      <c r="Q29" s="179"/>
      <c r="R29" s="262"/>
      <c r="S29" s="179"/>
      <c r="T29" s="179"/>
      <c r="U29" s="179"/>
      <c r="V29" s="179"/>
    </row>
    <row r="30" spans="1:22" s="2" customFormat="1" ht="17" hidden="1" outlineLevel="1">
      <c r="A30" s="6"/>
      <c r="B30" s="181"/>
      <c r="C30" s="182"/>
      <c r="D30" s="187"/>
      <c r="E30" s="215"/>
      <c r="F30" s="214"/>
      <c r="G30" s="214"/>
      <c r="H30" s="184" t="str">
        <f>'Dữ liệu đầu vào'!B10</f>
        <v>PLC (H4550)</v>
      </c>
      <c r="I30" s="181"/>
      <c r="J30" s="179"/>
      <c r="K30" s="179"/>
      <c r="L30" s="179"/>
      <c r="M30" s="179"/>
      <c r="N30" s="179"/>
      <c r="O30" s="179"/>
      <c r="P30" s="179"/>
      <c r="Q30" s="179"/>
      <c r="R30" s="262">
        <f>PRODUCT(J30:Q30)</f>
        <v>0</v>
      </c>
      <c r="S30" s="181"/>
      <c r="T30" s="181"/>
      <c r="U30" s="181"/>
      <c r="V30" s="181"/>
    </row>
    <row r="31" spans="1:22" s="2" customFormat="1" ht="17" hidden="1" outlineLevel="1">
      <c r="A31" s="6"/>
      <c r="B31" s="181"/>
      <c r="C31" s="182"/>
      <c r="D31" s="187"/>
      <c r="E31" s="215"/>
      <c r="F31" s="214"/>
      <c r="G31" s="214"/>
      <c r="H31" s="184" t="str">
        <f>'Dữ liệu đầu vào'!B11</f>
        <v>Trừ PLC (H4550)</v>
      </c>
      <c r="I31" s="181"/>
      <c r="J31" s="179"/>
      <c r="K31" s="179"/>
      <c r="L31" s="179"/>
      <c r="M31" s="179"/>
      <c r="N31" s="179"/>
      <c r="O31" s="179"/>
      <c r="P31" s="179"/>
      <c r="Q31" s="179"/>
      <c r="R31" s="262">
        <f>PRODUCT(J31:Q31)</f>
        <v>0</v>
      </c>
      <c r="S31" s="181"/>
      <c r="T31" s="181"/>
      <c r="U31" s="181"/>
      <c r="V31" s="181"/>
    </row>
    <row r="32" spans="1:22" s="2" customFormat="1" ht="17" hidden="1" outlineLevel="1">
      <c r="A32" s="6"/>
      <c r="B32" s="181"/>
      <c r="C32" s="182"/>
      <c r="D32" s="187"/>
      <c r="E32" s="215"/>
      <c r="F32" s="214"/>
      <c r="G32" s="214"/>
      <c r="H32" s="184" t="str">
        <f>'Dữ liệu đầu vào'!B12</f>
        <v>Trừ PLC (H4550)</v>
      </c>
      <c r="I32" s="181"/>
      <c r="J32" s="179"/>
      <c r="K32" s="179"/>
      <c r="L32" s="181"/>
      <c r="M32" s="179"/>
      <c r="N32" s="179"/>
      <c r="O32" s="181"/>
      <c r="P32" s="181"/>
      <c r="Q32" s="181"/>
      <c r="R32" s="262">
        <f t="shared" ref="R32:R34" si="2">PRODUCT(J32:Q32)</f>
        <v>0</v>
      </c>
      <c r="S32" s="181"/>
      <c r="T32" s="181"/>
      <c r="U32" s="181"/>
      <c r="V32" s="181"/>
    </row>
    <row r="33" spans="1:22" s="2" customFormat="1" ht="17" hidden="1" outlineLevel="1">
      <c r="A33" s="6"/>
      <c r="B33" s="181"/>
      <c r="C33" s="182"/>
      <c r="D33" s="187"/>
      <c r="E33" s="215"/>
      <c r="F33" s="214"/>
      <c r="G33" s="214"/>
      <c r="H33" s="184" t="str">
        <f>'Dữ liệu đầu vào'!B13</f>
        <v>Trừ PLC (H4550)</v>
      </c>
      <c r="I33" s="181"/>
      <c r="J33" s="179"/>
      <c r="K33" s="179"/>
      <c r="L33" s="181"/>
      <c r="M33" s="179"/>
      <c r="N33" s="179"/>
      <c r="O33" s="181"/>
      <c r="P33" s="181"/>
      <c r="Q33" s="181"/>
      <c r="R33" s="262">
        <f t="shared" si="2"/>
        <v>0</v>
      </c>
      <c r="S33" s="181"/>
      <c r="T33" s="181"/>
      <c r="U33" s="181"/>
      <c r="V33" s="181"/>
    </row>
    <row r="34" spans="1:22" s="2" customFormat="1" ht="17" hidden="1" outlineLevel="1">
      <c r="A34" s="6"/>
      <c r="B34" s="181"/>
      <c r="C34" s="182"/>
      <c r="D34" s="187"/>
      <c r="E34" s="215"/>
      <c r="F34" s="214"/>
      <c r="G34" s="214"/>
      <c r="H34" s="184" t="str">
        <f>'Dữ liệu đầu vào'!B14</f>
        <v>PLC (H3000)</v>
      </c>
      <c r="I34" s="181"/>
      <c r="J34" s="179"/>
      <c r="K34" s="179"/>
      <c r="L34" s="181"/>
      <c r="M34" s="179"/>
      <c r="N34" s="179"/>
      <c r="O34" s="181"/>
      <c r="P34" s="181"/>
      <c r="Q34" s="181"/>
      <c r="R34" s="262">
        <f t="shared" si="2"/>
        <v>0</v>
      </c>
      <c r="S34" s="181"/>
      <c r="T34" s="181"/>
      <c r="U34" s="181"/>
      <c r="V34" s="181"/>
    </row>
    <row r="35" spans="1:22" s="2" customFormat="1" ht="16" hidden="1" outlineLevel="1">
      <c r="A35" s="6"/>
      <c r="B35" s="181"/>
      <c r="C35" s="182"/>
      <c r="D35" s="187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17" collapsed="1">
      <c r="A36" s="6"/>
      <c r="B36" s="174">
        <v>6</v>
      </c>
      <c r="C36" s="175"/>
      <c r="D36" s="261" t="str">
        <f>VLOOKUP(B36,$C$62:$E$79,2,0)</f>
        <v>ID-007A</v>
      </c>
      <c r="E36" s="211" cm="1">
        <f t="array" ref="E36:I36">(_xlfn.XLOOKUP($D36,'B-1. THKL THEO ID'!$B:$B,('B-1. THKL THEO ID'!C:G),"N/A",0))</f>
        <v>0</v>
      </c>
      <c r="F36" s="211" t="str">
        <v>BOQ-007</v>
      </c>
      <c r="G36" s="211">
        <v>0</v>
      </c>
      <c r="H36" s="183" t="str">
        <v>Thép móng D&lt;=10</v>
      </c>
      <c r="I36" s="208" t="str">
        <v>tấn</v>
      </c>
      <c r="J36" s="174"/>
      <c r="K36" s="174"/>
      <c r="L36" s="174"/>
      <c r="M36" s="176"/>
      <c r="N36" s="174"/>
      <c r="O36" s="177"/>
      <c r="P36" s="177"/>
      <c r="Q36" s="177"/>
      <c r="R36" s="178">
        <f>SUBTOTAL(9,R37:R38)</f>
        <v>0</v>
      </c>
      <c r="S36" s="177"/>
      <c r="T36" s="177"/>
      <c r="U36" s="209">
        <f>SUBTOTAL(9,U37:U38)</f>
        <v>0</v>
      </c>
      <c r="V36" s="177"/>
    </row>
    <row r="37" spans="1:22" s="2" customFormat="1" ht="16" hidden="1" outlineLevel="1">
      <c r="A37" s="6"/>
      <c r="B37" s="179"/>
      <c r="C37" s="180"/>
      <c r="D37" s="239"/>
      <c r="E37" s="213"/>
      <c r="F37" s="212"/>
      <c r="G37" s="212"/>
      <c r="H37" s="184"/>
      <c r="I37" s="179"/>
      <c r="J37" s="179"/>
      <c r="K37" s="179"/>
      <c r="L37" s="179"/>
      <c r="M37" s="179"/>
      <c r="N37" s="179"/>
      <c r="O37" s="179"/>
      <c r="P37" s="179"/>
      <c r="Q37" s="179"/>
      <c r="R37" s="262"/>
      <c r="S37" s="179"/>
      <c r="T37" s="179"/>
      <c r="U37" s="179"/>
      <c r="V37" s="179"/>
    </row>
    <row r="38" spans="1:22" s="2" customFormat="1" ht="16" hidden="1" outlineLevel="1">
      <c r="A38" s="6"/>
      <c r="B38" s="181"/>
      <c r="C38" s="182"/>
      <c r="D38" s="181"/>
      <c r="E38" s="215" t="str">
        <f>IF(_xlfn.XLOOKUP($D38,'B-1. THKL THEO ID'!$B:$B,'B-1. THKL THEO ID'!C:C,"N/A",0)=0,"",_xlfn.XLOOKUP($D38,'B-1. THKL THEO ID'!$B:$B,'B-1. THKL THEO ID'!C:C,"N/A",0))</f>
        <v/>
      </c>
      <c r="F38" s="214"/>
      <c r="G38" s="214"/>
      <c r="H38" s="185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s="2" customFormat="1" ht="17" collapsed="1">
      <c r="A39" s="6"/>
      <c r="B39" s="174">
        <v>7</v>
      </c>
      <c r="C39" s="175"/>
      <c r="D39" s="261" t="str">
        <f>VLOOKUP(B39,$C$62:$E$79,2,0)</f>
        <v>ID-007B</v>
      </c>
      <c r="E39" s="211" cm="1">
        <f t="array" ref="E39:I39">(_xlfn.XLOOKUP($D39,'B-1. THKL THEO ID'!$B:$B,('B-1. THKL THEO ID'!C:G),"N/A",0))</f>
        <v>0</v>
      </c>
      <c r="F39" s="211" t="str">
        <v>BOQ-008</v>
      </c>
      <c r="G39" s="211">
        <v>0</v>
      </c>
      <c r="H39" s="183" t="str">
        <v>Thép móng D&lt;=18</v>
      </c>
      <c r="I39" s="208" t="str">
        <v>tấn</v>
      </c>
      <c r="J39" s="174"/>
      <c r="K39" s="174"/>
      <c r="L39" s="174"/>
      <c r="M39" s="176"/>
      <c r="N39" s="174"/>
      <c r="O39" s="177"/>
      <c r="P39" s="177"/>
      <c r="Q39" s="177"/>
      <c r="R39" s="178">
        <f>SUBTOTAL(9,R40:R41)</f>
        <v>0</v>
      </c>
      <c r="S39" s="177"/>
      <c r="T39" s="177"/>
      <c r="U39" s="209">
        <f>SUBTOTAL(9,U40:U41)</f>
        <v>0</v>
      </c>
      <c r="V39" s="177"/>
    </row>
    <row r="40" spans="1:22" s="2" customFormat="1" ht="16" hidden="1" outlineLevel="1">
      <c r="A40" s="6"/>
      <c r="B40" s="179"/>
      <c r="C40" s="180"/>
      <c r="D40" s="239"/>
      <c r="E40" s="213"/>
      <c r="F40" s="212"/>
      <c r="G40" s="212"/>
      <c r="H40" s="184"/>
      <c r="I40" s="179"/>
      <c r="J40" s="179"/>
      <c r="K40" s="179"/>
      <c r="L40" s="179"/>
      <c r="M40" s="179"/>
      <c r="N40" s="179"/>
      <c r="O40" s="179"/>
      <c r="P40" s="179"/>
      <c r="Q40" s="179"/>
      <c r="R40" s="262"/>
      <c r="S40" s="179"/>
      <c r="T40" s="179"/>
      <c r="U40" s="179"/>
      <c r="V40" s="179"/>
    </row>
    <row r="41" spans="1:22" s="2" customFormat="1" ht="16" hidden="1" outlineLevel="1">
      <c r="A41" s="6"/>
      <c r="B41" s="181"/>
      <c r="C41" s="182"/>
      <c r="D41" s="181"/>
      <c r="E41" s="215" t="str">
        <f>IF(_xlfn.XLOOKUP($D41,'B-1. THKL THEO ID'!$B:$B,'B-1. THKL THEO ID'!C:C,"N/A",0)=0,"",_xlfn.XLOOKUP($D41,'B-1. THKL THEO ID'!$B:$B,'B-1. THKL THEO ID'!C:C,"N/A",0))</f>
        <v/>
      </c>
      <c r="F41" s="214"/>
      <c r="G41" s="214"/>
      <c r="H41" s="185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</row>
    <row r="42" spans="1:22" s="2" customFormat="1" ht="17" collapsed="1">
      <c r="A42" s="6"/>
      <c r="B42" s="174">
        <v>8</v>
      </c>
      <c r="C42" s="175"/>
      <c r="D42" s="261" t="str">
        <f>VLOOKUP(B42,$C$62:$E$79,2,0)</f>
        <v>ID-007C</v>
      </c>
      <c r="E42" s="211" cm="1">
        <f t="array" ref="E42:I42">(_xlfn.XLOOKUP($D42,'B-1. THKL THEO ID'!$B:$B,('B-1. THKL THEO ID'!C:G),"N/A",0))</f>
        <v>0</v>
      </c>
      <c r="F42" s="211" t="str">
        <v>BOQ-009</v>
      </c>
      <c r="G42" s="211">
        <v>0</v>
      </c>
      <c r="H42" s="183" t="str">
        <v>Thép móng D&gt;18</v>
      </c>
      <c r="I42" s="208" t="str">
        <v>tấn</v>
      </c>
      <c r="J42" s="174"/>
      <c r="K42" s="174"/>
      <c r="L42" s="174"/>
      <c r="M42" s="176"/>
      <c r="N42" s="174"/>
      <c r="O42" s="177"/>
      <c r="P42" s="177"/>
      <c r="Q42" s="177"/>
      <c r="R42" s="178">
        <f>SUBTOTAL(9,R43:R44)</f>
        <v>0</v>
      </c>
      <c r="S42" s="177"/>
      <c r="T42" s="177"/>
      <c r="U42" s="178">
        <f>SUBTOTAL(9,U43:U43)</f>
        <v>0</v>
      </c>
      <c r="V42" s="177"/>
    </row>
    <row r="43" spans="1:22" s="2" customFormat="1" ht="16" hidden="1" outlineLevel="1">
      <c r="A43" s="6"/>
      <c r="B43" s="179"/>
      <c r="C43" s="180"/>
      <c r="D43" s="186"/>
      <c r="E43" s="213"/>
      <c r="F43" s="212"/>
      <c r="G43" s="212"/>
      <c r="H43" s="184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</row>
    <row r="44" spans="1:22" s="2" customFormat="1" ht="16" hidden="1" outlineLevel="1">
      <c r="A44" s="6"/>
      <c r="B44" s="181"/>
      <c r="C44" s="182"/>
      <c r="D44" s="187"/>
      <c r="E44" s="215"/>
      <c r="F44" s="214"/>
      <c r="G44" s="214"/>
      <c r="H44" s="185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</row>
    <row r="45" spans="1:22" s="2" customFormat="1" ht="17" collapsed="1">
      <c r="A45" s="6"/>
      <c r="B45" s="174">
        <v>9</v>
      </c>
      <c r="C45" s="175"/>
      <c r="D45" s="261" t="str">
        <f>VLOOKUP(B45,$C$62:$E$79,2,0)</f>
        <v>ID-007</v>
      </c>
      <c r="E45" s="211" t="str" cm="1">
        <f t="array" ref="E45:I45">(_xlfn.XLOOKUP($D45,'B-1. THKL THEO ID'!$B:$B,('B-1. THKL THEO ID'!C:G),"N/A",0))</f>
        <v>CBS</v>
      </c>
      <c r="F45" s="211">
        <v>0</v>
      </c>
      <c r="G45" s="211">
        <v>0</v>
      </c>
      <c r="H45" s="183" t="str">
        <v>Thép móng full ( kg)</v>
      </c>
      <c r="I45" s="208" t="str">
        <v>kg</v>
      </c>
      <c r="J45" s="174"/>
      <c r="K45" s="174"/>
      <c r="L45" s="174"/>
      <c r="M45" s="176"/>
      <c r="N45" s="174"/>
      <c r="O45" s="177"/>
      <c r="P45" s="177"/>
      <c r="Q45" s="177"/>
      <c r="R45" s="178">
        <f>SUBTOTAL(9,R46:R47)</f>
        <v>0</v>
      </c>
      <c r="S45" s="177"/>
      <c r="T45" s="177"/>
      <c r="U45" s="209">
        <f>SUBTOTAL(9,U46:U47)</f>
        <v>0</v>
      </c>
      <c r="V45" s="177"/>
    </row>
    <row r="46" spans="1:22" s="2" customFormat="1" ht="16" hidden="1" outlineLevel="1">
      <c r="A46" s="6"/>
      <c r="B46" s="179"/>
      <c r="C46" s="180"/>
      <c r="D46" s="239"/>
      <c r="E46" s="213"/>
      <c r="F46" s="212"/>
      <c r="G46" s="212"/>
      <c r="H46" s="184"/>
      <c r="I46" s="179"/>
      <c r="J46" s="179"/>
      <c r="K46" s="179"/>
      <c r="L46" s="179"/>
      <c r="M46" s="179"/>
      <c r="N46" s="179"/>
      <c r="O46" s="179"/>
      <c r="P46" s="179"/>
      <c r="Q46" s="179"/>
      <c r="R46" s="262"/>
      <c r="S46" s="179"/>
      <c r="T46" s="179"/>
      <c r="U46" s="179"/>
      <c r="V46" s="179"/>
    </row>
    <row r="47" spans="1:22" s="2" customFormat="1" ht="16" hidden="1" outlineLevel="1">
      <c r="A47" s="6"/>
      <c r="B47" s="181"/>
      <c r="C47" s="182"/>
      <c r="D47" s="181"/>
      <c r="E47" s="215" t="str">
        <f>IF(_xlfn.XLOOKUP($D47,'B-1. THKL THEO ID'!$B:$B,'B-1. THKL THEO ID'!C:C,"N/A",0)=0,"",_xlfn.XLOOKUP($D47,'B-1. THKL THEO ID'!$B:$B,'B-1. THKL THEO ID'!C:C,"N/A",0))</f>
        <v/>
      </c>
      <c r="F47" s="214"/>
      <c r="G47" s="214"/>
      <c r="H47" s="185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</row>
    <row r="48" spans="1:22" s="2" customFormat="1" ht="17" collapsed="1">
      <c r="A48" s="6"/>
      <c r="B48" s="174">
        <v>10</v>
      </c>
      <c r="C48" s="175"/>
      <c r="D48" s="261" t="str">
        <f>VLOOKUP(B48,$C$62:$E$79,2,0)</f>
        <v>ID-008</v>
      </c>
      <c r="E48" s="211" t="str" cm="1">
        <f t="array" ref="E48:I48">(_xlfn.XLOOKUP($D48,'B-1. THKL THEO ID'!$B:$B,('B-1. THKL THEO ID'!C:G),"N/A",0))</f>
        <v>CBS</v>
      </c>
      <c r="F48" s="211" t="str">
        <v>BOQ-010</v>
      </c>
      <c r="G48" s="211">
        <v>0</v>
      </c>
      <c r="H48" s="183" t="str">
        <v>Bê tông móng M400</v>
      </c>
      <c r="I48" s="208" t="str">
        <v>m3</v>
      </c>
      <c r="J48" s="174"/>
      <c r="K48" s="174"/>
      <c r="L48" s="174"/>
      <c r="M48" s="176"/>
      <c r="N48" s="174"/>
      <c r="O48" s="177"/>
      <c r="P48" s="177"/>
      <c r="Q48" s="177"/>
      <c r="R48" s="178">
        <f>SUBTOTAL(9,R49:R50)</f>
        <v>0</v>
      </c>
      <c r="S48" s="177"/>
      <c r="T48" s="177"/>
      <c r="U48" s="209">
        <f>SUBTOTAL(9,U49:U50)</f>
        <v>0</v>
      </c>
      <c r="V48" s="177"/>
    </row>
    <row r="49" spans="1:22" s="2" customFormat="1" ht="16" hidden="1" outlineLevel="1">
      <c r="A49" s="6"/>
      <c r="B49" s="179"/>
      <c r="C49" s="180"/>
      <c r="D49" s="239"/>
      <c r="E49" s="213"/>
      <c r="F49" s="212"/>
      <c r="G49" s="212"/>
      <c r="H49" s="184"/>
      <c r="I49" s="179"/>
      <c r="J49" s="179"/>
      <c r="K49" s="179"/>
      <c r="L49" s="179"/>
      <c r="M49" s="179"/>
      <c r="N49" s="179"/>
      <c r="O49" s="179"/>
      <c r="P49" s="179"/>
      <c r="Q49" s="179"/>
      <c r="R49" s="262"/>
      <c r="S49" s="179"/>
      <c r="T49" s="179"/>
      <c r="U49" s="179"/>
      <c r="V49" s="179"/>
    </row>
    <row r="50" spans="1:22" s="2" customFormat="1" ht="16" hidden="1" outlineLevel="1">
      <c r="A50" s="6"/>
      <c r="B50" s="181"/>
      <c r="C50" s="182"/>
      <c r="D50" s="181"/>
      <c r="E50" s="215" t="str">
        <f>IF(_xlfn.XLOOKUP($D50,'B-1. THKL THEO ID'!$B:$B,'B-1. THKL THEO ID'!C:C,"N/A",0)=0,"",_xlfn.XLOOKUP($D50,'B-1. THKL THEO ID'!$B:$B,'B-1. THKL THEO ID'!C:C,"N/A",0))</f>
        <v/>
      </c>
      <c r="F50" s="214"/>
      <c r="G50" s="214"/>
      <c r="H50" s="185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</row>
    <row r="51" spans="1:22" s="2" customFormat="1" ht="34" collapsed="1">
      <c r="A51" s="6"/>
      <c r="B51" s="174">
        <v>11</v>
      </c>
      <c r="C51" s="175"/>
      <c r="D51" s="261" t="s">
        <v>392</v>
      </c>
      <c r="E51" s="211" t="str" cm="1">
        <f t="array" ref="E51:I51">(_xlfn.XLOOKUP($D51,'B-1. THKL THEO ID'!$B:$B,('B-1. THKL THEO ID'!C:G),"N/A",0))</f>
        <v>CBS</v>
      </c>
      <c r="F51" s="211" t="str">
        <v>BOQ-063</v>
      </c>
      <c r="G51" s="211">
        <v>0</v>
      </c>
      <c r="H51" s="183" t="str">
        <v>Xử lý liên kết thép đầu cọc và đài móng</v>
      </c>
      <c r="I51" s="208" t="str">
        <v>cọc</v>
      </c>
      <c r="J51" s="174"/>
      <c r="K51" s="174"/>
      <c r="L51" s="174"/>
      <c r="M51" s="176"/>
      <c r="N51" s="174"/>
      <c r="O51" s="177"/>
      <c r="P51" s="177"/>
      <c r="Q51" s="177"/>
      <c r="R51" s="178">
        <f>SUBTOTAL(9,R52:R53)</f>
        <v>0</v>
      </c>
      <c r="S51" s="177"/>
      <c r="T51" s="177"/>
      <c r="U51" s="178">
        <f>SUBTOTAL(9,U52:U52)</f>
        <v>0</v>
      </c>
      <c r="V51" s="177"/>
    </row>
    <row r="52" spans="1:22" s="2" customFormat="1" ht="16" hidden="1" outlineLevel="1">
      <c r="A52" s="6"/>
      <c r="B52" s="179"/>
      <c r="C52" s="180"/>
      <c r="D52" s="186"/>
      <c r="E52" s="213"/>
      <c r="F52" s="212"/>
      <c r="G52" s="212"/>
      <c r="H52" s="184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</row>
    <row r="53" spans="1:22" s="2" customFormat="1" ht="16" hidden="1" outlineLevel="1">
      <c r="A53" s="6"/>
      <c r="B53" s="181"/>
      <c r="C53" s="182"/>
      <c r="D53" s="187"/>
      <c r="E53" s="215"/>
      <c r="F53" s="214"/>
      <c r="G53" s="214"/>
      <c r="H53" s="185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</row>
    <row r="54" spans="1:22" s="2" customFormat="1" ht="34" collapsed="1">
      <c r="A54" s="6"/>
      <c r="B54" s="174">
        <v>12</v>
      </c>
      <c r="C54" s="175"/>
      <c r="D54" s="261" t="str">
        <f>VLOOKUP(B54,$C$62:$E$79,2,0)</f>
        <v>ID-042</v>
      </c>
      <c r="E54" s="211" t="str" cm="1">
        <f t="array" ref="E54:I54">(_xlfn.XLOOKUP($D54,'B-1. THKL THEO ID'!$B:$B,('B-1. THKL THEO ID'!C:G),"N/A",0))</f>
        <v>CBS</v>
      </c>
      <c r="F54" s="211" t="str">
        <v>BOQ-063</v>
      </c>
      <c r="G54" s="211">
        <v>0</v>
      </c>
      <c r="H54" s="183" t="str">
        <v>Xử lý liên kết thép đầu cọc và đài móng</v>
      </c>
      <c r="I54" s="208" t="str">
        <v>cọc</v>
      </c>
      <c r="J54" s="174"/>
      <c r="K54" s="174"/>
      <c r="L54" s="174"/>
      <c r="M54" s="176"/>
      <c r="N54" s="174"/>
      <c r="O54" s="177"/>
      <c r="P54" s="177"/>
      <c r="Q54" s="177"/>
      <c r="R54" s="178">
        <f>SUBTOTAL(9,R55:R56)</f>
        <v>0</v>
      </c>
      <c r="S54" s="177"/>
      <c r="T54" s="177"/>
      <c r="U54" s="209">
        <f>SUBTOTAL(9,U55:U56)</f>
        <v>0</v>
      </c>
      <c r="V54" s="177"/>
    </row>
    <row r="55" spans="1:22" s="2" customFormat="1" ht="16" hidden="1" outlineLevel="1">
      <c r="A55" s="6"/>
      <c r="B55" s="179"/>
      <c r="C55" s="180"/>
      <c r="D55" s="239"/>
      <c r="E55" s="213"/>
      <c r="F55" s="212"/>
      <c r="G55" s="212"/>
      <c r="H55" s="184"/>
      <c r="I55" s="179"/>
      <c r="J55" s="179"/>
      <c r="K55" s="179"/>
      <c r="L55" s="179"/>
      <c r="M55" s="179"/>
      <c r="N55" s="179"/>
      <c r="O55" s="179"/>
      <c r="P55" s="179"/>
      <c r="Q55" s="179"/>
      <c r="R55" s="262"/>
      <c r="S55" s="179"/>
      <c r="T55" s="179"/>
      <c r="U55" s="179"/>
      <c r="V55" s="179"/>
    </row>
    <row r="56" spans="1:22" s="2" customFormat="1" ht="16" hidden="1" outlineLevel="1">
      <c r="A56" s="6"/>
      <c r="B56" s="181"/>
      <c r="C56" s="182"/>
      <c r="D56" s="181"/>
      <c r="E56" s="215" t="str">
        <f>IF(_xlfn.XLOOKUP($D56,'B-1. THKL THEO ID'!$B:$B,'B-1. THKL THEO ID'!C:C,"N/A",0)=0,"",_xlfn.XLOOKUP($D56,'B-1. THKL THEO ID'!$B:$B,'B-1. THKL THEO ID'!C:C,"N/A",0))</f>
        <v/>
      </c>
      <c r="F56" s="214"/>
      <c r="G56" s="214"/>
      <c r="H56" s="185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181"/>
    </row>
    <row r="57" spans="1:22" ht="20" customHeight="1">
      <c r="A57" s="2"/>
      <c r="B57" s="50"/>
      <c r="C57" s="51"/>
      <c r="D57" s="52"/>
      <c r="E57" s="53"/>
      <c r="F57" s="52"/>
      <c r="G57" s="52"/>
      <c r="H57" s="54"/>
      <c r="I57" s="52"/>
      <c r="J57" s="52"/>
      <c r="K57" s="52"/>
      <c r="L57" s="52"/>
      <c r="M57" s="52"/>
      <c r="N57" s="52"/>
      <c r="O57" s="52"/>
      <c r="P57" s="52"/>
      <c r="Q57" s="52"/>
      <c r="R57" s="55"/>
      <c r="S57" s="52"/>
      <c r="T57" s="52"/>
      <c r="U57" s="52"/>
      <c r="V57" s="52"/>
    </row>
    <row r="58" spans="1:22" ht="20" customHeight="1">
      <c r="A58" s="2"/>
      <c r="B58" s="27" t="s">
        <v>20</v>
      </c>
      <c r="C58" s="28">
        <v>3</v>
      </c>
      <c r="D58" s="27"/>
      <c r="E58" s="29"/>
      <c r="F58" s="27"/>
      <c r="G58" s="27"/>
      <c r="H58" s="30" t="s">
        <v>29</v>
      </c>
      <c r="I58" s="31"/>
      <c r="J58" s="31"/>
      <c r="K58" s="31"/>
      <c r="L58" s="31"/>
      <c r="M58" s="31"/>
      <c r="N58" s="31"/>
      <c r="O58" s="31"/>
      <c r="P58" s="31"/>
      <c r="Q58" s="31"/>
      <c r="R58" s="32">
        <f>SUBTOTAL(9,R6:R57)</f>
        <v>38.263900000000007</v>
      </c>
      <c r="S58" s="31"/>
      <c r="T58" s="31"/>
      <c r="U58" s="31"/>
      <c r="V58" s="31"/>
    </row>
    <row r="59" spans="1:22" s="2" customFormat="1" ht="20" customHeight="1">
      <c r="E59" s="7"/>
    </row>
    <row r="62" spans="1:22" ht="20" customHeight="1">
      <c r="C62">
        <v>1</v>
      </c>
      <c r="D62" t="s">
        <v>356</v>
      </c>
    </row>
    <row r="63" spans="1:22" ht="20" customHeight="1">
      <c r="C63">
        <v>2</v>
      </c>
      <c r="D63" t="s">
        <v>575</v>
      </c>
    </row>
    <row r="64" spans="1:22" ht="20" customHeight="1">
      <c r="C64">
        <v>3</v>
      </c>
      <c r="D64" t="s">
        <v>357</v>
      </c>
    </row>
    <row r="65" spans="3:4" ht="20" customHeight="1">
      <c r="C65">
        <v>4</v>
      </c>
      <c r="D65" t="s">
        <v>358</v>
      </c>
    </row>
    <row r="66" spans="3:4" ht="20" customHeight="1">
      <c r="C66">
        <v>5</v>
      </c>
      <c r="D66" t="s">
        <v>576</v>
      </c>
    </row>
    <row r="67" spans="3:4" ht="20" customHeight="1">
      <c r="C67">
        <v>6</v>
      </c>
      <c r="D67" t="s">
        <v>577</v>
      </c>
    </row>
    <row r="68" spans="3:4" ht="20" customHeight="1">
      <c r="C68">
        <v>7</v>
      </c>
      <c r="D68" t="s">
        <v>564</v>
      </c>
    </row>
    <row r="69" spans="3:4" ht="20" customHeight="1">
      <c r="C69">
        <v>8</v>
      </c>
      <c r="D69" t="s">
        <v>578</v>
      </c>
    </row>
    <row r="70" spans="3:4" ht="20" customHeight="1">
      <c r="C70">
        <v>9</v>
      </c>
      <c r="D70" t="s">
        <v>359</v>
      </c>
    </row>
    <row r="71" spans="3:4" ht="20" customHeight="1">
      <c r="C71">
        <v>10</v>
      </c>
      <c r="D71" t="s">
        <v>360</v>
      </c>
    </row>
    <row r="72" spans="3:4" ht="20" customHeight="1">
      <c r="C72">
        <v>11</v>
      </c>
      <c r="D72" t="s">
        <v>391</v>
      </c>
    </row>
    <row r="73" spans="3:4" ht="20" customHeight="1">
      <c r="C73">
        <v>12</v>
      </c>
      <c r="D73" t="s">
        <v>392</v>
      </c>
    </row>
    <row r="74" spans="3:4" ht="20" customHeight="1">
      <c r="C74">
        <v>13</v>
      </c>
    </row>
    <row r="75" spans="3:4" ht="20" customHeight="1">
      <c r="C75">
        <v>14</v>
      </c>
    </row>
    <row r="76" spans="3:4" ht="20" customHeight="1">
      <c r="C76">
        <v>15</v>
      </c>
    </row>
    <row r="77" spans="3:4" ht="20" customHeight="1">
      <c r="C77">
        <v>16</v>
      </c>
    </row>
    <row r="78" spans="3:4" ht="20" customHeight="1">
      <c r="C78">
        <v>17</v>
      </c>
    </row>
    <row r="79" spans="3:4" ht="20" customHeight="1">
      <c r="C79">
        <v>18</v>
      </c>
    </row>
  </sheetData>
  <autoFilter ref="B5:V57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phoneticPr fontId="19" type="noConversion"/>
  <conditionalFormatting sqref="R1:R59">
    <cfRule type="cellIs" dxfId="335" priority="58" operator="lessThan">
      <formula>0</formula>
    </cfRule>
  </conditionalFormatting>
  <conditionalFormatting sqref="U6:U7">
    <cfRule type="cellIs" dxfId="334" priority="16" operator="lessThan">
      <formula>0</formula>
    </cfRule>
  </conditionalFormatting>
  <conditionalFormatting sqref="U17">
    <cfRule type="cellIs" dxfId="333" priority="14" operator="lessThan">
      <formula>0</formula>
    </cfRule>
  </conditionalFormatting>
  <conditionalFormatting sqref="U25">
    <cfRule type="cellIs" dxfId="332" priority="13" operator="lessThan">
      <formula>0</formula>
    </cfRule>
  </conditionalFormatting>
  <conditionalFormatting sqref="U28">
    <cfRule type="cellIs" dxfId="331" priority="12" operator="lessThan">
      <formula>0</formula>
    </cfRule>
  </conditionalFormatting>
  <conditionalFormatting sqref="U36">
    <cfRule type="cellIs" dxfId="330" priority="11" operator="lessThan">
      <formula>0</formula>
    </cfRule>
  </conditionalFormatting>
  <conditionalFormatting sqref="U39">
    <cfRule type="cellIs" dxfId="329" priority="10" operator="lessThan">
      <formula>0</formula>
    </cfRule>
  </conditionalFormatting>
  <conditionalFormatting sqref="U42">
    <cfRule type="cellIs" dxfId="328" priority="9" operator="lessThan">
      <formula>0</formula>
    </cfRule>
  </conditionalFormatting>
  <conditionalFormatting sqref="U45">
    <cfRule type="cellIs" dxfId="327" priority="8" operator="lessThan">
      <formula>0</formula>
    </cfRule>
  </conditionalFormatting>
  <conditionalFormatting sqref="U48">
    <cfRule type="cellIs" dxfId="326" priority="7" operator="lessThan">
      <formula>0</formula>
    </cfRule>
  </conditionalFormatting>
  <conditionalFormatting sqref="U51">
    <cfRule type="cellIs" dxfId="325" priority="6" operator="lessThan">
      <formula>0</formula>
    </cfRule>
  </conditionalFormatting>
  <conditionalFormatting sqref="U54">
    <cfRule type="cellIs" dxfId="324" priority="5" operator="lessThan">
      <formula>0</formula>
    </cfRule>
  </conditionalFormatting>
  <conditionalFormatting sqref="R10:R15">
    <cfRule type="cellIs" dxfId="323" priority="4" operator="lessThan">
      <formula>0</formula>
    </cfRule>
  </conditionalFormatting>
  <conditionalFormatting sqref="U9">
    <cfRule type="cellIs" dxfId="322" priority="3" operator="lessThan">
      <formula>0</formula>
    </cfRule>
  </conditionalFormatting>
  <conditionalFormatting sqref="R18:R23">
    <cfRule type="cellIs" dxfId="321" priority="2" operator="lessThan">
      <formula>0</formula>
    </cfRule>
  </conditionalFormatting>
  <conditionalFormatting sqref="R29:R34">
    <cfRule type="cellIs" dxfId="320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FE3A4-02DE-43BE-992E-F049969F5761}">
  <sheetPr codeName="Sheet13">
    <tabColor rgb="FF00B050"/>
    <outlinePr summaryBelow="0" summaryRight="0"/>
    <pageSetUpPr fitToPage="1"/>
  </sheetPr>
  <dimension ref="A1:V64"/>
  <sheetViews>
    <sheetView showZeros="0" view="pageBreakPreview" zoomScaleNormal="100" zoomScaleSheetLayoutView="100" workbookViewId="0">
      <pane ySplit="5" topLeftCell="A6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7" width="8.83203125" customWidth="1" outlineLevel="1"/>
    <col min="8" max="8" width="34.83203125" customWidth="1"/>
    <col min="9" max="9" width="7.832031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ĐÀI ĐƠN CÒN LẠI - KHU LÕI - Mã CK:S21.12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81" t="s">
        <v>120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51" collapsed="1">
      <c r="A6" s="6"/>
      <c r="B6" s="174">
        <v>1</v>
      </c>
      <c r="C6" s="175"/>
      <c r="D6" s="261" t="str">
        <f>VLOOKUP(B6,$C$47:$E$64,2,0)</f>
        <v>ID-004</v>
      </c>
      <c r="E6" s="211" cm="1">
        <f t="array" ref="E6:I6">(_xlfn.XLOOKUP($D6,'B-1. THKL THEO ID'!$B:$B,('B-1. THKL THEO ID'!C:G),"N/A",0))</f>
        <v>0</v>
      </c>
      <c r="F6" s="211" t="str">
        <v>BOQ-004</v>
      </c>
      <c r="G6" s="211">
        <v>0</v>
      </c>
      <c r="H6" s="183" t="str">
        <v>Ván Khuôn gỗ bê tông lót móng (đài, giằng, sàn, hố bơm, rãnh nước, bê phốt)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VLOOKUP(B9,$C$47:$E$64,2,0)</f>
        <v>ID-004A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gỗ bê tông lót đài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17" collapsed="1">
      <c r="A12" s="6"/>
      <c r="B12" s="174">
        <v>3</v>
      </c>
      <c r="C12" s="175"/>
      <c r="D12" s="261" t="str">
        <f>VLOOKUP(B12,$C$47:$E$64,2,0)</f>
        <v>ID-005</v>
      </c>
      <c r="E12" s="211" t="str" cm="1">
        <f t="array" ref="E12:I12">(_xlfn.XLOOKUP($D12,'B-1. THKL THEO ID'!$B:$B,('B-1. THKL THEO ID'!C:G),"N/A",0))</f>
        <v>CBS</v>
      </c>
      <c r="F12" s="211" t="str">
        <v>BOQ-005</v>
      </c>
      <c r="G12" s="211">
        <v>0</v>
      </c>
      <c r="H12" s="183" t="str">
        <v>Bê tông lót móng M100</v>
      </c>
      <c r="I12" s="208" t="str">
        <v>m3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51" collapsed="1">
      <c r="A15" s="6"/>
      <c r="B15" s="174">
        <v>4</v>
      </c>
      <c r="C15" s="175"/>
      <c r="D15" s="261" t="str">
        <f>VLOOKUP(B15,$C$47:$E$64,2,0)</f>
        <v>ID-006</v>
      </c>
      <c r="E15" s="211" cm="1">
        <f t="array" ref="E15:I15">(_xlfn.XLOOKUP($D15,'B-1. THKL THEO ID'!$B:$B,('B-1. THKL THEO ID'!C:G),"N/A",0))</f>
        <v>0</v>
      </c>
      <c r="F15" s="211" t="str">
        <v>BOQ-006</v>
      </c>
      <c r="G15" s="211">
        <v>0</v>
      </c>
      <c r="H15" s="183" t="str">
        <v>Ván khuôn kim loại bê tông móng (đài, giằng, sàn, hố bơm, rãnh nước, bê phốt)</v>
      </c>
      <c r="I15" s="208" t="str">
        <v>100m2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17" collapsed="1">
      <c r="A18" s="6"/>
      <c r="B18" s="174">
        <v>5</v>
      </c>
      <c r="C18" s="175"/>
      <c r="D18" s="261" t="str">
        <f>VLOOKUP(B18,$C$47:$E$64,2,0)</f>
        <v>ID-006A</v>
      </c>
      <c r="E18" s="211" t="str" cm="1">
        <f t="array" ref="E18:I18">(_xlfn.XLOOKUP($D18,'B-1. THKL THEO ID'!$B:$B,('B-1. THKL THEO ID'!C:G),"N/A",0))</f>
        <v>CBS</v>
      </c>
      <c r="F18" s="211">
        <v>0</v>
      </c>
      <c r="G18" s="211">
        <v>0</v>
      </c>
      <c r="H18" s="183" t="str">
        <v>Ván khuôn gỗ ép bê tông đài móng</v>
      </c>
      <c r="I18" s="208" t="str">
        <v>m2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17" collapsed="1">
      <c r="A21" s="6"/>
      <c r="B21" s="174">
        <v>6</v>
      </c>
      <c r="C21" s="175"/>
      <c r="D21" s="261" t="str">
        <f>VLOOKUP(B21,$C$47:$E$64,2,0)</f>
        <v>ID-007A</v>
      </c>
      <c r="E21" s="211" cm="1">
        <f t="array" ref="E21:I21">(_xlfn.XLOOKUP($D21,'B-1. THKL THEO ID'!$B:$B,('B-1. THKL THEO ID'!C:G),"N/A",0))</f>
        <v>0</v>
      </c>
      <c r="F21" s="211" t="str">
        <v>BOQ-007</v>
      </c>
      <c r="G21" s="211">
        <v>0</v>
      </c>
      <c r="H21" s="183" t="str">
        <v>Thép móng D&lt;=10</v>
      </c>
      <c r="I21" s="208" t="str">
        <v>tấn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17" collapsed="1">
      <c r="A24" s="6"/>
      <c r="B24" s="174">
        <v>7</v>
      </c>
      <c r="C24" s="175"/>
      <c r="D24" s="261" t="str">
        <f>VLOOKUP(B24,$C$47:$E$64,2,0)</f>
        <v>ID-007B</v>
      </c>
      <c r="E24" s="211" cm="1">
        <f t="array" ref="E24:I24">(_xlfn.XLOOKUP($D24,'B-1. THKL THEO ID'!$B:$B,('B-1. THKL THEO ID'!C:G),"N/A",0))</f>
        <v>0</v>
      </c>
      <c r="F24" s="211" t="str">
        <v>BOQ-008</v>
      </c>
      <c r="G24" s="211">
        <v>0</v>
      </c>
      <c r="H24" s="183" t="str">
        <v>Thép móng D&lt;=18</v>
      </c>
      <c r="I24" s="208" t="str">
        <v>tấn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17" collapsed="1">
      <c r="A27" s="6"/>
      <c r="B27" s="174">
        <v>8</v>
      </c>
      <c r="C27" s="175"/>
      <c r="D27" s="261" t="str">
        <f>VLOOKUP(B27,$C$47:$E$64,2,0)</f>
        <v>ID-007C</v>
      </c>
      <c r="E27" s="211" cm="1">
        <f t="array" ref="E27:I27">(_xlfn.XLOOKUP($D27,'B-1. THKL THEO ID'!$B:$B,('B-1. THKL THEO ID'!C:G),"N/A",0))</f>
        <v>0</v>
      </c>
      <c r="F27" s="211" t="str">
        <v>BOQ-009</v>
      </c>
      <c r="G27" s="211">
        <v>0</v>
      </c>
      <c r="H27" s="183" t="str">
        <v>Thép móng D&gt;18</v>
      </c>
      <c r="I27" s="208" t="str">
        <v>tấn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178">
        <f>SUBTOTAL(9,U28:U28)</f>
        <v>0</v>
      </c>
      <c r="V27" s="177"/>
    </row>
    <row r="28" spans="1:22" s="2" customFormat="1" ht="16" hidden="1" outlineLevel="1">
      <c r="A28" s="6"/>
      <c r="B28" s="179"/>
      <c r="C28" s="180"/>
      <c r="D28" s="186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7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17" collapsed="1">
      <c r="A30" s="6"/>
      <c r="B30" s="174">
        <v>9</v>
      </c>
      <c r="C30" s="175"/>
      <c r="D30" s="261" t="str">
        <f>VLOOKUP(B30,$C$47:$E$64,2,0)</f>
        <v>ID-007</v>
      </c>
      <c r="E30" s="211" t="str" cm="1">
        <f t="array" ref="E30:I30">(_xlfn.XLOOKUP($D30,'B-1. THKL THEO ID'!$B:$B,('B-1. THKL THEO ID'!C:G),"N/A",0))</f>
        <v>CBS</v>
      </c>
      <c r="F30" s="211">
        <v>0</v>
      </c>
      <c r="G30" s="211">
        <v>0</v>
      </c>
      <c r="H30" s="183" t="str">
        <v>Thép móng full ( kg)</v>
      </c>
      <c r="I30" s="208" t="str">
        <v>kg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7" collapsed="1">
      <c r="A33" s="6"/>
      <c r="B33" s="174">
        <v>10</v>
      </c>
      <c r="C33" s="175"/>
      <c r="D33" s="261" t="str">
        <f>VLOOKUP(B33,$C$47:$E$64,2,0)</f>
        <v>ID-008</v>
      </c>
      <c r="E33" s="211" t="str" cm="1">
        <f t="array" ref="E33:I33">(_xlfn.XLOOKUP($D33,'B-1. THKL THEO ID'!$B:$B,('B-1. THKL THEO ID'!C:G),"N/A",0))</f>
        <v>CBS</v>
      </c>
      <c r="F33" s="211" t="str">
        <v>BOQ-010</v>
      </c>
      <c r="G33" s="211">
        <v>0</v>
      </c>
      <c r="H33" s="183" t="str">
        <v>Bê tông móng M400</v>
      </c>
      <c r="I33" s="208" t="str">
        <v>m3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209">
        <f>SUBTOTAL(9,U34:U35)</f>
        <v>0</v>
      </c>
      <c r="V33" s="177"/>
    </row>
    <row r="34" spans="1:22" s="2" customFormat="1" ht="16" hidden="1" outlineLevel="1">
      <c r="A34" s="6"/>
      <c r="B34" s="179"/>
      <c r="C34" s="180"/>
      <c r="D34" s="239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262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1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17" collapsed="1">
      <c r="A36" s="6"/>
      <c r="B36" s="174">
        <v>11</v>
      </c>
      <c r="C36" s="175"/>
      <c r="D36" s="261" t="str">
        <f>VLOOKUP(B36,$C$47:$E$64,2,0)</f>
        <v>ID-041</v>
      </c>
      <c r="E36" s="211" t="str" cm="1">
        <f t="array" ref="E36:I36">(_xlfn.XLOOKUP($D36,'B-1. THKL THEO ID'!$B:$B,('B-1. THKL THEO ID'!C:G),"N/A",0))</f>
        <v>CBS</v>
      </c>
      <c r="F36" s="211" t="str">
        <v>BOQ-062</v>
      </c>
      <c r="G36" s="211">
        <v>0</v>
      </c>
      <c r="H36" s="183" t="str">
        <v>Đập bê tông đầu cọc khoan nhồi</v>
      </c>
      <c r="I36" s="208" t="str">
        <v>m3</v>
      </c>
      <c r="J36" s="174"/>
      <c r="K36" s="174"/>
      <c r="L36" s="174"/>
      <c r="M36" s="176"/>
      <c r="N36" s="174"/>
      <c r="O36" s="177"/>
      <c r="P36" s="177"/>
      <c r="Q36" s="177"/>
      <c r="R36" s="178">
        <f>SUBTOTAL(9,R37:R38)</f>
        <v>0</v>
      </c>
      <c r="S36" s="177"/>
      <c r="T36" s="177"/>
      <c r="U36" s="178">
        <f>SUBTOTAL(9,U37:U37)</f>
        <v>0</v>
      </c>
      <c r="V36" s="177"/>
    </row>
    <row r="37" spans="1:22" s="2" customFormat="1" ht="16" hidden="1" outlineLevel="1">
      <c r="A37" s="6"/>
      <c r="B37" s="179"/>
      <c r="C37" s="180"/>
      <c r="D37" s="186"/>
      <c r="E37" s="213"/>
      <c r="F37" s="212"/>
      <c r="G37" s="212"/>
      <c r="H37" s="184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</row>
    <row r="38" spans="1:22" s="2" customFormat="1" ht="16" hidden="1" outlineLevel="1">
      <c r="A38" s="6"/>
      <c r="B38" s="181"/>
      <c r="C38" s="182"/>
      <c r="D38" s="187"/>
      <c r="E38" s="215"/>
      <c r="F38" s="214"/>
      <c r="G38" s="214"/>
      <c r="H38" s="185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s="2" customFormat="1" ht="34" collapsed="1">
      <c r="A39" s="6"/>
      <c r="B39" s="174">
        <v>12</v>
      </c>
      <c r="C39" s="175"/>
      <c r="D39" s="261" t="str">
        <f>VLOOKUP(B39,$C$47:$E$64,2,0)</f>
        <v>ID-042</v>
      </c>
      <c r="E39" s="211" t="str" cm="1">
        <f t="array" ref="E39:I39">(_xlfn.XLOOKUP($D39,'B-1. THKL THEO ID'!$B:$B,('B-1. THKL THEO ID'!C:G),"N/A",0))</f>
        <v>CBS</v>
      </c>
      <c r="F39" s="211" t="str">
        <v>BOQ-063</v>
      </c>
      <c r="G39" s="211">
        <v>0</v>
      </c>
      <c r="H39" s="183" t="str">
        <v>Xử lý liên kết thép đầu cọc và đài móng</v>
      </c>
      <c r="I39" s="208" t="str">
        <v>cọc</v>
      </c>
      <c r="J39" s="174"/>
      <c r="K39" s="174"/>
      <c r="L39" s="174"/>
      <c r="M39" s="176"/>
      <c r="N39" s="174"/>
      <c r="O39" s="177"/>
      <c r="P39" s="177"/>
      <c r="Q39" s="177"/>
      <c r="R39" s="178">
        <f>SUBTOTAL(9,R40:R41)</f>
        <v>0</v>
      </c>
      <c r="S39" s="177"/>
      <c r="T39" s="177"/>
      <c r="U39" s="209">
        <f>SUBTOTAL(9,U40:U41)</f>
        <v>0</v>
      </c>
      <c r="V39" s="177"/>
    </row>
    <row r="40" spans="1:22" s="2" customFormat="1" ht="16" hidden="1" outlineLevel="1">
      <c r="A40" s="6"/>
      <c r="B40" s="179"/>
      <c r="C40" s="180"/>
      <c r="D40" s="239"/>
      <c r="E40" s="213"/>
      <c r="F40" s="212"/>
      <c r="G40" s="212"/>
      <c r="H40" s="184"/>
      <c r="I40" s="179"/>
      <c r="J40" s="179"/>
      <c r="K40" s="179"/>
      <c r="L40" s="179"/>
      <c r="M40" s="179"/>
      <c r="N40" s="179"/>
      <c r="O40" s="179"/>
      <c r="P40" s="179"/>
      <c r="Q40" s="179"/>
      <c r="R40" s="262"/>
      <c r="S40" s="179"/>
      <c r="T40" s="179"/>
      <c r="U40" s="179"/>
      <c r="V40" s="179"/>
    </row>
    <row r="41" spans="1:22" s="2" customFormat="1" ht="16" hidden="1" outlineLevel="1">
      <c r="A41" s="6"/>
      <c r="B41" s="181"/>
      <c r="C41" s="182"/>
      <c r="D41" s="181"/>
      <c r="E41" s="215"/>
      <c r="F41" s="214"/>
      <c r="G41" s="214"/>
      <c r="H41" s="185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</row>
    <row r="42" spans="1:22" ht="20" customHeight="1">
      <c r="A42" s="2"/>
      <c r="B42" s="50"/>
      <c r="C42" s="51"/>
      <c r="D42" s="52"/>
      <c r="E42" s="53"/>
      <c r="F42" s="52"/>
      <c r="G42" s="52"/>
      <c r="H42" s="54"/>
      <c r="I42" s="52"/>
      <c r="J42" s="52"/>
      <c r="K42" s="52"/>
      <c r="L42" s="52"/>
      <c r="M42" s="52"/>
      <c r="N42" s="52"/>
      <c r="O42" s="52"/>
      <c r="P42" s="52"/>
      <c r="Q42" s="52"/>
      <c r="R42" s="55"/>
      <c r="S42" s="52"/>
      <c r="T42" s="52"/>
      <c r="U42" s="52"/>
      <c r="V42" s="52"/>
    </row>
    <row r="43" spans="1:22" ht="20" customHeight="1">
      <c r="A43" s="2"/>
      <c r="B43" s="27" t="s">
        <v>20</v>
      </c>
      <c r="C43" s="28">
        <v>3</v>
      </c>
      <c r="D43" s="27"/>
      <c r="E43" s="29"/>
      <c r="F43" s="27"/>
      <c r="G43" s="27"/>
      <c r="H43" s="30" t="s">
        <v>29</v>
      </c>
      <c r="I43" s="31"/>
      <c r="J43" s="31"/>
      <c r="K43" s="31"/>
      <c r="L43" s="31"/>
      <c r="M43" s="31"/>
      <c r="N43" s="31"/>
      <c r="O43" s="31"/>
      <c r="P43" s="31"/>
      <c r="Q43" s="31"/>
      <c r="R43" s="32">
        <f>SUBTOTAL(9,R6:R42)</f>
        <v>0</v>
      </c>
      <c r="S43" s="31"/>
      <c r="T43" s="31"/>
      <c r="U43" s="31"/>
      <c r="V43" s="31"/>
    </row>
    <row r="44" spans="1:22" s="2" customFormat="1" ht="20" customHeight="1">
      <c r="E44" s="7"/>
    </row>
    <row r="47" spans="1:22" ht="20" customHeight="1">
      <c r="C47">
        <v>1</v>
      </c>
      <c r="D47" s="239" t="s">
        <v>356</v>
      </c>
    </row>
    <row r="48" spans="1:22" ht="20" customHeight="1">
      <c r="C48">
        <v>2</v>
      </c>
      <c r="D48" s="239" t="s">
        <v>575</v>
      </c>
    </row>
    <row r="49" spans="3:4" ht="20" customHeight="1">
      <c r="C49">
        <v>3</v>
      </c>
      <c r="D49" s="239" t="s">
        <v>357</v>
      </c>
    </row>
    <row r="50" spans="3:4" ht="20" customHeight="1">
      <c r="C50">
        <v>4</v>
      </c>
      <c r="D50" s="239" t="s">
        <v>358</v>
      </c>
    </row>
    <row r="51" spans="3:4" ht="20" customHeight="1">
      <c r="C51">
        <v>5</v>
      </c>
      <c r="D51" s="239" t="s">
        <v>576</v>
      </c>
    </row>
    <row r="52" spans="3:4" ht="20" customHeight="1">
      <c r="C52">
        <v>6</v>
      </c>
      <c r="D52" s="239" t="s">
        <v>577</v>
      </c>
    </row>
    <row r="53" spans="3:4" ht="20" customHeight="1">
      <c r="C53">
        <v>7</v>
      </c>
      <c r="D53" s="239" t="s">
        <v>564</v>
      </c>
    </row>
    <row r="54" spans="3:4" ht="20" customHeight="1">
      <c r="C54">
        <v>8</v>
      </c>
      <c r="D54" s="239" t="s">
        <v>578</v>
      </c>
    </row>
    <row r="55" spans="3:4" ht="20" customHeight="1">
      <c r="C55">
        <v>9</v>
      </c>
      <c r="D55" s="239" t="s">
        <v>359</v>
      </c>
    </row>
    <row r="56" spans="3:4" ht="20" customHeight="1">
      <c r="C56">
        <v>10</v>
      </c>
      <c r="D56" s="239" t="s">
        <v>360</v>
      </c>
    </row>
    <row r="57" spans="3:4" ht="20" customHeight="1">
      <c r="C57">
        <v>11</v>
      </c>
      <c r="D57" s="239" t="s">
        <v>391</v>
      </c>
    </row>
    <row r="58" spans="3:4" ht="20" customHeight="1">
      <c r="C58">
        <v>12</v>
      </c>
      <c r="D58" s="239" t="s">
        <v>392</v>
      </c>
    </row>
    <row r="59" spans="3:4" ht="20" customHeight="1">
      <c r="C59">
        <v>13</v>
      </c>
    </row>
    <row r="60" spans="3:4" ht="20" customHeight="1">
      <c r="C60">
        <v>14</v>
      </c>
    </row>
    <row r="61" spans="3:4" ht="20" customHeight="1">
      <c r="C61">
        <v>15</v>
      </c>
    </row>
    <row r="62" spans="3:4" ht="20" customHeight="1">
      <c r="C62">
        <v>16</v>
      </c>
    </row>
    <row r="63" spans="3:4" ht="20" customHeight="1">
      <c r="C63">
        <v>17</v>
      </c>
    </row>
    <row r="64" spans="3:4" ht="20" customHeight="1">
      <c r="C64">
        <v>18</v>
      </c>
    </row>
  </sheetData>
  <autoFilter ref="B5:V42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44">
    <cfRule type="cellIs" dxfId="319" priority="19" operator="lessThan">
      <formula>0</formula>
    </cfRule>
  </conditionalFormatting>
  <conditionalFormatting sqref="U6">
    <cfRule type="cellIs" dxfId="318" priority="12" operator="lessThan">
      <formula>0</formula>
    </cfRule>
  </conditionalFormatting>
  <conditionalFormatting sqref="U9">
    <cfRule type="cellIs" dxfId="317" priority="11" operator="lessThan">
      <formula>0</formula>
    </cfRule>
  </conditionalFormatting>
  <conditionalFormatting sqref="U12">
    <cfRule type="cellIs" dxfId="316" priority="10" operator="lessThan">
      <formula>0</formula>
    </cfRule>
  </conditionalFormatting>
  <conditionalFormatting sqref="U15">
    <cfRule type="cellIs" dxfId="315" priority="9" operator="lessThan">
      <formula>0</formula>
    </cfRule>
  </conditionalFormatting>
  <conditionalFormatting sqref="U18">
    <cfRule type="cellIs" dxfId="314" priority="8" operator="lessThan">
      <formula>0</formula>
    </cfRule>
  </conditionalFormatting>
  <conditionalFormatting sqref="U21">
    <cfRule type="cellIs" dxfId="313" priority="7" operator="lessThan">
      <formula>0</formula>
    </cfRule>
  </conditionalFormatting>
  <conditionalFormatting sqref="U24">
    <cfRule type="cellIs" dxfId="312" priority="6" operator="lessThan">
      <formula>0</formula>
    </cfRule>
  </conditionalFormatting>
  <conditionalFormatting sqref="U27">
    <cfRule type="cellIs" dxfId="311" priority="5" operator="lessThan">
      <formula>0</formula>
    </cfRule>
  </conditionalFormatting>
  <conditionalFormatting sqref="U30">
    <cfRule type="cellIs" dxfId="310" priority="4" operator="lessThan">
      <formula>0</formula>
    </cfRule>
  </conditionalFormatting>
  <conditionalFormatting sqref="U33">
    <cfRule type="cellIs" dxfId="309" priority="3" operator="lessThan">
      <formula>0</formula>
    </cfRule>
  </conditionalFormatting>
  <conditionalFormatting sqref="U36">
    <cfRule type="cellIs" dxfId="308" priority="2" operator="lessThan">
      <formula>0</formula>
    </cfRule>
  </conditionalFormatting>
  <conditionalFormatting sqref="U39">
    <cfRule type="cellIs" dxfId="307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1D82-8AC2-4A7B-B1D4-631CF9DD1F87}">
  <sheetPr codeName="Sheet16">
    <tabColor rgb="FF00B050"/>
    <outlinePr summaryBelow="0" summaryRight="0"/>
    <pageSetUpPr fitToPage="1"/>
  </sheetPr>
  <dimension ref="A1:V61"/>
  <sheetViews>
    <sheetView showZeros="0" view="pageBreakPreview" topLeftCell="B1" zoomScale="85" zoomScaleNormal="100" zoomScaleSheetLayoutView="85" workbookViewId="0">
      <pane ySplit="5" topLeftCell="A6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GIẰNG, SÀN, RÃNH NƯỚC NỀN HẦM - KHU LÕI - Mã CK:S22.11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105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51" collapsed="1">
      <c r="A6" s="6"/>
      <c r="B6" s="174">
        <v>1</v>
      </c>
      <c r="C6" s="175"/>
      <c r="D6" s="261" t="str">
        <f>VLOOKUP(B6,$C$44:$E$61,2,0)</f>
        <v>ID-004</v>
      </c>
      <c r="E6" s="211" cm="1">
        <f t="array" ref="E6:I6">(_xlfn.XLOOKUP($D6,'B-1. THKL THEO ID'!$B:$B,('B-1. THKL THEO ID'!C:G),"N/A",0))</f>
        <v>0</v>
      </c>
      <c r="F6" s="211" t="str">
        <v>BOQ-004</v>
      </c>
      <c r="G6" s="211">
        <v>0</v>
      </c>
      <c r="H6" s="183" t="str">
        <v>Ván Khuôn gỗ bê tông lót móng (đài, giằng, sàn, hố bơm, rãnh nước, bê phốt)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34" collapsed="1">
      <c r="A9" s="6"/>
      <c r="B9" s="174">
        <v>2</v>
      </c>
      <c r="C9" s="175"/>
      <c r="D9" s="261" t="str">
        <f>VLOOKUP(B9,$C$44:$E$61,2,0)</f>
        <v>ID-004B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gỗ bê tông lót giằng, sàn nền, rãnh nước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51" collapsed="1">
      <c r="A12" s="6"/>
      <c r="B12" s="174">
        <v>3</v>
      </c>
      <c r="C12" s="175"/>
      <c r="D12" s="261" t="str">
        <f>VLOOKUP(B12,$C$44:$E$61,2,0)</f>
        <v>ID-006</v>
      </c>
      <c r="E12" s="211" cm="1">
        <f t="array" ref="E12:I12">(_xlfn.XLOOKUP($D12,'B-1. THKL THEO ID'!$B:$B,('B-1. THKL THEO ID'!C:G),"N/A",0))</f>
        <v>0</v>
      </c>
      <c r="F12" s="211" t="str">
        <v>BOQ-006</v>
      </c>
      <c r="G12" s="211">
        <v>0</v>
      </c>
      <c r="H12" s="183" t="str">
        <v>Ván khuôn kim loại bê tông móng (đài, giằng, sàn, hố bơm, rãnh nước, bê phốt)</v>
      </c>
      <c r="I12" s="208" t="str">
        <v>100m2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34" collapsed="1">
      <c r="A15" s="6"/>
      <c r="B15" s="174">
        <v>4</v>
      </c>
      <c r="C15" s="175"/>
      <c r="D15" s="261" t="str">
        <f>VLOOKUP(B15,$C$44:$E$61,2,0)</f>
        <v>ID-006B</v>
      </c>
      <c r="E15" s="211" t="str" cm="1">
        <f t="array" ref="E15:I15">(_xlfn.XLOOKUP($D15,'B-1. THKL THEO ID'!$B:$B,('B-1. THKL THEO ID'!C:G),"N/A",0))</f>
        <v>CBS</v>
      </c>
      <c r="F15" s="211">
        <v>0</v>
      </c>
      <c r="G15" s="211">
        <v>0</v>
      </c>
      <c r="H15" s="183" t="str">
        <v>Ván khuôn gỗ ép bê tông giằng, sàn, rãnh nước</v>
      </c>
      <c r="I15" s="208" t="str">
        <v>m2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34" collapsed="1">
      <c r="A18" s="6"/>
      <c r="B18" s="174">
        <v>5</v>
      </c>
      <c r="C18" s="175"/>
      <c r="D18" s="261" t="str">
        <f>VLOOKUP(B18,$C$44:$E$61,2,0)</f>
        <v>ID-009</v>
      </c>
      <c r="E18" s="211" t="str" cm="1">
        <f t="array" ref="E18:I18">(_xlfn.XLOOKUP($D18,'B-1. THKL THEO ID'!$B:$B,('B-1. THKL THEO ID'!C:G),"N/A",0))</f>
        <v>CBS</v>
      </c>
      <c r="F18" s="211" t="str">
        <v>BOQ-011</v>
      </c>
      <c r="G18" s="211">
        <v>0</v>
      </c>
      <c r="H18" s="183" t="str">
        <v>Bê tông lót nền hầm M100 (giằng, sàn, hố bơm, rãnh nước, bê phốt)</v>
      </c>
      <c r="I18" s="208" t="str">
        <v>m3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34" collapsed="1">
      <c r="A21" s="6"/>
      <c r="B21" s="174">
        <v>6</v>
      </c>
      <c r="C21" s="175"/>
      <c r="D21" s="261" t="str">
        <f>VLOOKUP(B21,$C$44:$E$61,2,0)</f>
        <v>ID-010</v>
      </c>
      <c r="E21" s="211" cm="1">
        <f t="array" ref="E21:I21">(_xlfn.XLOOKUP($D21,'B-1. THKL THEO ID'!$B:$B,('B-1. THKL THEO ID'!C:G),"N/A",0))</f>
        <v>0</v>
      </c>
      <c r="F21" s="211" t="str">
        <v>BOQ-012</v>
      </c>
      <c r="G21" s="211">
        <v>0</v>
      </c>
      <c r="H21" s="183" t="str">
        <v>Thép nền hầm D&gt;10 (giằng, sàn, hố bơm, rãnh nước, bê phốt)</v>
      </c>
      <c r="I21" s="208" t="str">
        <v>tấn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34" collapsed="1">
      <c r="A24" s="6"/>
      <c r="B24" s="174">
        <v>7</v>
      </c>
      <c r="C24" s="175"/>
      <c r="D24" s="261" t="str">
        <f>VLOOKUP(B24,$C$44:$E$61,2,0)</f>
        <v>ID-010A</v>
      </c>
      <c r="E24" s="211" t="str" cm="1">
        <f t="array" ref="E24:I24">(_xlfn.XLOOKUP($D24,'B-1. THKL THEO ID'!$B:$B,('B-1. THKL THEO ID'!C:G),"N/A",0))</f>
        <v>CBS</v>
      </c>
      <c r="F24" s="211">
        <v>0</v>
      </c>
      <c r="G24" s="211">
        <v>0</v>
      </c>
      <c r="H24" s="183" t="str">
        <v>Thép nền hầm full (giằng, sàn, hố bơm, rãnh nước, bê phốt)</v>
      </c>
      <c r="I24" s="208" t="str">
        <v>kg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51" collapsed="1">
      <c r="A27" s="6"/>
      <c r="B27" s="174">
        <v>8</v>
      </c>
      <c r="C27" s="175"/>
      <c r="D27" s="261" t="str">
        <f>VLOOKUP(B27,$C$44:$E$61,2,0)</f>
        <v>ID-011</v>
      </c>
      <c r="E27" s="211" cm="1">
        <f t="array" ref="E27:I27">(_xlfn.XLOOKUP($D27,'B-1. THKL THEO ID'!$B:$B,('B-1. THKL THEO ID'!C:G),"N/A",0))</f>
        <v>0</v>
      </c>
      <c r="F27" s="211" t="str">
        <v>BOQ-013</v>
      </c>
      <c r="G27" s="211">
        <v>0</v>
      </c>
      <c r="H27" s="183" t="str">
        <v>Bê tông nền hầm M400 ( Bao gồm: giằng, sàn, rãnh nước- M400 W10; hố bơm, bể phốt M300 W10))</v>
      </c>
      <c r="I27" s="208" t="str">
        <v>m3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178">
        <f>SUBTOTAL(9,U28:U28)</f>
        <v>0</v>
      </c>
      <c r="V27" s="177"/>
    </row>
    <row r="28" spans="1:22" s="2" customFormat="1" ht="16" hidden="1" outlineLevel="1">
      <c r="A28" s="6"/>
      <c r="B28" s="179"/>
      <c r="C28" s="180"/>
      <c r="D28" s="186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7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34" collapsed="1">
      <c r="A30" s="6"/>
      <c r="B30" s="174">
        <v>9</v>
      </c>
      <c r="C30" s="175"/>
      <c r="D30" s="261" t="str">
        <f>VLOOKUP(B30,$C$44:$E$61,2,0)</f>
        <v>ID-011A</v>
      </c>
      <c r="E30" s="211" t="str" cm="1">
        <f t="array" ref="E30:I30">(_xlfn.XLOOKUP($D30,'B-1. THKL THEO ID'!$B:$B,('B-1. THKL THEO ID'!C:G),"N/A",0))</f>
        <v>CBS</v>
      </c>
      <c r="F30" s="211">
        <v>0</v>
      </c>
      <c r="G30" s="211">
        <v>0</v>
      </c>
      <c r="H30" s="183" t="str">
        <v>Bê tông giằng, sàn, rãnh nước hầm M400 cấp chống thấm W10</v>
      </c>
      <c r="I30" s="208" t="str">
        <v>m3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7" collapsed="1">
      <c r="A33" s="6"/>
      <c r="B33" s="174">
        <v>10</v>
      </c>
      <c r="C33" s="175"/>
      <c r="D33" s="261" t="str">
        <f>VLOOKUP(B33,$C$44:$E$61,2,0)</f>
        <v>ID-037</v>
      </c>
      <c r="E33" s="211" t="str" cm="1">
        <f t="array" ref="E33:I33">(_xlfn.XLOOKUP($D33,'B-1. THKL THEO ID'!$B:$B,('B-1. THKL THEO ID'!C:G),"N/A",0))</f>
        <v>CBS</v>
      </c>
      <c r="F33" s="211" t="str">
        <v>BOQ-058</v>
      </c>
      <c r="G33" s="211">
        <v>0</v>
      </c>
      <c r="H33" s="183" t="str">
        <v xml:space="preserve">Chống thấm nền hầm </v>
      </c>
      <c r="I33" s="208" t="str">
        <v>m2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209">
        <f>SUBTOTAL(9,U34:U35)</f>
        <v>0</v>
      </c>
      <c r="V33" s="177"/>
    </row>
    <row r="34" spans="1:22" s="2" customFormat="1" ht="16" hidden="1" outlineLevel="1">
      <c r="A34" s="6"/>
      <c r="B34" s="179"/>
      <c r="C34" s="180"/>
      <c r="D34" s="239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262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1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17" collapsed="1">
      <c r="A36" s="6"/>
      <c r="B36" s="174">
        <v>11</v>
      </c>
      <c r="C36" s="175"/>
      <c r="D36" s="261" t="str">
        <f>VLOOKUP(B36,$C$44:$E$61,2,0)</f>
        <v>ID-039</v>
      </c>
      <c r="E36" s="211" t="str" cm="1">
        <f t="array" ref="E36:I36">(_xlfn.XLOOKUP($D36,'B-1. THKL THEO ID'!$B:$B,('B-1. THKL THEO ID'!C:G),"N/A",0))</f>
        <v>CBS</v>
      </c>
      <c r="F36" s="211" t="str">
        <v>BOQ-060</v>
      </c>
      <c r="G36" s="211">
        <v>0</v>
      </c>
      <c r="H36" s="183" t="str">
        <v xml:space="preserve">Chống mối nền hầm </v>
      </c>
      <c r="I36" s="208" t="str">
        <v>m2</v>
      </c>
      <c r="J36" s="174"/>
      <c r="K36" s="174"/>
      <c r="L36" s="174"/>
      <c r="M36" s="176"/>
      <c r="N36" s="174"/>
      <c r="O36" s="177"/>
      <c r="P36" s="177"/>
      <c r="Q36" s="177"/>
      <c r="R36" s="178">
        <f>SUBTOTAL(9,R37:R38)</f>
        <v>0</v>
      </c>
      <c r="S36" s="177"/>
      <c r="T36" s="177"/>
      <c r="U36" s="178">
        <f>SUBTOTAL(9,U37:U37)</f>
        <v>0</v>
      </c>
      <c r="V36" s="177"/>
    </row>
    <row r="37" spans="1:22" s="2" customFormat="1" ht="16" hidden="1" outlineLevel="1">
      <c r="A37" s="6"/>
      <c r="B37" s="179"/>
      <c r="C37" s="180"/>
      <c r="D37" s="186"/>
      <c r="E37" s="213"/>
      <c r="F37" s="212"/>
      <c r="G37" s="212"/>
      <c r="H37" s="184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</row>
    <row r="38" spans="1:22" s="2" customFormat="1" ht="16" hidden="1" outlineLevel="1">
      <c r="A38" s="6"/>
      <c r="B38" s="181"/>
      <c r="C38" s="182"/>
      <c r="D38" s="187"/>
      <c r="E38" s="215"/>
      <c r="F38" s="214"/>
      <c r="G38" s="214"/>
      <c r="H38" s="185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ht="20" customHeight="1">
      <c r="A39" s="2"/>
      <c r="B39" s="50"/>
      <c r="C39" s="51"/>
      <c r="D39" s="52"/>
      <c r="E39" s="53"/>
      <c r="F39" s="52"/>
      <c r="G39" s="52"/>
      <c r="H39" s="54"/>
      <c r="I39" s="52"/>
      <c r="J39" s="52"/>
      <c r="K39" s="52"/>
      <c r="L39" s="52"/>
      <c r="M39" s="52"/>
      <c r="N39" s="52"/>
      <c r="O39" s="52"/>
      <c r="P39" s="52"/>
      <c r="Q39" s="52"/>
      <c r="R39" s="55"/>
      <c r="S39" s="52"/>
      <c r="T39" s="52"/>
      <c r="U39" s="52"/>
      <c r="V39" s="52"/>
    </row>
    <row r="40" spans="1:22" ht="20" customHeight="1">
      <c r="A40" s="2"/>
      <c r="B40" s="27" t="s">
        <v>20</v>
      </c>
      <c r="C40" s="28">
        <v>3</v>
      </c>
      <c r="D40" s="27"/>
      <c r="E40" s="29"/>
      <c r="F40" s="27"/>
      <c r="G40" s="27"/>
      <c r="H40" s="30" t="s">
        <v>29</v>
      </c>
      <c r="I40" s="31"/>
      <c r="J40" s="31"/>
      <c r="K40" s="31"/>
      <c r="L40" s="31"/>
      <c r="M40" s="31"/>
      <c r="N40" s="31"/>
      <c r="O40" s="31"/>
      <c r="P40" s="31"/>
      <c r="Q40" s="31"/>
      <c r="R40" s="32">
        <f>SUBTOTAL(9,R6:R39)</f>
        <v>0</v>
      </c>
      <c r="S40" s="31"/>
      <c r="T40" s="31"/>
      <c r="U40" s="31"/>
      <c r="V40" s="31"/>
    </row>
    <row r="41" spans="1:22" s="2" customFormat="1" ht="20" customHeight="1">
      <c r="E41" s="7"/>
    </row>
    <row r="44" spans="1:22" ht="20" customHeight="1">
      <c r="C44">
        <v>1</v>
      </c>
      <c r="D44" s="239" t="s">
        <v>356</v>
      </c>
    </row>
    <row r="45" spans="1:22" ht="20" customHeight="1">
      <c r="C45">
        <v>2</v>
      </c>
      <c r="D45" s="239" t="s">
        <v>562</v>
      </c>
    </row>
    <row r="46" spans="1:22" ht="20" customHeight="1">
      <c r="C46">
        <v>3</v>
      </c>
      <c r="D46" s="239" t="s">
        <v>358</v>
      </c>
    </row>
    <row r="47" spans="1:22" ht="20" customHeight="1">
      <c r="C47">
        <v>4</v>
      </c>
      <c r="D47" s="239" t="s">
        <v>563</v>
      </c>
    </row>
    <row r="48" spans="1:22" ht="20" customHeight="1">
      <c r="C48">
        <v>5</v>
      </c>
      <c r="D48" s="239" t="s">
        <v>369</v>
      </c>
    </row>
    <row r="49" spans="3:4" ht="20" customHeight="1">
      <c r="C49">
        <v>6</v>
      </c>
      <c r="D49" s="239" t="s">
        <v>377</v>
      </c>
    </row>
    <row r="50" spans="3:4" ht="20" customHeight="1">
      <c r="C50">
        <v>7</v>
      </c>
      <c r="D50" s="239" t="s">
        <v>584</v>
      </c>
    </row>
    <row r="51" spans="3:4" ht="20" customHeight="1">
      <c r="C51">
        <v>8</v>
      </c>
      <c r="D51" s="239" t="s">
        <v>361</v>
      </c>
    </row>
    <row r="52" spans="3:4" ht="20" customHeight="1">
      <c r="C52">
        <v>9</v>
      </c>
      <c r="D52" s="239" t="s">
        <v>585</v>
      </c>
    </row>
    <row r="53" spans="3:4" ht="20" customHeight="1">
      <c r="C53">
        <v>10</v>
      </c>
      <c r="D53" s="239" t="s">
        <v>387</v>
      </c>
    </row>
    <row r="54" spans="3:4" ht="20" customHeight="1">
      <c r="C54">
        <v>11</v>
      </c>
      <c r="D54" s="239" t="s">
        <v>389</v>
      </c>
    </row>
    <row r="55" spans="3:4" ht="20" customHeight="1">
      <c r="C55">
        <v>12</v>
      </c>
    </row>
    <row r="56" spans="3:4" ht="20" customHeight="1">
      <c r="C56">
        <v>13</v>
      </c>
    </row>
    <row r="57" spans="3:4" ht="20" customHeight="1">
      <c r="C57">
        <v>14</v>
      </c>
    </row>
    <row r="58" spans="3:4" ht="20" customHeight="1">
      <c r="C58">
        <v>15</v>
      </c>
    </row>
    <row r="59" spans="3:4" ht="20" customHeight="1">
      <c r="C59">
        <v>16</v>
      </c>
    </row>
    <row r="60" spans="3:4" ht="20" customHeight="1">
      <c r="C60">
        <v>17</v>
      </c>
    </row>
    <row r="61" spans="3:4" ht="20" customHeight="1">
      <c r="C61">
        <v>18</v>
      </c>
      <c r="D61" s="239"/>
    </row>
  </sheetData>
  <autoFilter ref="B5:V39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41">
    <cfRule type="cellIs" dxfId="306" priority="19" operator="lessThan">
      <formula>0</formula>
    </cfRule>
  </conditionalFormatting>
  <conditionalFormatting sqref="U6">
    <cfRule type="cellIs" dxfId="305" priority="12" operator="lessThan">
      <formula>0</formula>
    </cfRule>
  </conditionalFormatting>
  <conditionalFormatting sqref="U9">
    <cfRule type="cellIs" dxfId="304" priority="11" operator="lessThan">
      <formula>0</formula>
    </cfRule>
  </conditionalFormatting>
  <conditionalFormatting sqref="U12">
    <cfRule type="cellIs" dxfId="303" priority="10" operator="lessThan">
      <formula>0</formula>
    </cfRule>
  </conditionalFormatting>
  <conditionalFormatting sqref="U15">
    <cfRule type="cellIs" dxfId="302" priority="9" operator="lessThan">
      <formula>0</formula>
    </cfRule>
  </conditionalFormatting>
  <conditionalFormatting sqref="U18">
    <cfRule type="cellIs" dxfId="301" priority="8" operator="lessThan">
      <formula>0</formula>
    </cfRule>
  </conditionalFormatting>
  <conditionalFormatting sqref="U21">
    <cfRule type="cellIs" dxfId="300" priority="7" operator="lessThan">
      <formula>0</formula>
    </cfRule>
  </conditionalFormatting>
  <conditionalFormatting sqref="U24">
    <cfRule type="cellIs" dxfId="299" priority="6" operator="lessThan">
      <formula>0</formula>
    </cfRule>
  </conditionalFormatting>
  <conditionalFormatting sqref="U27">
    <cfRule type="cellIs" dxfId="298" priority="5" operator="lessThan">
      <formula>0</formula>
    </cfRule>
  </conditionalFormatting>
  <conditionalFormatting sqref="U30">
    <cfRule type="cellIs" dxfId="297" priority="4" operator="lessThan">
      <formula>0</formula>
    </cfRule>
  </conditionalFormatting>
  <conditionalFormatting sqref="U33">
    <cfRule type="cellIs" dxfId="296" priority="3" operator="lessThan">
      <formula>0</formula>
    </cfRule>
  </conditionalFormatting>
  <conditionalFormatting sqref="U36">
    <cfRule type="cellIs" dxfId="295" priority="2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7588B-3CB5-466E-B269-AA25958CA190}">
  <sheetPr codeName="Sheet17">
    <tabColor rgb="FF00B050"/>
    <outlinePr summaryBelow="0" summaryRight="0"/>
    <pageSetUpPr fitToPage="1"/>
  </sheetPr>
  <dimension ref="A1:V55"/>
  <sheetViews>
    <sheetView showZeros="0" view="pageBreakPreview" topLeftCell="B1" zoomScaleNormal="100" zoomScaleSheetLayoutView="100" workbookViewId="0">
      <pane ySplit="5" topLeftCell="A36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HỐ BƠM, BỂ PHỐT - Mã CK:S33.13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508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51" collapsed="1">
      <c r="A6" s="6"/>
      <c r="B6" s="174">
        <v>1</v>
      </c>
      <c r="C6" s="175"/>
      <c r="D6" s="261" t="str">
        <f>VLOOKUP(B6,$C$38:$E$55,2,0)</f>
        <v>ID-004</v>
      </c>
      <c r="E6" s="211" cm="1">
        <f t="array" ref="E6:I6">(_xlfn.XLOOKUP($D6,'B-1. THKL THEO ID'!$B:$B,('B-1. THKL THEO ID'!C:G),"N/A",0))</f>
        <v>0</v>
      </c>
      <c r="F6" s="211" t="str">
        <v>BOQ-004</v>
      </c>
      <c r="G6" s="211">
        <v>0</v>
      </c>
      <c r="H6" s="183" t="str">
        <v>Ván Khuôn gỗ bê tông lót móng (đài, giằng, sàn, hố bơm, rãnh nước, bê phốt)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34" collapsed="1">
      <c r="A9" s="6"/>
      <c r="B9" s="174">
        <v>2</v>
      </c>
      <c r="C9" s="175"/>
      <c r="D9" s="261" t="str">
        <f>VLOOKUP(B9,$C$38:$E$55,2,0)</f>
        <v>ID-004C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gỗ bê tông lót hố bơm, bê phốt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51" collapsed="1">
      <c r="A12" s="6"/>
      <c r="B12" s="174">
        <v>3</v>
      </c>
      <c r="C12" s="175"/>
      <c r="D12" s="261" t="str">
        <f>VLOOKUP(B12,$C$38:$E$55,2,0)</f>
        <v>ID-006</v>
      </c>
      <c r="E12" s="211" cm="1">
        <f t="array" ref="E12:I12">(_xlfn.XLOOKUP($D12,'B-1. THKL THEO ID'!$B:$B,('B-1. THKL THEO ID'!C:G),"N/A",0))</f>
        <v>0</v>
      </c>
      <c r="F12" s="211" t="str">
        <v>BOQ-006</v>
      </c>
      <c r="G12" s="211">
        <v>0</v>
      </c>
      <c r="H12" s="183" t="str">
        <v>Ván khuôn kim loại bê tông móng (đài, giằng, sàn, hố bơm, rãnh nước, bê phốt)</v>
      </c>
      <c r="I12" s="208" t="str">
        <v>100m2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34" collapsed="1">
      <c r="A15" s="6"/>
      <c r="B15" s="174">
        <v>4</v>
      </c>
      <c r="C15" s="175"/>
      <c r="D15" s="261" t="str">
        <f>VLOOKUP(B15,$C$38:$E$55,2,0)</f>
        <v>ID-006C</v>
      </c>
      <c r="E15" s="211" t="str" cm="1">
        <f t="array" ref="E15:I15">(_xlfn.XLOOKUP($D15,'B-1. THKL THEO ID'!$B:$B,('B-1. THKL THEO ID'!C:G),"N/A",0))</f>
        <v>CBS</v>
      </c>
      <c r="F15" s="211">
        <v>0</v>
      </c>
      <c r="G15" s="211">
        <v>0</v>
      </c>
      <c r="H15" s="183" t="str">
        <v>Ván khuôn gỗ ép bê tông hố bơm, bê phốt</v>
      </c>
      <c r="I15" s="208" t="str">
        <v>m2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34" collapsed="1">
      <c r="A18" s="6"/>
      <c r="B18" s="174">
        <v>5</v>
      </c>
      <c r="C18" s="175"/>
      <c r="D18" s="261" t="str">
        <f>VLOOKUP(B18,$C$38:$E$55,2,0)</f>
        <v>ID-009</v>
      </c>
      <c r="E18" s="211" t="str" cm="1">
        <f t="array" ref="E18:I18">(_xlfn.XLOOKUP($D18,'B-1. THKL THEO ID'!$B:$B,('B-1. THKL THEO ID'!C:G),"N/A",0))</f>
        <v>CBS</v>
      </c>
      <c r="F18" s="211" t="str">
        <v>BOQ-011</v>
      </c>
      <c r="G18" s="211">
        <v>0</v>
      </c>
      <c r="H18" s="183" t="str">
        <v>Bê tông lót nền hầm M100 (giằng, sàn, hố bơm, rãnh nước, bê phốt)</v>
      </c>
      <c r="I18" s="208" t="str">
        <v>m3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34" collapsed="1">
      <c r="A21" s="6"/>
      <c r="B21" s="174">
        <v>6</v>
      </c>
      <c r="C21" s="175"/>
      <c r="D21" s="261" t="str">
        <f>VLOOKUP(B21,$C$38:$E$55,2,0)</f>
        <v>ID-010</v>
      </c>
      <c r="E21" s="211" cm="1">
        <f t="array" ref="E21:I21">(_xlfn.XLOOKUP($D21,'B-1. THKL THEO ID'!$B:$B,('B-1. THKL THEO ID'!C:G),"N/A",0))</f>
        <v>0</v>
      </c>
      <c r="F21" s="211" t="str">
        <v>BOQ-012</v>
      </c>
      <c r="G21" s="211">
        <v>0</v>
      </c>
      <c r="H21" s="183" t="str">
        <v>Thép nền hầm D&gt;10 (giằng, sàn, hố bơm, rãnh nước, bê phốt)</v>
      </c>
      <c r="I21" s="208" t="str">
        <v>tấn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34" collapsed="1">
      <c r="A24" s="6"/>
      <c r="B24" s="174">
        <v>7</v>
      </c>
      <c r="C24" s="175"/>
      <c r="D24" s="261" t="str">
        <f>VLOOKUP(B24,$C$38:$E$55,2,0)</f>
        <v>ID-010A</v>
      </c>
      <c r="E24" s="211" t="str" cm="1">
        <f t="array" ref="E24:I24">(_xlfn.XLOOKUP($D24,'B-1. THKL THEO ID'!$B:$B,('B-1. THKL THEO ID'!C:G),"N/A",0))</f>
        <v>CBS</v>
      </c>
      <c r="F24" s="211">
        <v>0</v>
      </c>
      <c r="G24" s="211">
        <v>0</v>
      </c>
      <c r="H24" s="183" t="str">
        <v>Thép nền hầm full (giằng, sàn, hố bơm, rãnh nước, bê phốt)</v>
      </c>
      <c r="I24" s="208" t="str">
        <v>kg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51" collapsed="1">
      <c r="A27" s="6"/>
      <c r="B27" s="174">
        <v>8</v>
      </c>
      <c r="C27" s="175"/>
      <c r="D27" s="261" t="str">
        <f>VLOOKUP(B27,$C$38:$E$55,2,0)</f>
        <v>ID-011</v>
      </c>
      <c r="E27" s="211" cm="1">
        <f t="array" ref="E27:I27">(_xlfn.XLOOKUP($D27,'B-1. THKL THEO ID'!$B:$B,('B-1. THKL THEO ID'!C:G),"N/A",0))</f>
        <v>0</v>
      </c>
      <c r="F27" s="211" t="str">
        <v>BOQ-013</v>
      </c>
      <c r="G27" s="211">
        <v>0</v>
      </c>
      <c r="H27" s="183" t="str">
        <v>Bê tông nền hầm M400 ( Bao gồm: giằng, sàn, rãnh nước- M400 W10; hố bơm, bể phốt M300 W10))</v>
      </c>
      <c r="I27" s="208" t="str">
        <v>m3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178">
        <f>SUBTOTAL(9,U28:U28)</f>
        <v>0</v>
      </c>
      <c r="V27" s="177"/>
    </row>
    <row r="28" spans="1:22" s="2" customFormat="1" ht="16" hidden="1" outlineLevel="1">
      <c r="A28" s="6"/>
      <c r="B28" s="179"/>
      <c r="C28" s="180"/>
      <c r="D28" s="186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7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34" collapsed="1">
      <c r="A30" s="6"/>
      <c r="B30" s="174">
        <v>9</v>
      </c>
      <c r="C30" s="175"/>
      <c r="D30" s="261" t="str">
        <f>VLOOKUP(B30,$C$38:$E$55,2,0)</f>
        <v>ID-011B</v>
      </c>
      <c r="E30" s="211" t="str" cm="1">
        <f t="array" ref="E30:I30">(_xlfn.XLOOKUP($D30,'B-1. THKL THEO ID'!$B:$B,('B-1. THKL THEO ID'!C:G),"N/A",0))</f>
        <v>CBS</v>
      </c>
      <c r="F30" s="211">
        <v>0</v>
      </c>
      <c r="G30" s="211">
        <v>0</v>
      </c>
      <c r="H30" s="183" t="str">
        <v>Bê tông hố bơm, bể phốt  M300 cấp chống thấm W10</v>
      </c>
      <c r="I30" s="208" t="str">
        <v>m3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ht="20" customHeight="1">
      <c r="A33" s="2"/>
      <c r="B33" s="50"/>
      <c r="C33" s="51"/>
      <c r="D33" s="52"/>
      <c r="E33" s="53"/>
      <c r="F33" s="52"/>
      <c r="G33" s="52"/>
      <c r="H33" s="54"/>
      <c r="I33" s="52"/>
      <c r="J33" s="52"/>
      <c r="K33" s="52"/>
      <c r="L33" s="52"/>
      <c r="M33" s="52"/>
      <c r="N33" s="52"/>
      <c r="O33" s="52"/>
      <c r="P33" s="52"/>
      <c r="Q33" s="52"/>
      <c r="R33" s="55"/>
      <c r="S33" s="52"/>
      <c r="T33" s="52"/>
      <c r="U33" s="52"/>
      <c r="V33" s="52"/>
    </row>
    <row r="34" spans="1:22" ht="20" customHeight="1">
      <c r="A34" s="2"/>
      <c r="B34" s="27" t="s">
        <v>20</v>
      </c>
      <c r="C34" s="28">
        <v>3</v>
      </c>
      <c r="D34" s="27"/>
      <c r="E34" s="29"/>
      <c r="F34" s="27"/>
      <c r="G34" s="27"/>
      <c r="H34" s="30" t="s">
        <v>29</v>
      </c>
      <c r="I34" s="31"/>
      <c r="J34" s="31"/>
      <c r="K34" s="31"/>
      <c r="L34" s="31"/>
      <c r="M34" s="31"/>
      <c r="N34" s="31"/>
      <c r="O34" s="31"/>
      <c r="P34" s="31"/>
      <c r="Q34" s="31"/>
      <c r="R34" s="32">
        <f>SUBTOTAL(9,R6:R33)</f>
        <v>0</v>
      </c>
      <c r="S34" s="31"/>
      <c r="T34" s="31"/>
      <c r="U34" s="31"/>
      <c r="V34" s="31"/>
    </row>
    <row r="35" spans="1:22" s="2" customFormat="1" ht="20" customHeight="1">
      <c r="E35" s="7"/>
    </row>
    <row r="38" spans="1:22" ht="20" customHeight="1">
      <c r="C38">
        <v>1</v>
      </c>
      <c r="D38" s="239" t="s">
        <v>356</v>
      </c>
    </row>
    <row r="39" spans="1:22" ht="20" customHeight="1">
      <c r="C39">
        <v>2</v>
      </c>
      <c r="D39" s="239" t="s">
        <v>586</v>
      </c>
    </row>
    <row r="40" spans="1:22" ht="20" customHeight="1">
      <c r="C40">
        <v>3</v>
      </c>
      <c r="D40" s="239" t="s">
        <v>358</v>
      </c>
    </row>
    <row r="41" spans="1:22" ht="20" customHeight="1">
      <c r="C41">
        <v>4</v>
      </c>
      <c r="D41" s="239" t="s">
        <v>587</v>
      </c>
    </row>
    <row r="42" spans="1:22" ht="20" customHeight="1">
      <c r="C42">
        <v>5</v>
      </c>
      <c r="D42" s="239" t="s">
        <v>369</v>
      </c>
    </row>
    <row r="43" spans="1:22" ht="20" customHeight="1">
      <c r="C43">
        <v>6</v>
      </c>
      <c r="D43" s="239" t="s">
        <v>377</v>
      </c>
    </row>
    <row r="44" spans="1:22" ht="20" customHeight="1">
      <c r="C44">
        <v>7</v>
      </c>
      <c r="D44" s="239" t="s">
        <v>584</v>
      </c>
    </row>
    <row r="45" spans="1:22" ht="20" customHeight="1">
      <c r="C45">
        <v>8</v>
      </c>
      <c r="D45" s="239" t="s">
        <v>361</v>
      </c>
    </row>
    <row r="46" spans="1:22" ht="20" customHeight="1">
      <c r="C46">
        <v>9</v>
      </c>
      <c r="D46" s="239" t="s">
        <v>565</v>
      </c>
    </row>
    <row r="47" spans="1:22" ht="20" customHeight="1">
      <c r="C47">
        <v>10</v>
      </c>
    </row>
    <row r="48" spans="1:22" ht="20" customHeight="1">
      <c r="C48">
        <v>11</v>
      </c>
    </row>
    <row r="49" spans="3:4" ht="20" customHeight="1">
      <c r="C49">
        <v>12</v>
      </c>
    </row>
    <row r="50" spans="3:4" ht="20" customHeight="1">
      <c r="C50">
        <v>13</v>
      </c>
    </row>
    <row r="51" spans="3:4" ht="20" customHeight="1">
      <c r="C51">
        <v>14</v>
      </c>
    </row>
    <row r="52" spans="3:4" ht="20" customHeight="1">
      <c r="C52">
        <v>15</v>
      </c>
    </row>
    <row r="53" spans="3:4" ht="20" customHeight="1">
      <c r="C53">
        <v>16</v>
      </c>
      <c r="D53" s="239"/>
    </row>
    <row r="54" spans="3:4" ht="20" customHeight="1">
      <c r="C54">
        <v>17</v>
      </c>
      <c r="D54" s="239"/>
    </row>
    <row r="55" spans="3:4" ht="20" customHeight="1">
      <c r="C55">
        <v>18</v>
      </c>
      <c r="D55" s="239"/>
    </row>
  </sheetData>
  <autoFilter ref="B5:V33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35">
    <cfRule type="cellIs" dxfId="294" priority="19" operator="lessThan">
      <formula>0</formula>
    </cfRule>
  </conditionalFormatting>
  <conditionalFormatting sqref="U6">
    <cfRule type="cellIs" dxfId="293" priority="12" operator="lessThan">
      <formula>0</formula>
    </cfRule>
  </conditionalFormatting>
  <conditionalFormatting sqref="U9">
    <cfRule type="cellIs" dxfId="292" priority="11" operator="lessThan">
      <formula>0</formula>
    </cfRule>
  </conditionalFormatting>
  <conditionalFormatting sqref="U12">
    <cfRule type="cellIs" dxfId="291" priority="10" operator="lessThan">
      <formula>0</formula>
    </cfRule>
  </conditionalFormatting>
  <conditionalFormatting sqref="U15">
    <cfRule type="cellIs" dxfId="290" priority="9" operator="lessThan">
      <formula>0</formula>
    </cfRule>
  </conditionalFormatting>
  <conditionalFormatting sqref="U18">
    <cfRule type="cellIs" dxfId="289" priority="8" operator="lessThan">
      <formula>0</formula>
    </cfRule>
  </conditionalFormatting>
  <conditionalFormatting sqref="U21">
    <cfRule type="cellIs" dxfId="288" priority="7" operator="lessThan">
      <formula>0</formula>
    </cfRule>
  </conditionalFormatting>
  <conditionalFormatting sqref="U24">
    <cfRule type="cellIs" dxfId="287" priority="6" operator="lessThan">
      <formula>0</formula>
    </cfRule>
  </conditionalFormatting>
  <conditionalFormatting sqref="U27">
    <cfRule type="cellIs" dxfId="286" priority="5" operator="lessThan">
      <formula>0</formula>
    </cfRule>
  </conditionalFormatting>
  <conditionalFormatting sqref="U30">
    <cfRule type="cellIs" dxfId="285" priority="4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508D2-46B4-4938-AA5F-1747B94B2D44}">
  <sheetPr codeName="Sheet18">
    <tabColor rgb="FF00B050"/>
    <outlinePr summaryBelow="0" summaryRight="0"/>
    <pageSetUpPr fitToPage="1"/>
  </sheetPr>
  <dimension ref="A1:V57"/>
  <sheetViews>
    <sheetView showZeros="0" view="pageBreakPreview" topLeftCell="B1" zoomScaleNormal="100" zoomScaleSheetLayoutView="100" workbookViewId="0">
      <pane ySplit="5" topLeftCell="A37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TƯỜNG BAO TẦNG HẦM - KHU LÕI - Mã CK:S23.11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106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17" collapsed="1">
      <c r="A6" s="6"/>
      <c r="B6" s="174">
        <v>1</v>
      </c>
      <c r="C6" s="175"/>
      <c r="D6" s="261" t="str">
        <f>VLOOKUP(B6,$C$41:$E$57,2,0)</f>
        <v>ID-012A</v>
      </c>
      <c r="E6" s="211" t="str" cm="1">
        <f t="array" ref="E6:I6">(_xlfn.XLOOKUP($D6,'B-1. THKL THEO ID'!$B:$B,('B-1. THKL THEO ID'!C:G),"N/A",0))</f>
        <v>CBS</v>
      </c>
      <c r="F6" s="211">
        <v>0</v>
      </c>
      <c r="G6" s="211">
        <v>0</v>
      </c>
      <c r="H6" s="183" t="str">
        <v xml:space="preserve">Ván khuôn tường bao tầng hầm </v>
      </c>
      <c r="I6" s="208" t="str">
        <v>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VLOOKUP(B9,$C$41:$E$57,2,0)</f>
        <v>ID-013A</v>
      </c>
      <c r="E9" s="211" cm="1">
        <f t="array" ref="E9:I9">(_xlfn.XLOOKUP($D9,'B-1. THKL THEO ID'!$B:$B,('B-1. THKL THEO ID'!C:G),"N/A",0))</f>
        <v>0</v>
      </c>
      <c r="F9" s="211" t="str">
        <v>BOQ-015</v>
      </c>
      <c r="G9" s="211">
        <v>0</v>
      </c>
      <c r="H9" s="183" t="str">
        <v>Thép tường tầng hầm D&lt;=10</v>
      </c>
      <c r="I9" s="208" t="str">
        <v>tấn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17" collapsed="1">
      <c r="A12" s="6"/>
      <c r="B12" s="174">
        <v>3</v>
      </c>
      <c r="C12" s="175"/>
      <c r="D12" s="261" t="str">
        <f>VLOOKUP(B12,$C$41:$E$57,2,0)</f>
        <v>ID-013B</v>
      </c>
      <c r="E12" s="211" cm="1">
        <f t="array" ref="E12:I12">(_xlfn.XLOOKUP($D12,'B-1. THKL THEO ID'!$B:$B,('B-1. THKL THEO ID'!C:G),"N/A",0))</f>
        <v>0</v>
      </c>
      <c r="F12" s="211" t="str">
        <v>BOQ-016</v>
      </c>
      <c r="G12" s="211">
        <v>0</v>
      </c>
      <c r="H12" s="183" t="str">
        <v>Thép tường tầng hầm D&lt;=18</v>
      </c>
      <c r="I12" s="208" t="str">
        <v>tấn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VLOOKUP(B15,$C$41:$E$57,2,0)</f>
        <v>ID-013</v>
      </c>
      <c r="E15" s="211" t="str" cm="1">
        <f t="array" ref="E15:I15">(_xlfn.XLOOKUP($D15,'B-1. THKL THEO ID'!$B:$B,('B-1. THKL THEO ID'!C:G),"N/A",0))</f>
        <v>CBS</v>
      </c>
      <c r="F15" s="211">
        <v>0</v>
      </c>
      <c r="G15" s="211">
        <v>0</v>
      </c>
      <c r="H15" s="183" t="str">
        <v>thép tường tầng hầm full (kg)</v>
      </c>
      <c r="I15" s="208" t="str">
        <v>kg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51" collapsed="1">
      <c r="A18" s="6"/>
      <c r="B18" s="174">
        <v>5</v>
      </c>
      <c r="C18" s="175"/>
      <c r="D18" s="261" t="str">
        <f>VLOOKUP(B18,$C$41:$E$57,2,0)</f>
        <v>ID-014</v>
      </c>
      <c r="E18" s="211" cm="1">
        <f t="array" ref="E18:I18">(_xlfn.XLOOKUP($D18,'B-1. THKL THEO ID'!$B:$B,('B-1. THKL THEO ID'!C:G),"N/A",0))</f>
        <v>0</v>
      </c>
      <c r="F18" s="211" t="str">
        <v>BOQ-017</v>
      </c>
      <c r="G18" s="211">
        <v>0</v>
      </c>
      <c r="H18" s="183" t="str">
        <v>Bê tông tường tầng hầm M400 (Bao gồm: Vách bao hầm M500 W10; Vách bể M400 W10)</v>
      </c>
      <c r="I18" s="208" t="str">
        <v>m3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34" collapsed="1">
      <c r="A21" s="6"/>
      <c r="B21" s="174">
        <v>6</v>
      </c>
      <c r="C21" s="175"/>
      <c r="D21" s="261" t="str">
        <f>VLOOKUP(B21,$C$41:$E$57,2,0)</f>
        <v>ID-014A</v>
      </c>
      <c r="E21" s="211" t="str" cm="1">
        <f t="array" ref="E21:I21">(_xlfn.XLOOKUP($D21,'B-1. THKL THEO ID'!$B:$B,('B-1. THKL THEO ID'!C:G),"N/A",0))</f>
        <v>CBS</v>
      </c>
      <c r="F21" s="211">
        <v>0</v>
      </c>
      <c r="G21" s="211">
        <v>0</v>
      </c>
      <c r="H21" s="183" t="str">
        <v>Bê tông vách bo quanh tầng hầm M500 cấp chống thấm W10</v>
      </c>
      <c r="I21" s="208" t="str">
        <v>m3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17" collapsed="1">
      <c r="A24" s="6"/>
      <c r="B24" s="174">
        <v>7</v>
      </c>
      <c r="C24" s="175"/>
      <c r="D24" s="261" t="str">
        <f>VLOOKUP(B24,$C$41:$E$57,2,0)</f>
        <v>ID-X01</v>
      </c>
      <c r="E24" s="211" t="str" cm="1">
        <f t="array" ref="E24:I24">(_xlfn.XLOOKUP($D24,'B-1. THKL THEO ID'!$B:$B,('B-1. THKL THEO ID'!C:G),"N/A",0))</f>
        <v>CBS</v>
      </c>
      <c r="F24" s="211" t="str">
        <v>BOQ-018</v>
      </c>
      <c r="G24" s="211">
        <v>0</v>
      </c>
      <c r="H24" s="183" t="str">
        <v>Băng cản nước tường tầng hầm</v>
      </c>
      <c r="I24" s="208" t="str">
        <v>m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17" collapsed="1">
      <c r="A27" s="6"/>
      <c r="B27" s="174">
        <v>8</v>
      </c>
      <c r="C27" s="175"/>
      <c r="D27" s="261" t="str">
        <f>VLOOKUP(B27,$C$41:$E$57,2,0)</f>
        <v>ID-038</v>
      </c>
      <c r="E27" s="211" t="str" cm="1">
        <f t="array" ref="E27:I27">(_xlfn.XLOOKUP($D27,'B-1. THKL THEO ID'!$B:$B,('B-1. THKL THEO ID'!C:G),"N/A",0))</f>
        <v>CBS</v>
      </c>
      <c r="F27" s="211" t="str">
        <v>BOQ-059</v>
      </c>
      <c r="G27" s="211">
        <v>0</v>
      </c>
      <c r="H27" s="183" t="str">
        <v>Chống thấm mặt ngoài tường hầm</v>
      </c>
      <c r="I27" s="208" t="str">
        <v>m2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209">
        <f>SUBTOTAL(9,U28:U29)</f>
        <v>0</v>
      </c>
      <c r="V27" s="177"/>
    </row>
    <row r="28" spans="1:22" s="2" customFormat="1" ht="16" hidden="1" outlineLevel="1">
      <c r="A28" s="6"/>
      <c r="B28" s="179"/>
      <c r="C28" s="180"/>
      <c r="D28" s="239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262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1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17" collapsed="1">
      <c r="A30" s="6"/>
      <c r="B30" s="174">
        <v>9</v>
      </c>
      <c r="C30" s="175"/>
      <c r="D30" s="261" t="str">
        <f>VLOOKUP(B30,$C$41:$E$57,2,0)</f>
        <v>ID-040</v>
      </c>
      <c r="E30" s="211" t="str" cm="1">
        <f t="array" ref="E30:I30">(_xlfn.XLOOKUP($D30,'B-1. THKL THEO ID'!$B:$B,('B-1. THKL THEO ID'!C:G),"N/A",0))</f>
        <v>CBS</v>
      </c>
      <c r="F30" s="211" t="str">
        <v>BOQ-061</v>
      </c>
      <c r="G30" s="211">
        <v>0</v>
      </c>
      <c r="H30" s="183" t="str">
        <v>Chống mối tường hầm</v>
      </c>
      <c r="I30" s="208" t="str">
        <v>m2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7" collapsed="1">
      <c r="A33" s="6"/>
      <c r="B33" s="174">
        <v>10</v>
      </c>
      <c r="C33" s="175"/>
      <c r="D33" s="261" t="str">
        <f>VLOOKUP(B33,$C$41:$E$57,2,0)</f>
        <v>ID-044</v>
      </c>
      <c r="E33" s="211" t="str" cm="1">
        <f t="array" ref="E33:I33">(_xlfn.XLOOKUP($D33,'B-1. THKL THEO ID'!$B:$B,('B-1. THKL THEO ID'!C:G),"N/A",0))</f>
        <v>CBS</v>
      </c>
      <c r="F33" s="211" t="str">
        <v>BOQ-065</v>
      </c>
      <c r="G33" s="211">
        <v>0</v>
      </c>
      <c r="H33" s="183" t="str">
        <v>Mài hoàn thiện cột vách dầm sàn</v>
      </c>
      <c r="I33" s="208" t="str">
        <v>m2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178">
        <f>SUBTOTAL(9,U34:U34)</f>
        <v>0</v>
      </c>
      <c r="V33" s="177"/>
    </row>
    <row r="34" spans="1:22" s="2" customFormat="1" ht="16" hidden="1" outlineLevel="1">
      <c r="A34" s="6"/>
      <c r="B34" s="179"/>
      <c r="C34" s="180"/>
      <c r="D34" s="186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7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ht="20" customHeight="1">
      <c r="A36" s="2"/>
      <c r="B36" s="50"/>
      <c r="C36" s="51"/>
      <c r="D36" s="52"/>
      <c r="E36" s="53"/>
      <c r="F36" s="52"/>
      <c r="G36" s="52"/>
      <c r="H36" s="54"/>
      <c r="I36" s="52"/>
      <c r="J36" s="52"/>
      <c r="K36" s="52"/>
      <c r="L36" s="52"/>
      <c r="M36" s="52"/>
      <c r="N36" s="52"/>
      <c r="O36" s="52"/>
      <c r="P36" s="52"/>
      <c r="Q36" s="52"/>
      <c r="R36" s="55"/>
      <c r="S36" s="52"/>
      <c r="T36" s="52"/>
      <c r="U36" s="52"/>
      <c r="V36" s="52"/>
    </row>
    <row r="37" spans="1:22" ht="20" customHeight="1">
      <c r="A37" s="2"/>
      <c r="B37" s="27" t="s">
        <v>20</v>
      </c>
      <c r="C37" s="28">
        <v>3</v>
      </c>
      <c r="D37" s="27"/>
      <c r="E37" s="29"/>
      <c r="F37" s="27"/>
      <c r="G37" s="27"/>
      <c r="H37" s="30" t="s">
        <v>29</v>
      </c>
      <c r="I37" s="31"/>
      <c r="J37" s="31"/>
      <c r="K37" s="31"/>
      <c r="L37" s="31"/>
      <c r="M37" s="31"/>
      <c r="N37" s="31"/>
      <c r="O37" s="31"/>
      <c r="P37" s="31"/>
      <c r="Q37" s="31"/>
      <c r="R37" s="32">
        <f>SUBTOTAL(9,R6:R36)</f>
        <v>0</v>
      </c>
      <c r="S37" s="31"/>
      <c r="T37" s="31"/>
      <c r="U37" s="31"/>
      <c r="V37" s="31"/>
    </row>
    <row r="38" spans="1:22" s="2" customFormat="1" ht="20" customHeight="1">
      <c r="E38" s="7"/>
    </row>
    <row r="41" spans="1:22" ht="20" customHeight="1">
      <c r="C41">
        <v>1</v>
      </c>
      <c r="D41" s="239" t="s">
        <v>606</v>
      </c>
    </row>
    <row r="42" spans="1:22" ht="20" customHeight="1">
      <c r="C42">
        <f>1+C41</f>
        <v>2</v>
      </c>
      <c r="D42" s="239" t="s">
        <v>588</v>
      </c>
    </row>
    <row r="43" spans="1:22" ht="20" customHeight="1">
      <c r="C43">
        <f t="shared" ref="C43:C50" si="0">1+C42</f>
        <v>3</v>
      </c>
      <c r="D43" s="239" t="s">
        <v>567</v>
      </c>
    </row>
    <row r="44" spans="1:22" ht="20" customHeight="1">
      <c r="C44">
        <f t="shared" si="0"/>
        <v>4</v>
      </c>
      <c r="D44" s="239" t="s">
        <v>363</v>
      </c>
    </row>
    <row r="45" spans="1:22" ht="20" customHeight="1">
      <c r="C45">
        <f t="shared" si="0"/>
        <v>5</v>
      </c>
      <c r="D45" s="239" t="s">
        <v>370</v>
      </c>
    </row>
    <row r="46" spans="1:22" ht="20" customHeight="1">
      <c r="C46">
        <f t="shared" si="0"/>
        <v>6</v>
      </c>
      <c r="D46" s="239" t="s">
        <v>607</v>
      </c>
    </row>
    <row r="47" spans="1:22" ht="20" customHeight="1">
      <c r="C47">
        <f t="shared" si="0"/>
        <v>7</v>
      </c>
      <c r="D47" s="239" t="s">
        <v>589</v>
      </c>
    </row>
    <row r="48" spans="1:22" ht="20" customHeight="1">
      <c r="C48">
        <f t="shared" si="0"/>
        <v>8</v>
      </c>
      <c r="D48" s="239" t="s">
        <v>388</v>
      </c>
    </row>
    <row r="49" spans="3:4" ht="20" customHeight="1">
      <c r="C49">
        <f t="shared" si="0"/>
        <v>9</v>
      </c>
      <c r="D49" s="239" t="s">
        <v>390</v>
      </c>
    </row>
    <row r="50" spans="3:4" ht="20" customHeight="1">
      <c r="C50">
        <f t="shared" si="0"/>
        <v>10</v>
      </c>
      <c r="D50" s="239" t="s">
        <v>394</v>
      </c>
    </row>
    <row r="51" spans="3:4" ht="20" customHeight="1">
      <c r="C51">
        <v>12</v>
      </c>
      <c r="D51" s="239"/>
    </row>
    <row r="52" spans="3:4" ht="20" customHeight="1">
      <c r="C52">
        <v>13</v>
      </c>
      <c r="D52" s="239"/>
    </row>
    <row r="53" spans="3:4" ht="20" customHeight="1">
      <c r="C53">
        <v>14</v>
      </c>
      <c r="D53" s="239"/>
    </row>
    <row r="54" spans="3:4" ht="20" customHeight="1">
      <c r="C54">
        <v>15</v>
      </c>
      <c r="D54" s="239"/>
    </row>
    <row r="55" spans="3:4" ht="20" customHeight="1">
      <c r="C55">
        <v>16</v>
      </c>
      <c r="D55" s="239"/>
    </row>
    <row r="56" spans="3:4" ht="20" customHeight="1">
      <c r="C56">
        <v>17</v>
      </c>
      <c r="D56" s="239"/>
    </row>
    <row r="57" spans="3:4" ht="20" customHeight="1">
      <c r="C57">
        <v>18</v>
      </c>
      <c r="D57" s="239"/>
    </row>
  </sheetData>
  <autoFilter ref="B5:V36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38">
    <cfRule type="cellIs" dxfId="284" priority="16" operator="lessThan">
      <formula>0</formula>
    </cfRule>
  </conditionalFormatting>
  <conditionalFormatting sqref="U6">
    <cfRule type="cellIs" dxfId="283" priority="15" operator="lessThan">
      <formula>0</formula>
    </cfRule>
  </conditionalFormatting>
  <conditionalFormatting sqref="U9">
    <cfRule type="cellIs" dxfId="282" priority="14" operator="lessThan">
      <formula>0</formula>
    </cfRule>
  </conditionalFormatting>
  <conditionalFormatting sqref="U12">
    <cfRule type="cellIs" dxfId="281" priority="13" operator="lessThan">
      <formula>0</formula>
    </cfRule>
  </conditionalFormatting>
  <conditionalFormatting sqref="U15">
    <cfRule type="cellIs" dxfId="280" priority="12" operator="lessThan">
      <formula>0</formula>
    </cfRule>
  </conditionalFormatting>
  <conditionalFormatting sqref="U18">
    <cfRule type="cellIs" dxfId="279" priority="11" operator="lessThan">
      <formula>0</formula>
    </cfRule>
  </conditionalFormatting>
  <conditionalFormatting sqref="U21">
    <cfRule type="cellIs" dxfId="278" priority="10" operator="lessThan">
      <formula>0</formula>
    </cfRule>
  </conditionalFormatting>
  <conditionalFormatting sqref="U24">
    <cfRule type="cellIs" dxfId="277" priority="9" operator="lessThan">
      <formula>0</formula>
    </cfRule>
  </conditionalFormatting>
  <conditionalFormatting sqref="U27">
    <cfRule type="cellIs" dxfId="276" priority="7" operator="lessThan">
      <formula>0</formula>
    </cfRule>
  </conditionalFormatting>
  <conditionalFormatting sqref="U30">
    <cfRule type="cellIs" dxfId="275" priority="6" operator="lessThan">
      <formula>0</formula>
    </cfRule>
  </conditionalFormatting>
  <conditionalFormatting sqref="U33">
    <cfRule type="cellIs" dxfId="274" priority="5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85943-A009-4893-AA06-39DE0DC06282}">
  <sheetPr codeName="Sheet19">
    <tabColor rgb="FF00B050"/>
    <outlinePr summaryBelow="0" summaryRight="0"/>
    <pageSetUpPr fitToPage="1"/>
  </sheetPr>
  <dimension ref="A1:V67"/>
  <sheetViews>
    <sheetView showZeros="0" view="pageBreakPreview" topLeftCell="B1" zoomScaleNormal="100" zoomScaleSheetLayoutView="100" workbookViewId="0">
      <pane ySplit="5" topLeftCell="A42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CỘT TẦNG B1- KHU LÕI - Mã CK:S24.11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107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34" collapsed="1">
      <c r="A6" s="6"/>
      <c r="B6" s="174">
        <v>1</v>
      </c>
      <c r="C6" s="175"/>
      <c r="D6" s="261" t="str">
        <f>VLOOKUP(B6,$C$50:$E$67,2,0)</f>
        <v>ID-015</v>
      </c>
      <c r="E6" s="211" cm="1">
        <f t="array" ref="E6:I6">(_xlfn.XLOOKUP($D6,'B-1. THKL THEO ID'!$B:$B,('B-1. THKL THEO ID'!C:G),"N/A",0))</f>
        <v>0</v>
      </c>
      <c r="F6" s="211" t="str">
        <v>BOQ-019</v>
      </c>
      <c r="G6" s="211">
        <v>0</v>
      </c>
      <c r="H6" s="183" t="str">
        <v>Ván khuôn ép cột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VLOOKUP(B9,$C$50:$E$67,2,0)</f>
        <v>ID-015A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ép cột (m2)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17" collapsed="1">
      <c r="A12" s="6"/>
      <c r="B12" s="174">
        <v>3</v>
      </c>
      <c r="C12" s="175"/>
      <c r="D12" s="261" t="str">
        <f>VLOOKUP(B12,$C$50:$E$67,2,0)</f>
        <v>ID-016A</v>
      </c>
      <c r="E12" s="211" cm="1">
        <f t="array" ref="E12:I12">(_xlfn.XLOOKUP($D12,'B-1. THKL THEO ID'!$B:$B,('B-1. THKL THEO ID'!C:G),"N/A",0))</f>
        <v>0</v>
      </c>
      <c r="F12" s="211" t="str">
        <v>BOQ-020</v>
      </c>
      <c r="G12" s="211">
        <v>0</v>
      </c>
      <c r="H12" s="183" t="str">
        <v>Thép cột D&lt;=10</v>
      </c>
      <c r="I12" s="208" t="str">
        <v>tấn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VLOOKUP(B15,$C$50:$E$67,2,0)</f>
        <v>ID-016B</v>
      </c>
      <c r="E15" s="211" cm="1">
        <f t="array" ref="E15:I15">(_xlfn.XLOOKUP($D15,'B-1. THKL THEO ID'!$B:$B,('B-1. THKL THEO ID'!C:G),"N/A",0))</f>
        <v>0</v>
      </c>
      <c r="F15" s="211" t="str">
        <v>BOQ-021</v>
      </c>
      <c r="G15" s="211">
        <v>0</v>
      </c>
      <c r="H15" s="183" t="str">
        <v>Thép cột D&lt;=18</v>
      </c>
      <c r="I15" s="208" t="str">
        <v>tấn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17" collapsed="1">
      <c r="A18" s="6"/>
      <c r="B18" s="174">
        <v>5</v>
      </c>
      <c r="C18" s="175"/>
      <c r="D18" s="261" t="str">
        <f>VLOOKUP(B18,$C$50:$E$67,2,0)</f>
        <v>ID-016C</v>
      </c>
      <c r="E18" s="211" cm="1">
        <f t="array" ref="E18:I18">(_xlfn.XLOOKUP($D18,'B-1. THKL THEO ID'!$B:$B,('B-1. THKL THEO ID'!C:G),"N/A",0))</f>
        <v>0</v>
      </c>
      <c r="F18" s="211" t="str">
        <v>BOQ-022</v>
      </c>
      <c r="G18" s="211">
        <v>0</v>
      </c>
      <c r="H18" s="183" t="str">
        <v>Thép cột D&gt;18</v>
      </c>
      <c r="I18" s="208" t="str">
        <v>tấn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17" collapsed="1">
      <c r="A21" s="6"/>
      <c r="B21" s="174">
        <v>6</v>
      </c>
      <c r="C21" s="175"/>
      <c r="D21" s="261" t="str">
        <f>VLOOKUP(B21,$C$50:$E$67,2,0)</f>
        <v>ID-016</v>
      </c>
      <c r="E21" s="211" t="str" cm="1">
        <f t="array" ref="E21:I21">(_xlfn.XLOOKUP($D21,'B-1. THKL THEO ID'!$B:$B,('B-1. THKL THEO ID'!C:G),"N/A",0))</f>
        <v>CBS</v>
      </c>
      <c r="F21" s="211">
        <v>0</v>
      </c>
      <c r="G21" s="211">
        <v>0</v>
      </c>
      <c r="H21" s="183" t="str">
        <v>Thép cột full (kg)</v>
      </c>
      <c r="I21" s="208" t="str">
        <v>kg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17" collapsed="1">
      <c r="A24" s="6"/>
      <c r="B24" s="174">
        <v>7</v>
      </c>
      <c r="C24" s="175"/>
      <c r="D24" s="261" t="str">
        <f>VLOOKUP(B24,$C$50:$E$67,2,0)</f>
        <v>ID-017</v>
      </c>
      <c r="E24" s="211" t="str" cm="1">
        <f t="array" ref="E24:I24">(_xlfn.XLOOKUP($D24,'B-1. THKL THEO ID'!$B:$B,('B-1. THKL THEO ID'!C:G),"N/A",0))</f>
        <v>CBS</v>
      </c>
      <c r="F24" s="211">
        <v>0</v>
      </c>
      <c r="G24" s="211">
        <v>0</v>
      </c>
      <c r="H24" s="183" t="str">
        <v>Coupler cột D22</v>
      </c>
      <c r="I24" s="208" t="str">
        <v>Cái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17" collapsed="1">
      <c r="A27" s="6"/>
      <c r="B27" s="174">
        <v>8</v>
      </c>
      <c r="C27" s="175"/>
      <c r="D27" s="261" t="str">
        <f>VLOOKUP(B27,$C$50:$E$67,2,0)</f>
        <v>ID-018</v>
      </c>
      <c r="E27" s="211" t="str" cm="1">
        <f t="array" ref="E27:I27">(_xlfn.XLOOKUP($D27,'B-1. THKL THEO ID'!$B:$B,('B-1. THKL THEO ID'!C:G),"N/A",0))</f>
        <v>CBS</v>
      </c>
      <c r="F27" s="211">
        <v>0</v>
      </c>
      <c r="G27" s="211">
        <v>0</v>
      </c>
      <c r="H27" s="183" t="str">
        <v>Coupler cột D25</v>
      </c>
      <c r="I27" s="208" t="str">
        <v>Cái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178">
        <f>SUBTOTAL(9,U28:U28)</f>
        <v>0</v>
      </c>
      <c r="V27" s="177"/>
    </row>
    <row r="28" spans="1:22" s="2" customFormat="1" ht="16" hidden="1" outlineLevel="1">
      <c r="A28" s="6"/>
      <c r="B28" s="179"/>
      <c r="C28" s="180"/>
      <c r="D28" s="186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7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17" collapsed="1">
      <c r="A30" s="6"/>
      <c r="B30" s="174">
        <v>9</v>
      </c>
      <c r="C30" s="175"/>
      <c r="D30" s="261" t="str">
        <f>VLOOKUP(B30,$C$50:$E$67,2,0)</f>
        <v>ID-019</v>
      </c>
      <c r="E30" s="211" t="str" cm="1">
        <f t="array" ref="E30:I30">(_xlfn.XLOOKUP($D30,'B-1. THKL THEO ID'!$B:$B,('B-1. THKL THEO ID'!C:G),"N/A",0))</f>
        <v>CBS</v>
      </c>
      <c r="F30" s="211">
        <v>0</v>
      </c>
      <c r="G30" s="211">
        <v>0</v>
      </c>
      <c r="H30" s="183" t="str">
        <v>Coupler cột D28</v>
      </c>
      <c r="I30" s="208" t="str">
        <v>Cái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34" collapsed="1">
      <c r="A33" s="6"/>
      <c r="B33" s="174">
        <v>10</v>
      </c>
      <c r="C33" s="175"/>
      <c r="D33" s="261" t="str">
        <f>VLOOKUP(B33,$C$50:$E$67,2,0)</f>
        <v>ID-020</v>
      </c>
      <c r="E33" s="211" t="str" cm="1">
        <f t="array" ref="E33:I33">(_xlfn.XLOOKUP($D33,'B-1. THKL THEO ID'!$B:$B,('B-1. THKL THEO ID'!C:G),"N/A",0))</f>
        <v>CBS</v>
      </c>
      <c r="F33" s="211">
        <v>0</v>
      </c>
      <c r="G33" s="211">
        <v>0</v>
      </c>
      <c r="H33" s="183" t="str">
        <v>Thép D6 biện pháp cột giao với dầm sàn</v>
      </c>
      <c r="I33" s="208" t="str">
        <v>kg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209">
        <f>SUBTOTAL(9,U34:U35)</f>
        <v>0</v>
      </c>
      <c r="V33" s="177"/>
    </row>
    <row r="34" spans="1:22" s="2" customFormat="1" ht="16" hidden="1" outlineLevel="1">
      <c r="A34" s="6"/>
      <c r="B34" s="179"/>
      <c r="C34" s="180"/>
      <c r="D34" s="239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262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1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34" collapsed="1">
      <c r="A36" s="6"/>
      <c r="B36" s="174">
        <v>11</v>
      </c>
      <c r="C36" s="175"/>
      <c r="D36" s="261" t="str">
        <f>VLOOKUP(B36,$C$50:$E$67,2,0)</f>
        <v>ID-021</v>
      </c>
      <c r="E36" s="211" t="str" cm="1">
        <f t="array" ref="E36:I36">(_xlfn.XLOOKUP($D36,'B-1. THKL THEO ID'!$B:$B,('B-1. THKL THEO ID'!C:G),"N/A",0))</f>
        <v>CBS</v>
      </c>
      <c r="F36" s="211">
        <v>0</v>
      </c>
      <c r="G36" s="211">
        <v>0</v>
      </c>
      <c r="H36" s="183" t="str">
        <v>Lưới thép, kích thước lỗ 8x8mm vị trí vách giao với dầm sàn</v>
      </c>
      <c r="I36" s="208" t="str">
        <v>m2</v>
      </c>
      <c r="J36" s="174"/>
      <c r="K36" s="174"/>
      <c r="L36" s="174"/>
      <c r="M36" s="176"/>
      <c r="N36" s="174"/>
      <c r="O36" s="177"/>
      <c r="P36" s="177"/>
      <c r="Q36" s="177"/>
      <c r="R36" s="178">
        <f>SUBTOTAL(9,R37:R38)</f>
        <v>0</v>
      </c>
      <c r="S36" s="177"/>
      <c r="T36" s="177"/>
      <c r="U36" s="178">
        <f>SUBTOTAL(9,U37:U37)</f>
        <v>0</v>
      </c>
      <c r="V36" s="177"/>
    </row>
    <row r="37" spans="1:22" s="2" customFormat="1" ht="16" hidden="1" outlineLevel="1">
      <c r="A37" s="6"/>
      <c r="B37" s="179"/>
      <c r="C37" s="180"/>
      <c r="D37" s="186"/>
      <c r="E37" s="213"/>
      <c r="F37" s="212"/>
      <c r="G37" s="212"/>
      <c r="H37" s="184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</row>
    <row r="38" spans="1:22" s="2" customFormat="1" ht="16" hidden="1" outlineLevel="1">
      <c r="A38" s="6"/>
      <c r="B38" s="181"/>
      <c r="C38" s="182"/>
      <c r="D38" s="187"/>
      <c r="E38" s="215"/>
      <c r="F38" s="214"/>
      <c r="G38" s="214"/>
      <c r="H38" s="185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s="2" customFormat="1" ht="17" collapsed="1">
      <c r="A39" s="6"/>
      <c r="B39" s="174">
        <v>12</v>
      </c>
      <c r="C39" s="175"/>
      <c r="D39" s="261" t="str">
        <f>VLOOKUP(B39,$C$50:$E$67,2,0)</f>
        <v>ID-022</v>
      </c>
      <c r="E39" s="211" t="str" cm="1">
        <f t="array" ref="E39:I39">(_xlfn.XLOOKUP($D39,'B-1. THKL THEO ID'!$B:$B,('B-1. THKL THEO ID'!C:G),"N/A",0))</f>
        <v>CBS</v>
      </c>
      <c r="F39" s="211" t="str">
        <v>BOQ-023</v>
      </c>
      <c r="G39" s="211">
        <v>0</v>
      </c>
      <c r="H39" s="183" t="str">
        <v>Bê tông cột M600</v>
      </c>
      <c r="I39" s="208" t="str">
        <v>m3</v>
      </c>
      <c r="J39" s="174"/>
      <c r="K39" s="174"/>
      <c r="L39" s="174"/>
      <c r="M39" s="176"/>
      <c r="N39" s="174"/>
      <c r="O39" s="177"/>
      <c r="P39" s="177"/>
      <c r="Q39" s="177"/>
      <c r="R39" s="178">
        <f>SUBTOTAL(9,R40:R41)</f>
        <v>0</v>
      </c>
      <c r="S39" s="177"/>
      <c r="T39" s="177"/>
      <c r="U39" s="209">
        <f>SUBTOTAL(9,U40:U41)</f>
        <v>0</v>
      </c>
      <c r="V39" s="177"/>
    </row>
    <row r="40" spans="1:22" s="2" customFormat="1" ht="16" hidden="1" outlineLevel="1">
      <c r="A40" s="6"/>
      <c r="B40" s="179"/>
      <c r="C40" s="180"/>
      <c r="D40" s="239"/>
      <c r="E40" s="213"/>
      <c r="F40" s="212"/>
      <c r="G40" s="212"/>
      <c r="H40" s="184"/>
      <c r="I40" s="179"/>
      <c r="J40" s="179"/>
      <c r="K40" s="179"/>
      <c r="L40" s="179"/>
      <c r="M40" s="179"/>
      <c r="N40" s="179"/>
      <c r="O40" s="179"/>
      <c r="P40" s="179"/>
      <c r="Q40" s="179"/>
      <c r="R40" s="262"/>
      <c r="S40" s="179"/>
      <c r="T40" s="179"/>
      <c r="U40" s="179"/>
      <c r="V40" s="179"/>
    </row>
    <row r="41" spans="1:22" s="2" customFormat="1" ht="16" hidden="1" outlineLevel="1">
      <c r="A41" s="6"/>
      <c r="B41" s="181"/>
      <c r="C41" s="182"/>
      <c r="D41" s="181"/>
      <c r="E41" s="215"/>
      <c r="F41" s="214"/>
      <c r="G41" s="214"/>
      <c r="H41" s="185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</row>
    <row r="42" spans="1:22" s="2" customFormat="1" ht="17" collapsed="1">
      <c r="A42" s="6"/>
      <c r="B42" s="174">
        <v>13</v>
      </c>
      <c r="C42" s="175"/>
      <c r="D42" s="261" t="str">
        <f>VLOOKUP(B42,$C$50:$E$67,2,0)</f>
        <v>ID-044</v>
      </c>
      <c r="E42" s="211" t="str" cm="1">
        <f t="array" ref="E42:I42">(_xlfn.XLOOKUP($D42,'B-1. THKL THEO ID'!$B:$B,('B-1. THKL THEO ID'!C:G),"N/A",0))</f>
        <v>CBS</v>
      </c>
      <c r="F42" s="211" t="str">
        <v>BOQ-065</v>
      </c>
      <c r="G42" s="211">
        <v>0</v>
      </c>
      <c r="H42" s="183" t="str">
        <v>Mài hoàn thiện cột vách dầm sàn</v>
      </c>
      <c r="I42" s="208" t="str">
        <v>m2</v>
      </c>
      <c r="J42" s="174"/>
      <c r="K42" s="174"/>
      <c r="L42" s="174"/>
      <c r="M42" s="176"/>
      <c r="N42" s="174"/>
      <c r="O42" s="177"/>
      <c r="P42" s="177"/>
      <c r="Q42" s="177"/>
      <c r="R42" s="178">
        <f>SUBTOTAL(9,R43:R44)</f>
        <v>0</v>
      </c>
      <c r="S42" s="177"/>
      <c r="T42" s="177"/>
      <c r="U42" s="178">
        <f>SUBTOTAL(9,U43:U43)</f>
        <v>0</v>
      </c>
      <c r="V42" s="177"/>
    </row>
    <row r="43" spans="1:22" s="2" customFormat="1" ht="16" hidden="1" outlineLevel="1">
      <c r="A43" s="6"/>
      <c r="B43" s="179"/>
      <c r="C43" s="180"/>
      <c r="D43" s="186"/>
      <c r="E43" s="213"/>
      <c r="F43" s="212"/>
      <c r="G43" s="212"/>
      <c r="H43" s="184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</row>
    <row r="44" spans="1:22" s="2" customFormat="1" ht="16" hidden="1" outlineLevel="1">
      <c r="A44" s="6"/>
      <c r="B44" s="181"/>
      <c r="C44" s="182"/>
      <c r="D44" s="187"/>
      <c r="E44" s="215"/>
      <c r="F44" s="214"/>
      <c r="G44" s="214"/>
      <c r="H44" s="185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</row>
    <row r="45" spans="1:22" ht="20" customHeight="1">
      <c r="A45" s="2"/>
      <c r="B45" s="50"/>
      <c r="C45" s="51"/>
      <c r="D45" s="52"/>
      <c r="E45" s="53"/>
      <c r="F45" s="52"/>
      <c r="G45" s="52"/>
      <c r="H45" s="54"/>
      <c r="I45" s="52"/>
      <c r="J45" s="52"/>
      <c r="K45" s="52"/>
      <c r="L45" s="52"/>
      <c r="M45" s="52"/>
      <c r="N45" s="52"/>
      <c r="O45" s="52"/>
      <c r="P45" s="52"/>
      <c r="Q45" s="52"/>
      <c r="R45" s="55"/>
      <c r="S45" s="52"/>
      <c r="T45" s="52"/>
      <c r="U45" s="52"/>
      <c r="V45" s="52"/>
    </row>
    <row r="46" spans="1:22" ht="20" customHeight="1">
      <c r="A46" s="2"/>
      <c r="B46" s="27" t="s">
        <v>20</v>
      </c>
      <c r="C46" s="28">
        <v>3</v>
      </c>
      <c r="D46" s="27"/>
      <c r="E46" s="29"/>
      <c r="F46" s="27"/>
      <c r="G46" s="27"/>
      <c r="H46" s="30" t="s">
        <v>29</v>
      </c>
      <c r="I46" s="31"/>
      <c r="J46" s="31"/>
      <c r="K46" s="31"/>
      <c r="L46" s="31"/>
      <c r="M46" s="31"/>
      <c r="N46" s="31"/>
      <c r="O46" s="31"/>
      <c r="P46" s="31"/>
      <c r="Q46" s="31"/>
      <c r="R46" s="32">
        <f>SUBTOTAL(9,R6:R45)</f>
        <v>0</v>
      </c>
      <c r="S46" s="31"/>
      <c r="T46" s="31"/>
      <c r="U46" s="31"/>
      <c r="V46" s="31"/>
    </row>
    <row r="47" spans="1:22" s="2" customFormat="1" ht="20" customHeight="1">
      <c r="E47" s="7"/>
    </row>
    <row r="50" spans="3:4" ht="20" customHeight="1">
      <c r="C50">
        <v>1</v>
      </c>
      <c r="D50" s="239" t="s">
        <v>378</v>
      </c>
    </row>
    <row r="51" spans="3:4" ht="20" customHeight="1">
      <c r="C51">
        <v>2</v>
      </c>
      <c r="D51" s="239" t="s">
        <v>608</v>
      </c>
    </row>
    <row r="52" spans="3:4" ht="20" customHeight="1">
      <c r="C52">
        <v>3</v>
      </c>
      <c r="D52" s="239" t="s">
        <v>609</v>
      </c>
    </row>
    <row r="53" spans="3:4" ht="20" customHeight="1">
      <c r="C53">
        <v>4</v>
      </c>
      <c r="D53" s="239" t="s">
        <v>569</v>
      </c>
    </row>
    <row r="54" spans="3:4" ht="20" customHeight="1">
      <c r="C54">
        <v>5</v>
      </c>
      <c r="D54" s="239" t="s">
        <v>610</v>
      </c>
    </row>
    <row r="55" spans="3:4" ht="20" customHeight="1">
      <c r="C55">
        <v>6</v>
      </c>
      <c r="D55" s="239" t="s">
        <v>364</v>
      </c>
    </row>
    <row r="56" spans="3:4" ht="20" customHeight="1">
      <c r="C56">
        <v>7</v>
      </c>
      <c r="D56" s="239" t="s">
        <v>365</v>
      </c>
    </row>
    <row r="57" spans="3:4" ht="20" customHeight="1">
      <c r="C57">
        <v>8</v>
      </c>
      <c r="D57" s="239" t="s">
        <v>366</v>
      </c>
    </row>
    <row r="58" spans="3:4" ht="20" customHeight="1">
      <c r="C58">
        <v>9</v>
      </c>
      <c r="D58" s="239" t="s">
        <v>367</v>
      </c>
    </row>
    <row r="59" spans="3:4" ht="20" customHeight="1">
      <c r="C59">
        <v>10</v>
      </c>
      <c r="D59" s="239" t="s">
        <v>368</v>
      </c>
    </row>
    <row r="60" spans="3:4" ht="20" customHeight="1">
      <c r="C60">
        <v>11</v>
      </c>
      <c r="D60" s="239" t="s">
        <v>371</v>
      </c>
    </row>
    <row r="61" spans="3:4" ht="20" customHeight="1">
      <c r="C61">
        <v>12</v>
      </c>
      <c r="D61" s="239" t="s">
        <v>372</v>
      </c>
    </row>
    <row r="62" spans="3:4" ht="20" customHeight="1">
      <c r="C62">
        <v>13</v>
      </c>
      <c r="D62" s="239" t="s">
        <v>394</v>
      </c>
    </row>
    <row r="63" spans="3:4" ht="20" customHeight="1">
      <c r="C63">
        <v>14</v>
      </c>
      <c r="D63" s="239"/>
    </row>
    <row r="64" spans="3:4" ht="20" customHeight="1">
      <c r="C64">
        <v>15</v>
      </c>
      <c r="D64" s="239"/>
    </row>
    <row r="65" spans="3:4" ht="20" customHeight="1">
      <c r="C65">
        <v>16</v>
      </c>
      <c r="D65" s="239"/>
    </row>
    <row r="66" spans="3:4" ht="20" customHeight="1">
      <c r="C66">
        <v>17</v>
      </c>
      <c r="D66" s="239"/>
    </row>
    <row r="67" spans="3:4" ht="20" customHeight="1">
      <c r="C67">
        <v>18</v>
      </c>
      <c r="D67" s="239"/>
    </row>
  </sheetData>
  <autoFilter ref="B5:V45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47">
    <cfRule type="cellIs" dxfId="273" priority="14" operator="lessThan">
      <formula>0</formula>
    </cfRule>
  </conditionalFormatting>
  <conditionalFormatting sqref="U6">
    <cfRule type="cellIs" dxfId="272" priority="13" operator="lessThan">
      <formula>0</formula>
    </cfRule>
  </conditionalFormatting>
  <conditionalFormatting sqref="U9">
    <cfRule type="cellIs" dxfId="271" priority="12" operator="lessThan">
      <formula>0</formula>
    </cfRule>
  </conditionalFormatting>
  <conditionalFormatting sqref="U12">
    <cfRule type="cellIs" dxfId="270" priority="11" operator="lessThan">
      <formula>0</formula>
    </cfRule>
  </conditionalFormatting>
  <conditionalFormatting sqref="U15">
    <cfRule type="cellIs" dxfId="269" priority="10" operator="lessThan">
      <formula>0</formula>
    </cfRule>
  </conditionalFormatting>
  <conditionalFormatting sqref="U18">
    <cfRule type="cellIs" dxfId="268" priority="9" operator="lessThan">
      <formula>0</formula>
    </cfRule>
  </conditionalFormatting>
  <conditionalFormatting sqref="U21">
    <cfRule type="cellIs" dxfId="267" priority="8" operator="lessThan">
      <formula>0</formula>
    </cfRule>
  </conditionalFormatting>
  <conditionalFormatting sqref="U24">
    <cfRule type="cellIs" dxfId="266" priority="7" operator="lessThan">
      <formula>0</formula>
    </cfRule>
  </conditionalFormatting>
  <conditionalFormatting sqref="U27">
    <cfRule type="cellIs" dxfId="265" priority="6" operator="lessThan">
      <formula>0</formula>
    </cfRule>
  </conditionalFormatting>
  <conditionalFormatting sqref="U30">
    <cfRule type="cellIs" dxfId="264" priority="5" operator="lessThan">
      <formula>0</formula>
    </cfRule>
  </conditionalFormatting>
  <conditionalFormatting sqref="U33">
    <cfRule type="cellIs" dxfId="263" priority="4" operator="lessThan">
      <formula>0</formula>
    </cfRule>
  </conditionalFormatting>
  <conditionalFormatting sqref="U36">
    <cfRule type="cellIs" dxfId="262" priority="3" operator="lessThan">
      <formula>0</formula>
    </cfRule>
  </conditionalFormatting>
  <conditionalFormatting sqref="U39">
    <cfRule type="cellIs" dxfId="261" priority="2" operator="lessThan">
      <formula>0</formula>
    </cfRule>
  </conditionalFormatting>
  <conditionalFormatting sqref="U42">
    <cfRule type="cellIs" dxfId="260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96260-50D2-4193-AAD5-6861BACE9973}">
  <sheetPr codeName="Sheet20">
    <tabColor rgb="FF00B050"/>
    <outlinePr summaryBelow="0" summaryRight="0"/>
    <pageSetUpPr fitToPage="1"/>
  </sheetPr>
  <dimension ref="A1:V58"/>
  <sheetViews>
    <sheetView showZeros="0" view="pageBreakPreview" topLeftCell="B1" zoomScaleNormal="100" zoomScaleSheetLayoutView="100" workbookViewId="0">
      <pane ySplit="5" topLeftCell="A33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VÁCH TẦNG B1(LOẠI L, V) - KHU LÕI - Mã CK:S24.12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108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34" collapsed="1">
      <c r="A6" s="6"/>
      <c r="B6" s="174">
        <v>1</v>
      </c>
      <c r="C6" s="175"/>
      <c r="D6" s="261" t="str">
        <f>VLOOKUP(B6,$C$41:$E$58,2,0)</f>
        <v>ID-023</v>
      </c>
      <c r="E6" s="211" cm="1">
        <f t="array" ref="E6:I6">(_xlfn.XLOOKUP($D6,'B-1. THKL THEO ID'!$B:$B,('B-1. THKL THEO ID'!C:G),"N/A",0))</f>
        <v>0</v>
      </c>
      <c r="F6" s="211" t="str">
        <v>BOQ-024</v>
      </c>
      <c r="G6" s="211">
        <v>0</v>
      </c>
      <c r="H6" s="183" t="str">
        <v>Ván khuôn ép vách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VLOOKUP(B9,$C$41:$E$58,2,0)</f>
        <v>ID-023A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ép vách (m2)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17" collapsed="1">
      <c r="A12" s="6"/>
      <c r="B12" s="174">
        <v>3</v>
      </c>
      <c r="C12" s="175"/>
      <c r="D12" s="261" t="str">
        <f>VLOOKUP(B12,$C$41:$E$58,2,0)</f>
        <v>ID-024A</v>
      </c>
      <c r="E12" s="211" cm="1">
        <f t="array" ref="E12:I12">(_xlfn.XLOOKUP($D12,'B-1. THKL THEO ID'!$B:$B,('B-1. THKL THEO ID'!C:G),"N/A",0))</f>
        <v>0</v>
      </c>
      <c r="F12" s="211" t="str">
        <v>BOQ-025</v>
      </c>
      <c r="G12" s="211">
        <v>0</v>
      </c>
      <c r="H12" s="183" t="str">
        <v>Thép vách D&lt;=10</v>
      </c>
      <c r="I12" s="208" t="str">
        <v>tấn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VLOOKUP(B15,$C$41:$E$58,2,0)</f>
        <v>ID-024B</v>
      </c>
      <c r="E15" s="211" cm="1">
        <f t="array" ref="E15:I15">(_xlfn.XLOOKUP($D15,'B-1. THKL THEO ID'!$B:$B,('B-1. THKL THEO ID'!C:G),"N/A",0))</f>
        <v>0</v>
      </c>
      <c r="F15" s="211" t="str">
        <v>BOQ-026</v>
      </c>
      <c r="G15" s="211">
        <v>0</v>
      </c>
      <c r="H15" s="183" t="str">
        <v>Thép vách D&lt;=18</v>
      </c>
      <c r="I15" s="208" t="str">
        <v>tấn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17" collapsed="1">
      <c r="A18" s="6"/>
      <c r="B18" s="174">
        <v>5</v>
      </c>
      <c r="C18" s="175"/>
      <c r="D18" s="261" t="str">
        <f>VLOOKUP(B18,$C$41:$E$58,2,0)</f>
        <v>ID-024C</v>
      </c>
      <c r="E18" s="211" cm="1">
        <f t="array" ref="E18:I18">(_xlfn.XLOOKUP($D18,'B-1. THKL THEO ID'!$B:$B,('B-1. THKL THEO ID'!C:G),"N/A",0))</f>
        <v>0</v>
      </c>
      <c r="F18" s="211" t="str">
        <v>BOQ-027</v>
      </c>
      <c r="G18" s="211">
        <v>0</v>
      </c>
      <c r="H18" s="183" t="str">
        <v>Thép vách D&gt;18</v>
      </c>
      <c r="I18" s="208" t="str">
        <v>tấn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17" collapsed="1">
      <c r="A21" s="6"/>
      <c r="B21" s="174">
        <v>6</v>
      </c>
      <c r="C21" s="175"/>
      <c r="D21" s="261" t="str">
        <f>VLOOKUP(B21,$C$41:$E$58,2,0)</f>
        <v>ID-024</v>
      </c>
      <c r="E21" s="211" t="str" cm="1">
        <f t="array" ref="E21:I21">(_xlfn.XLOOKUP($D21,'B-1. THKL THEO ID'!$B:$B,('B-1. THKL THEO ID'!C:G),"N/A",0))</f>
        <v>CBS</v>
      </c>
      <c r="F21" s="211">
        <v>0</v>
      </c>
      <c r="G21" s="211">
        <v>0</v>
      </c>
      <c r="H21" s="183" t="str">
        <v>Thép vách full (kg)</v>
      </c>
      <c r="I21" s="208" t="str">
        <v>kg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34" collapsed="1">
      <c r="A24" s="6"/>
      <c r="B24" s="174">
        <v>7</v>
      </c>
      <c r="C24" s="175"/>
      <c r="D24" s="261" t="str">
        <f>VLOOKUP(B24,$C$41:$E$58,2,0)</f>
        <v>ID-025</v>
      </c>
      <c r="E24" s="211" t="str" cm="1">
        <f t="array" ref="E24:I24">(_xlfn.XLOOKUP($D24,'B-1. THKL THEO ID'!$B:$B,('B-1. THKL THEO ID'!C:G),"N/A",0))</f>
        <v>CBS</v>
      </c>
      <c r="F24" s="211">
        <v>0</v>
      </c>
      <c r="G24" s="211">
        <v>0</v>
      </c>
      <c r="H24" s="183" t="str">
        <v>Thép D6 biện pháp đổ bê tông vách giao với dầm sàn</v>
      </c>
      <c r="I24" s="208" t="str">
        <v>kg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34" collapsed="1">
      <c r="A27" s="6"/>
      <c r="B27" s="174">
        <v>8</v>
      </c>
      <c r="C27" s="175"/>
      <c r="D27" s="261" t="str">
        <f>VLOOKUP(B27,$C$41:$E$58,2,0)</f>
        <v>ID-026</v>
      </c>
      <c r="E27" s="211" t="str" cm="1">
        <f t="array" ref="E27:I27">(_xlfn.XLOOKUP($D27,'B-1. THKL THEO ID'!$B:$B,('B-1. THKL THEO ID'!C:G),"N/A",0))</f>
        <v>CBS</v>
      </c>
      <c r="F27" s="211">
        <v>0</v>
      </c>
      <c r="G27" s="211">
        <v>0</v>
      </c>
      <c r="H27" s="183" t="str">
        <v>Lưới thép, kích thước lỗ 8x8mm vị trí vách giao với dầm sàn</v>
      </c>
      <c r="I27" s="208" t="str">
        <v>Cái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178">
        <f>SUBTOTAL(9,U28:U28)</f>
        <v>0</v>
      </c>
      <c r="V27" s="177"/>
    </row>
    <row r="28" spans="1:22" s="2" customFormat="1" ht="16" hidden="1" outlineLevel="1">
      <c r="A28" s="6"/>
      <c r="B28" s="179"/>
      <c r="C28" s="180"/>
      <c r="D28" s="186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7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17" collapsed="1">
      <c r="A30" s="6"/>
      <c r="B30" s="174">
        <v>9</v>
      </c>
      <c r="C30" s="175"/>
      <c r="D30" s="261" t="str">
        <f>VLOOKUP(B30,$C$41:$E$58,2,0)</f>
        <v>ID-027</v>
      </c>
      <c r="E30" s="211" t="str" cm="1">
        <f t="array" ref="E30:I30">(_xlfn.XLOOKUP($D30,'B-1. THKL THEO ID'!$B:$B,('B-1. THKL THEO ID'!C:G),"N/A",0))</f>
        <v>CBS</v>
      </c>
      <c r="F30" s="211" t="str">
        <v>BOQ-028</v>
      </c>
      <c r="G30" s="211">
        <v>0</v>
      </c>
      <c r="H30" s="183" t="str">
        <v>Bê tông tường M600 (Vách)</v>
      </c>
      <c r="I30" s="208" t="str">
        <v>m3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7" collapsed="1">
      <c r="A33" s="6"/>
      <c r="B33" s="174">
        <v>10</v>
      </c>
      <c r="C33" s="175"/>
      <c r="D33" s="261" t="str">
        <f>VLOOKUP(B33,$C$41:$E$58,2,0)</f>
        <v>ID-044</v>
      </c>
      <c r="E33" s="211" t="str" cm="1">
        <f t="array" ref="E33:I33">(_xlfn.XLOOKUP($D33,'B-1. THKL THEO ID'!$B:$B,('B-1. THKL THEO ID'!C:G),"N/A",0))</f>
        <v>CBS</v>
      </c>
      <c r="F33" s="211" t="str">
        <v>BOQ-065</v>
      </c>
      <c r="G33" s="211">
        <v>0</v>
      </c>
      <c r="H33" s="183" t="str">
        <v>Mài hoàn thiện cột vách dầm sàn</v>
      </c>
      <c r="I33" s="208" t="str">
        <v>m2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209">
        <f>SUBTOTAL(9,U34:U35)</f>
        <v>0</v>
      </c>
      <c r="V33" s="177"/>
    </row>
    <row r="34" spans="1:22" s="2" customFormat="1" ht="16" hidden="1" outlineLevel="1">
      <c r="A34" s="6"/>
      <c r="B34" s="179"/>
      <c r="C34" s="180"/>
      <c r="D34" s="239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262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1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ht="20" customHeight="1">
      <c r="A36" s="2"/>
      <c r="B36" s="50"/>
      <c r="C36" s="51"/>
      <c r="D36" s="52"/>
      <c r="E36" s="53"/>
      <c r="F36" s="52"/>
      <c r="G36" s="52"/>
      <c r="H36" s="54"/>
      <c r="I36" s="52"/>
      <c r="J36" s="52"/>
      <c r="K36" s="52"/>
      <c r="L36" s="52"/>
      <c r="M36" s="52"/>
      <c r="N36" s="52"/>
      <c r="O36" s="52"/>
      <c r="P36" s="52"/>
      <c r="Q36" s="52"/>
      <c r="R36" s="55"/>
      <c r="S36" s="52"/>
      <c r="T36" s="52"/>
      <c r="U36" s="52"/>
      <c r="V36" s="52"/>
    </row>
    <row r="37" spans="1:22" ht="20" customHeight="1">
      <c r="A37" s="2"/>
      <c r="B37" s="27" t="s">
        <v>20</v>
      </c>
      <c r="C37" s="28">
        <v>3</v>
      </c>
      <c r="D37" s="27"/>
      <c r="E37" s="29"/>
      <c r="F37" s="27"/>
      <c r="G37" s="27"/>
      <c r="H37" s="30" t="s">
        <v>29</v>
      </c>
      <c r="I37" s="31"/>
      <c r="J37" s="31"/>
      <c r="K37" s="31"/>
      <c r="L37" s="31"/>
      <c r="M37" s="31"/>
      <c r="N37" s="31"/>
      <c r="O37" s="31"/>
      <c r="P37" s="31"/>
      <c r="Q37" s="31"/>
      <c r="R37" s="32">
        <f>SUBTOTAL(9,R6:R36)</f>
        <v>0</v>
      </c>
      <c r="S37" s="31"/>
      <c r="T37" s="31"/>
      <c r="U37" s="31"/>
      <c r="V37" s="31"/>
    </row>
    <row r="38" spans="1:22" s="2" customFormat="1" ht="20" customHeight="1">
      <c r="E38" s="7"/>
    </row>
    <row r="41" spans="1:22" ht="20" customHeight="1">
      <c r="C41">
        <v>1</v>
      </c>
      <c r="D41" s="239" t="s">
        <v>373</v>
      </c>
    </row>
    <row r="42" spans="1:22" ht="20" customHeight="1">
      <c r="C42">
        <v>2</v>
      </c>
      <c r="D42" s="239" t="s">
        <v>611</v>
      </c>
    </row>
    <row r="43" spans="1:22" ht="20" customHeight="1">
      <c r="C43">
        <v>3</v>
      </c>
      <c r="D43" s="239" t="s">
        <v>612</v>
      </c>
    </row>
    <row r="44" spans="1:22" ht="20" customHeight="1">
      <c r="C44">
        <v>4</v>
      </c>
      <c r="D44" s="239" t="s">
        <v>570</v>
      </c>
    </row>
    <row r="45" spans="1:22" ht="20" customHeight="1">
      <c r="C45">
        <v>5</v>
      </c>
      <c r="D45" s="239" t="s">
        <v>613</v>
      </c>
    </row>
    <row r="46" spans="1:22" ht="20" customHeight="1">
      <c r="C46">
        <v>6</v>
      </c>
      <c r="D46" s="239" t="s">
        <v>374</v>
      </c>
    </row>
    <row r="47" spans="1:22" ht="20" customHeight="1">
      <c r="C47">
        <v>7</v>
      </c>
      <c r="D47" s="239" t="s">
        <v>375</v>
      </c>
    </row>
    <row r="48" spans="1:22" ht="20" customHeight="1">
      <c r="C48">
        <v>8</v>
      </c>
      <c r="D48" s="239" t="s">
        <v>379</v>
      </c>
    </row>
    <row r="49" spans="3:4" ht="20" customHeight="1">
      <c r="C49">
        <v>9</v>
      </c>
      <c r="D49" s="239" t="s">
        <v>395</v>
      </c>
    </row>
    <row r="50" spans="3:4" ht="20" customHeight="1">
      <c r="C50">
        <v>10</v>
      </c>
      <c r="D50" s="239" t="s">
        <v>394</v>
      </c>
    </row>
    <row r="51" spans="3:4" ht="20" customHeight="1">
      <c r="C51">
        <v>11</v>
      </c>
      <c r="D51" s="239"/>
    </row>
    <row r="52" spans="3:4" ht="20" customHeight="1">
      <c r="C52">
        <v>12</v>
      </c>
      <c r="D52" s="239"/>
    </row>
    <row r="53" spans="3:4" ht="20" customHeight="1">
      <c r="C53">
        <v>13</v>
      </c>
      <c r="D53" s="239"/>
    </row>
    <row r="54" spans="3:4" ht="20" customHeight="1">
      <c r="C54">
        <v>14</v>
      </c>
      <c r="D54" s="239"/>
    </row>
    <row r="55" spans="3:4" ht="20" customHeight="1">
      <c r="C55">
        <v>15</v>
      </c>
      <c r="D55" s="239"/>
    </row>
    <row r="56" spans="3:4" ht="20" customHeight="1">
      <c r="C56">
        <v>16</v>
      </c>
      <c r="D56" s="239"/>
    </row>
    <row r="57" spans="3:4" ht="20" customHeight="1">
      <c r="C57">
        <v>17</v>
      </c>
      <c r="D57" s="239"/>
    </row>
    <row r="58" spans="3:4" ht="20" customHeight="1">
      <c r="C58">
        <v>18</v>
      </c>
      <c r="D58" s="239"/>
    </row>
  </sheetData>
  <autoFilter ref="B5:V36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38">
    <cfRule type="cellIs" dxfId="259" priority="14" operator="lessThan">
      <formula>0</formula>
    </cfRule>
  </conditionalFormatting>
  <conditionalFormatting sqref="U6">
    <cfRule type="cellIs" dxfId="258" priority="13" operator="lessThan">
      <formula>0</formula>
    </cfRule>
  </conditionalFormatting>
  <conditionalFormatting sqref="U9">
    <cfRule type="cellIs" dxfId="257" priority="12" operator="lessThan">
      <formula>0</formula>
    </cfRule>
  </conditionalFormatting>
  <conditionalFormatting sqref="U12">
    <cfRule type="cellIs" dxfId="256" priority="11" operator="lessThan">
      <formula>0</formula>
    </cfRule>
  </conditionalFormatting>
  <conditionalFormatting sqref="U15">
    <cfRule type="cellIs" dxfId="255" priority="10" operator="lessThan">
      <formula>0</formula>
    </cfRule>
  </conditionalFormatting>
  <conditionalFormatting sqref="U18">
    <cfRule type="cellIs" dxfId="254" priority="9" operator="lessThan">
      <formula>0</formula>
    </cfRule>
  </conditionalFormatting>
  <conditionalFormatting sqref="U21">
    <cfRule type="cellIs" dxfId="253" priority="8" operator="lessThan">
      <formula>0</formula>
    </cfRule>
  </conditionalFormatting>
  <conditionalFormatting sqref="U24">
    <cfRule type="cellIs" dxfId="252" priority="7" operator="lessThan">
      <formula>0</formula>
    </cfRule>
  </conditionalFormatting>
  <conditionalFormatting sqref="U27">
    <cfRule type="cellIs" dxfId="251" priority="6" operator="lessThan">
      <formula>0</formula>
    </cfRule>
  </conditionalFormatting>
  <conditionalFormatting sqref="U30">
    <cfRule type="cellIs" dxfId="250" priority="5" operator="lessThan">
      <formula>0</formula>
    </cfRule>
  </conditionalFormatting>
  <conditionalFormatting sqref="U33">
    <cfRule type="cellIs" dxfId="249" priority="4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ADDC-56A1-4339-8E68-0E2F9902E817}">
  <sheetPr codeName="Sheet21">
    <tabColor rgb="FF00B050"/>
    <outlinePr summaryBelow="0" summaryRight="0"/>
    <pageSetUpPr fitToPage="1"/>
  </sheetPr>
  <dimension ref="A1:V84"/>
  <sheetViews>
    <sheetView showZeros="0" view="pageBreakPreview" topLeftCell="B1" zoomScaleNormal="100" zoomScaleSheetLayoutView="100" workbookViewId="0">
      <pane ySplit="5" topLeftCell="A6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style="276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DẦM SÀN TẦNG 1 (ZONE1) - KHU LÕI - Mã CK:S25.11</v>
      </c>
      <c r="C1" s="8"/>
      <c r="D1" s="8"/>
      <c r="E1" s="13"/>
      <c r="F1" s="8"/>
      <c r="G1" s="8"/>
      <c r="H1" s="274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1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109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34" collapsed="1">
      <c r="A6" s="6"/>
      <c r="B6" s="174">
        <v>1</v>
      </c>
      <c r="C6" s="175"/>
      <c r="D6" s="261" t="str">
        <f>VLOOKUP(B6,$B$69:$D$86,2,0)</f>
        <v>ID-028</v>
      </c>
      <c r="E6" s="211" cm="1">
        <f t="array" ref="E6:I6">(_xlfn.XLOOKUP($D6,'B-1. THKL THEO ID'!$B:$B,('B-1. THKL THEO ID'!C:G),"N/A",0))</f>
        <v>0</v>
      </c>
      <c r="F6" s="211" t="str">
        <v>BOQ-029</v>
      </c>
      <c r="G6" s="211">
        <v>0</v>
      </c>
      <c r="H6" s="183" t="str">
        <v>Ván khuôn ép Dầm tầng 1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R9/100</f>
        <v>2.8320800000000004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272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273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VLOOKUP(B9,$B$69:$D$86,2,0)</f>
        <v>ID-028A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ép Dầm tầng 1 (m2)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SUBTOTAL(9,R10:R15)</f>
        <v>283.20800000000003</v>
      </c>
      <c r="S9" s="177"/>
      <c r="T9" s="177"/>
      <c r="U9" s="178">
        <f>SUBTOTAL(9,U10:U10)</f>
        <v>0</v>
      </c>
      <c r="V9" s="177"/>
    </row>
    <row r="10" spans="1:22" s="2" customFormat="1" ht="17" hidden="1" outlineLevel="1">
      <c r="A10" s="6"/>
      <c r="B10" s="179"/>
      <c r="C10" s="180"/>
      <c r="D10" s="186"/>
      <c r="E10" s="213"/>
      <c r="F10" s="212"/>
      <c r="G10" s="212"/>
      <c r="H10" s="272" t="s">
        <v>416</v>
      </c>
      <c r="I10" s="179"/>
      <c r="J10" s="179">
        <v>1</v>
      </c>
      <c r="K10" s="179"/>
      <c r="L10" s="179"/>
      <c r="M10" s="179"/>
      <c r="N10" s="179">
        <v>154</v>
      </c>
      <c r="O10" s="179"/>
      <c r="P10" s="179"/>
      <c r="Q10" s="179"/>
      <c r="R10" s="179">
        <f>PRODUCT(J10:Q10)</f>
        <v>154</v>
      </c>
      <c r="S10" s="179"/>
      <c r="T10" s="179"/>
      <c r="U10" s="179"/>
      <c r="V10" s="179"/>
    </row>
    <row r="11" spans="1:22" s="2" customFormat="1" ht="17" hidden="1" outlineLevel="1">
      <c r="A11" s="6"/>
      <c r="B11" s="181"/>
      <c r="C11" s="182"/>
      <c r="D11" s="187"/>
      <c r="E11" s="215"/>
      <c r="F11" s="214"/>
      <c r="G11" s="214"/>
      <c r="H11" s="273" t="s">
        <v>408</v>
      </c>
      <c r="I11" s="181"/>
      <c r="J11" s="181">
        <v>1</v>
      </c>
      <c r="K11" s="181"/>
      <c r="L11" s="181"/>
      <c r="M11" s="181"/>
      <c r="N11" s="181">
        <v>2.0099999999999998</v>
      </c>
      <c r="O11" s="181">
        <v>-1</v>
      </c>
      <c r="P11" s="181"/>
      <c r="Q11" s="181"/>
      <c r="R11" s="179">
        <f>PRODUCT(J11:Q11)</f>
        <v>-2.0099999999999998</v>
      </c>
      <c r="S11" s="181"/>
      <c r="T11" s="181"/>
      <c r="U11" s="181"/>
      <c r="V11" s="181"/>
    </row>
    <row r="12" spans="1:22" s="2" customFormat="1" ht="17" hidden="1" outlineLevel="1">
      <c r="A12" s="6"/>
      <c r="B12" s="181"/>
      <c r="C12" s="182"/>
      <c r="D12" s="187"/>
      <c r="E12" s="215"/>
      <c r="F12" s="214"/>
      <c r="G12" s="214"/>
      <c r="H12" s="273" t="s">
        <v>422</v>
      </c>
      <c r="I12" s="181"/>
      <c r="J12" s="181">
        <v>1</v>
      </c>
      <c r="K12" s="181">
        <v>209.14</v>
      </c>
      <c r="L12" s="181"/>
      <c r="M12" s="181">
        <v>0.4</v>
      </c>
      <c r="N12" s="181"/>
      <c r="O12" s="181"/>
      <c r="P12" s="181"/>
      <c r="Q12" s="181"/>
      <c r="R12" s="179">
        <f>PRODUCT(J12:Q12)</f>
        <v>83.656000000000006</v>
      </c>
      <c r="S12" s="181"/>
      <c r="T12" s="181"/>
      <c r="U12" s="181"/>
      <c r="V12" s="181"/>
    </row>
    <row r="13" spans="1:22" s="2" customFormat="1" ht="17" hidden="1" outlineLevel="1">
      <c r="A13" s="6"/>
      <c r="B13" s="181"/>
      <c r="C13" s="182"/>
      <c r="D13" s="187"/>
      <c r="E13" s="215"/>
      <c r="F13" s="214"/>
      <c r="G13" s="214"/>
      <c r="H13" s="273" t="s">
        <v>423</v>
      </c>
      <c r="I13" s="181"/>
      <c r="J13" s="181">
        <v>1</v>
      </c>
      <c r="K13" s="181">
        <v>155.13</v>
      </c>
      <c r="L13" s="181"/>
      <c r="M13" s="181">
        <v>0.3</v>
      </c>
      <c r="N13" s="181"/>
      <c r="O13" s="181"/>
      <c r="P13" s="181"/>
      <c r="Q13" s="181"/>
      <c r="R13" s="179">
        <f t="shared" ref="R13:R14" si="0">PRODUCT(J13:Q13)</f>
        <v>46.538999999999994</v>
      </c>
      <c r="S13" s="181"/>
      <c r="T13" s="181"/>
      <c r="U13" s="181"/>
      <c r="V13" s="181"/>
    </row>
    <row r="14" spans="1:22" s="2" customFormat="1" ht="17" hidden="1" outlineLevel="1">
      <c r="A14" s="6"/>
      <c r="B14" s="181"/>
      <c r="C14" s="182"/>
      <c r="D14" s="187"/>
      <c r="E14" s="215"/>
      <c r="F14" s="214"/>
      <c r="G14" s="214"/>
      <c r="H14" s="273" t="s">
        <v>424</v>
      </c>
      <c r="I14" s="181"/>
      <c r="J14" s="181">
        <v>1</v>
      </c>
      <c r="K14" s="181">
        <v>10.23</v>
      </c>
      <c r="L14" s="181"/>
      <c r="M14" s="181">
        <v>0.1</v>
      </c>
      <c r="N14" s="181"/>
      <c r="O14" s="181"/>
      <c r="P14" s="181"/>
      <c r="Q14" s="181"/>
      <c r="R14" s="179">
        <f t="shared" si="0"/>
        <v>1.0230000000000001</v>
      </c>
      <c r="S14" s="181"/>
      <c r="T14" s="181"/>
      <c r="U14" s="181"/>
      <c r="V14" s="181"/>
    </row>
    <row r="15" spans="1:22" s="2" customFormat="1" ht="16" hidden="1" outlineLevel="1">
      <c r="A15" s="6"/>
      <c r="B15" s="181"/>
      <c r="C15" s="182"/>
      <c r="D15" s="187"/>
      <c r="E15" s="215"/>
      <c r="F15" s="214"/>
      <c r="G15" s="214"/>
      <c r="H15" s="273"/>
      <c r="I15" s="181"/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81"/>
    </row>
    <row r="16" spans="1:22" s="2" customFormat="1" ht="17" collapsed="1">
      <c r="A16" s="6"/>
      <c r="B16" s="174">
        <v>3</v>
      </c>
      <c r="C16" s="175"/>
      <c r="D16" s="261" t="str">
        <f>VLOOKUP(B16,$B$69:$D$86,2,0)</f>
        <v>ID-029A</v>
      </c>
      <c r="E16" s="211" cm="1">
        <f t="array" ref="E16:I16">(_xlfn.XLOOKUP($D16,'B-1. THKL THEO ID'!$B:$B,('B-1. THKL THEO ID'!C:G),"N/A",0))</f>
        <v>0</v>
      </c>
      <c r="F16" s="211" t="str">
        <v>BOQ-030</v>
      </c>
      <c r="G16" s="211">
        <v>0</v>
      </c>
      <c r="H16" s="183" t="str">
        <v>Thép dầm tầng 1 D&lt;=10</v>
      </c>
      <c r="I16" s="208" t="str">
        <v>tấn</v>
      </c>
      <c r="J16" s="174"/>
      <c r="K16" s="174"/>
      <c r="L16" s="174"/>
      <c r="M16" s="176"/>
      <c r="N16" s="174"/>
      <c r="O16" s="177"/>
      <c r="P16" s="177"/>
      <c r="Q16" s="177"/>
      <c r="R16" s="178">
        <f>SUBTOTAL(9,R17:R18)</f>
        <v>0</v>
      </c>
      <c r="S16" s="177"/>
      <c r="T16" s="177"/>
      <c r="U16" s="209">
        <f>SUBTOTAL(9,U17:U18)</f>
        <v>0</v>
      </c>
      <c r="V16" s="177"/>
    </row>
    <row r="17" spans="1:22" s="2" customFormat="1" ht="16" hidden="1" outlineLevel="1">
      <c r="A17" s="6"/>
      <c r="B17" s="179"/>
      <c r="C17" s="180"/>
      <c r="D17" s="239"/>
      <c r="E17" s="213"/>
      <c r="F17" s="212"/>
      <c r="G17" s="212"/>
      <c r="H17" s="272"/>
      <c r="I17" s="179"/>
      <c r="J17" s="179"/>
      <c r="K17" s="179"/>
      <c r="L17" s="179"/>
      <c r="M17" s="179"/>
      <c r="N17" s="179"/>
      <c r="O17" s="179"/>
      <c r="P17" s="179"/>
      <c r="Q17" s="179"/>
      <c r="R17" s="262"/>
      <c r="S17" s="179"/>
      <c r="T17" s="179"/>
      <c r="U17" s="179"/>
      <c r="V17" s="179"/>
    </row>
    <row r="18" spans="1:22" s="2" customFormat="1" ht="16" hidden="1" outlineLevel="1">
      <c r="A18" s="6"/>
      <c r="B18" s="181"/>
      <c r="C18" s="182"/>
      <c r="D18" s="181"/>
      <c r="E18" s="215"/>
      <c r="F18" s="214"/>
      <c r="G18" s="214"/>
      <c r="H18" s="273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</row>
    <row r="19" spans="1:22" s="2" customFormat="1" ht="17" collapsed="1">
      <c r="A19" s="6"/>
      <c r="B19" s="174">
        <v>4</v>
      </c>
      <c r="C19" s="175"/>
      <c r="D19" s="261" t="str">
        <f>VLOOKUP(B19,$B$69:$D$86,2,0)</f>
        <v>ID-029B</v>
      </c>
      <c r="E19" s="211" cm="1">
        <f t="array" ref="E19:I19">(_xlfn.XLOOKUP($D19,'B-1. THKL THEO ID'!$B:$B,('B-1. THKL THEO ID'!C:G),"N/A",0))</f>
        <v>0</v>
      </c>
      <c r="F19" s="211" t="str">
        <v>BOQ-031</v>
      </c>
      <c r="G19" s="211">
        <v>0</v>
      </c>
      <c r="H19" s="183" t="str">
        <v>Thép dầm tầng 1 D&lt;=18</v>
      </c>
      <c r="I19" s="208" t="str">
        <v>tấn</v>
      </c>
      <c r="J19" s="174"/>
      <c r="K19" s="174"/>
      <c r="L19" s="174"/>
      <c r="M19" s="176"/>
      <c r="N19" s="174"/>
      <c r="O19" s="177"/>
      <c r="P19" s="177"/>
      <c r="Q19" s="177"/>
      <c r="R19" s="178">
        <f>SUBTOTAL(9,R20:R21)</f>
        <v>0</v>
      </c>
      <c r="S19" s="177"/>
      <c r="T19" s="177"/>
      <c r="U19" s="209">
        <f>SUBTOTAL(9,U20:U21)</f>
        <v>0</v>
      </c>
      <c r="V19" s="177"/>
    </row>
    <row r="20" spans="1:22" s="2" customFormat="1" ht="16" hidden="1" outlineLevel="1">
      <c r="A20" s="6"/>
      <c r="B20" s="179"/>
      <c r="C20" s="180"/>
      <c r="D20" s="239"/>
      <c r="E20" s="213"/>
      <c r="F20" s="212"/>
      <c r="G20" s="212"/>
      <c r="H20" s="272"/>
      <c r="I20" s="179"/>
      <c r="J20" s="179"/>
      <c r="K20" s="179"/>
      <c r="L20" s="179"/>
      <c r="M20" s="179"/>
      <c r="N20" s="179"/>
      <c r="O20" s="179"/>
      <c r="P20" s="179"/>
      <c r="Q20" s="179"/>
      <c r="R20" s="262"/>
      <c r="S20" s="179"/>
      <c r="T20" s="179"/>
      <c r="U20" s="179"/>
      <c r="V20" s="179"/>
    </row>
    <row r="21" spans="1:22" s="2" customFormat="1" ht="16" hidden="1" outlineLevel="1">
      <c r="A21" s="6"/>
      <c r="B21" s="181"/>
      <c r="C21" s="182"/>
      <c r="D21" s="181"/>
      <c r="E21" s="215"/>
      <c r="F21" s="214"/>
      <c r="G21" s="214"/>
      <c r="H21" s="273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</row>
    <row r="22" spans="1:22" s="2" customFormat="1" ht="17" collapsed="1">
      <c r="A22" s="6"/>
      <c r="B22" s="174">
        <v>5</v>
      </c>
      <c r="C22" s="175"/>
      <c r="D22" s="261" t="str">
        <f>VLOOKUP(B22,$B$69:$D$86,2,0)</f>
        <v>ID-029C</v>
      </c>
      <c r="E22" s="211" cm="1">
        <f t="array" ref="E22:I22">(_xlfn.XLOOKUP($D22,'B-1. THKL THEO ID'!$B:$B,('B-1. THKL THEO ID'!C:G),"N/A",0))</f>
        <v>0</v>
      </c>
      <c r="F22" s="211" t="str">
        <v>BOQ-032</v>
      </c>
      <c r="G22" s="211">
        <v>0</v>
      </c>
      <c r="H22" s="183" t="str">
        <v>Thép dầm tầng 1 D&gt;18</v>
      </c>
      <c r="I22" s="208" t="str">
        <v>tấn</v>
      </c>
      <c r="J22" s="174"/>
      <c r="K22" s="174"/>
      <c r="L22" s="174"/>
      <c r="M22" s="176"/>
      <c r="N22" s="174"/>
      <c r="O22" s="177"/>
      <c r="P22" s="177"/>
      <c r="Q22" s="177"/>
      <c r="R22" s="178">
        <f>SUBTOTAL(9,R23:R24)</f>
        <v>0</v>
      </c>
      <c r="S22" s="177"/>
      <c r="T22" s="177"/>
      <c r="U22" s="178">
        <f>SUBTOTAL(9,U23:U23)</f>
        <v>0</v>
      </c>
      <c r="V22" s="177"/>
    </row>
    <row r="23" spans="1:22" s="2" customFormat="1" ht="16" hidden="1" outlineLevel="1">
      <c r="A23" s="6"/>
      <c r="B23" s="179"/>
      <c r="C23" s="180"/>
      <c r="D23" s="186"/>
      <c r="E23" s="213"/>
      <c r="F23" s="212"/>
      <c r="G23" s="212"/>
      <c r="H23" s="272"/>
      <c r="I23" s="179"/>
      <c r="J23" s="179"/>
      <c r="K23" s="179"/>
      <c r="L23" s="179"/>
      <c r="M23" s="179"/>
      <c r="N23" s="179"/>
      <c r="O23" s="179"/>
      <c r="P23" s="179"/>
      <c r="Q23" s="179"/>
      <c r="R23" s="179"/>
      <c r="S23" s="179"/>
      <c r="T23" s="179"/>
      <c r="U23" s="179"/>
      <c r="V23" s="179"/>
    </row>
    <row r="24" spans="1:22" s="2" customFormat="1" ht="16" hidden="1" outlineLevel="1">
      <c r="A24" s="6"/>
      <c r="B24" s="181"/>
      <c r="C24" s="182"/>
      <c r="D24" s="187"/>
      <c r="E24" s="215"/>
      <c r="F24" s="214"/>
      <c r="G24" s="214"/>
      <c r="H24" s="273"/>
      <c r="I24" s="181"/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81"/>
    </row>
    <row r="25" spans="1:22" s="2" customFormat="1" ht="17" collapsed="1">
      <c r="A25" s="6"/>
      <c r="B25" s="174">
        <v>6</v>
      </c>
      <c r="C25" s="175"/>
      <c r="D25" s="261" t="str">
        <f>VLOOKUP(B25,$B$69:$D$86,2,0)</f>
        <v>ID-029</v>
      </c>
      <c r="E25" s="211" t="str" cm="1">
        <f t="array" ref="E25:I25">(_xlfn.XLOOKUP($D25,'B-1. THKL THEO ID'!$B:$B,('B-1. THKL THEO ID'!C:G),"N/A",0))</f>
        <v>CBS</v>
      </c>
      <c r="F25" s="211">
        <v>0</v>
      </c>
      <c r="G25" s="211">
        <v>0</v>
      </c>
      <c r="H25" s="183" t="str">
        <v>Thép dầm tầng 1 full (kg)</v>
      </c>
      <c r="I25" s="208" t="str">
        <v>kg</v>
      </c>
      <c r="J25" s="174"/>
      <c r="K25" s="174"/>
      <c r="L25" s="174"/>
      <c r="M25" s="176"/>
      <c r="N25" s="174"/>
      <c r="O25" s="177"/>
      <c r="P25" s="177"/>
      <c r="Q25" s="177"/>
      <c r="R25" s="178">
        <f>SUBTOTAL(9,R26:R27)</f>
        <v>0</v>
      </c>
      <c r="S25" s="177"/>
      <c r="T25" s="177"/>
      <c r="U25" s="209">
        <f>SUBTOTAL(9,U26:U27)</f>
        <v>0</v>
      </c>
      <c r="V25" s="177"/>
    </row>
    <row r="26" spans="1:22" s="2" customFormat="1" ht="16" hidden="1" outlineLevel="1">
      <c r="A26" s="6"/>
      <c r="B26" s="179"/>
      <c r="C26" s="180"/>
      <c r="D26" s="239"/>
      <c r="E26" s="213"/>
      <c r="F26" s="212"/>
      <c r="G26" s="212"/>
      <c r="H26" s="272"/>
      <c r="I26" s="179"/>
      <c r="J26" s="179"/>
      <c r="K26" s="179"/>
      <c r="L26" s="179"/>
      <c r="M26" s="179"/>
      <c r="N26" s="179"/>
      <c r="O26" s="179"/>
      <c r="P26" s="179"/>
      <c r="Q26" s="179"/>
      <c r="R26" s="262"/>
      <c r="S26" s="179"/>
      <c r="T26" s="179"/>
      <c r="U26" s="179"/>
      <c r="V26" s="179"/>
    </row>
    <row r="27" spans="1:22" s="2" customFormat="1" ht="16" hidden="1" outlineLevel="1">
      <c r="A27" s="6"/>
      <c r="B27" s="181"/>
      <c r="C27" s="182"/>
      <c r="D27" s="181"/>
      <c r="E27" s="215"/>
      <c r="F27" s="214"/>
      <c r="G27" s="214"/>
      <c r="H27" s="273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</row>
    <row r="28" spans="1:22" s="2" customFormat="1" ht="34" collapsed="1">
      <c r="A28" s="6"/>
      <c r="B28" s="174">
        <v>7</v>
      </c>
      <c r="C28" s="175"/>
      <c r="D28" s="261" t="str">
        <f>VLOOKUP(B28,$B$69:$D$86,2,0)</f>
        <v>ID-030</v>
      </c>
      <c r="E28" s="211" cm="1">
        <f t="array" ref="E28:I28">(_xlfn.XLOOKUP($D28,'B-1. THKL THEO ID'!$B:$B,('B-1. THKL THEO ID'!C:G),"N/A",0))</f>
        <v>0</v>
      </c>
      <c r="F28" s="211" t="str">
        <v>BOQ-033</v>
      </c>
      <c r="G28" s="211">
        <v>0</v>
      </c>
      <c r="H28" s="183" t="str">
        <v>Bê tông dầm tầng 1 M600 (M400 theo bản vẽ thiết kế)</v>
      </c>
      <c r="I28" s="208" t="str">
        <v>m3</v>
      </c>
      <c r="J28" s="174"/>
      <c r="K28" s="174"/>
      <c r="L28" s="174"/>
      <c r="M28" s="176"/>
      <c r="N28" s="174"/>
      <c r="O28" s="177"/>
      <c r="P28" s="177"/>
      <c r="Q28" s="177"/>
      <c r="R28" s="178">
        <f>R31</f>
        <v>50.438000000000009</v>
      </c>
      <c r="S28" s="177"/>
      <c r="T28" s="177"/>
      <c r="U28" s="209">
        <f>SUBTOTAL(9,U29:U30)</f>
        <v>0</v>
      </c>
      <c r="V28" s="177"/>
    </row>
    <row r="29" spans="1:22" s="2" customFormat="1" ht="16" hidden="1" outlineLevel="1">
      <c r="A29" s="6"/>
      <c r="B29" s="179"/>
      <c r="C29" s="180"/>
      <c r="D29" s="239"/>
      <c r="E29" s="213"/>
      <c r="F29" s="212"/>
      <c r="G29" s="212"/>
      <c r="H29" s="272"/>
      <c r="I29" s="179"/>
      <c r="J29" s="179"/>
      <c r="K29" s="179"/>
      <c r="L29" s="179"/>
      <c r="M29" s="179"/>
      <c r="N29" s="179"/>
      <c r="O29" s="179"/>
      <c r="P29" s="179"/>
      <c r="Q29" s="179"/>
      <c r="R29" s="262"/>
      <c r="S29" s="179"/>
      <c r="T29" s="179"/>
      <c r="U29" s="179"/>
      <c r="V29" s="179"/>
    </row>
    <row r="30" spans="1:22" s="2" customFormat="1" ht="16" hidden="1" outlineLevel="1">
      <c r="A30" s="6"/>
      <c r="B30" s="181"/>
      <c r="C30" s="182"/>
      <c r="D30" s="181"/>
      <c r="E30" s="215"/>
      <c r="F30" s="214"/>
      <c r="G30" s="214"/>
      <c r="H30" s="273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</row>
    <row r="31" spans="1:22" s="2" customFormat="1" ht="17" collapsed="1">
      <c r="A31" s="6"/>
      <c r="B31" s="174">
        <v>8</v>
      </c>
      <c r="C31" s="175"/>
      <c r="D31" s="261" t="str">
        <f>VLOOKUP(B31,$B$69:$D$86,2,0)</f>
        <v>ID-030A</v>
      </c>
      <c r="E31" s="211" t="str" cm="1">
        <f t="array" ref="E31:I31">(_xlfn.XLOOKUP($D31,'B-1. THKL THEO ID'!$B:$B,('B-1. THKL THEO ID'!C:G),"N/A",0))</f>
        <v>CBS</v>
      </c>
      <c r="F31" s="211">
        <v>0</v>
      </c>
      <c r="G31" s="211">
        <v>0</v>
      </c>
      <c r="H31" s="183" t="str">
        <v>Bê tông dầm tầng 1 M400</v>
      </c>
      <c r="I31" s="208" t="str">
        <v>m3</v>
      </c>
      <c r="J31" s="174"/>
      <c r="K31" s="174"/>
      <c r="L31" s="174"/>
      <c r="M31" s="176"/>
      <c r="N31" s="174"/>
      <c r="O31" s="177"/>
      <c r="P31" s="177"/>
      <c r="Q31" s="177"/>
      <c r="R31" s="178">
        <f>SUBTOTAL(9,R32:R36)</f>
        <v>50.438000000000009</v>
      </c>
      <c r="S31" s="177"/>
      <c r="T31" s="177"/>
      <c r="U31" s="178">
        <f>SUBTOTAL(9,U32:U32)</f>
        <v>0</v>
      </c>
      <c r="V31" s="177"/>
    </row>
    <row r="32" spans="1:22" s="2" customFormat="1" ht="17" hidden="1" outlineLevel="1">
      <c r="A32" s="6"/>
      <c r="B32" s="179"/>
      <c r="C32" s="180"/>
      <c r="D32" s="186"/>
      <c r="E32" s="213"/>
      <c r="F32" s="212"/>
      <c r="G32" s="212"/>
      <c r="H32" s="272" t="s">
        <v>409</v>
      </c>
      <c r="I32" s="179"/>
      <c r="J32" s="179">
        <v>1</v>
      </c>
      <c r="K32" s="179"/>
      <c r="L32" s="179"/>
      <c r="M32" s="179">
        <v>0.4</v>
      </c>
      <c r="N32" s="179">
        <v>107.51</v>
      </c>
      <c r="O32" s="179"/>
      <c r="P32" s="179"/>
      <c r="Q32" s="179"/>
      <c r="R32" s="179">
        <f t="shared" ref="R32:R33" si="1">PRODUCT(J32:Q32)</f>
        <v>43.004000000000005</v>
      </c>
      <c r="S32" s="179"/>
      <c r="T32" s="179"/>
      <c r="U32" s="179"/>
      <c r="V32" s="179"/>
    </row>
    <row r="33" spans="1:22" s="2" customFormat="1" ht="17" hidden="1" outlineLevel="1">
      <c r="A33" s="6"/>
      <c r="B33" s="181"/>
      <c r="C33" s="182"/>
      <c r="D33" s="187"/>
      <c r="E33" s="215"/>
      <c r="F33" s="214"/>
      <c r="G33" s="214"/>
      <c r="H33" s="272" t="s">
        <v>411</v>
      </c>
      <c r="I33" s="181"/>
      <c r="J33" s="181">
        <v>1</v>
      </c>
      <c r="K33" s="181"/>
      <c r="L33" s="181"/>
      <c r="M33" s="181">
        <v>0.4</v>
      </c>
      <c r="N33" s="181">
        <v>15.87</v>
      </c>
      <c r="O33" s="181">
        <v>-1</v>
      </c>
      <c r="P33" s="181"/>
      <c r="Q33" s="181"/>
      <c r="R33" s="179">
        <f t="shared" si="1"/>
        <v>-6.3479999999999999</v>
      </c>
      <c r="S33" s="181"/>
      <c r="T33" s="181"/>
      <c r="U33" s="181"/>
      <c r="V33" s="181"/>
    </row>
    <row r="34" spans="1:22" s="2" customFormat="1" ht="17" hidden="1" outlineLevel="1">
      <c r="A34" s="6"/>
      <c r="B34" s="181"/>
      <c r="C34" s="182"/>
      <c r="D34" s="187"/>
      <c r="E34" s="215"/>
      <c r="F34" s="214"/>
      <c r="G34" s="214"/>
      <c r="H34" s="272" t="s">
        <v>410</v>
      </c>
      <c r="I34" s="181"/>
      <c r="J34" s="181">
        <v>1</v>
      </c>
      <c r="K34" s="181"/>
      <c r="L34" s="181"/>
      <c r="M34" s="181">
        <v>0.3</v>
      </c>
      <c r="N34" s="181">
        <v>46.53</v>
      </c>
      <c r="O34" s="181"/>
      <c r="P34" s="181"/>
      <c r="Q34" s="181"/>
      <c r="R34" s="179">
        <f t="shared" ref="R34:R35" si="2">PRODUCT(J34:Q34)</f>
        <v>13.959</v>
      </c>
      <c r="S34" s="181"/>
      <c r="T34" s="181"/>
      <c r="U34" s="181"/>
      <c r="V34" s="181"/>
    </row>
    <row r="35" spans="1:22" s="2" customFormat="1" ht="17" hidden="1" outlineLevel="1">
      <c r="A35" s="6"/>
      <c r="B35" s="181"/>
      <c r="C35" s="182"/>
      <c r="D35" s="187"/>
      <c r="E35" s="215"/>
      <c r="F35" s="214"/>
      <c r="G35" s="214"/>
      <c r="H35" s="272" t="s">
        <v>412</v>
      </c>
      <c r="I35" s="181"/>
      <c r="J35" s="181">
        <v>1</v>
      </c>
      <c r="K35" s="181"/>
      <c r="L35" s="181"/>
      <c r="M35" s="181">
        <v>0.3</v>
      </c>
      <c r="N35" s="181">
        <v>0.59</v>
      </c>
      <c r="O35" s="181">
        <v>-1</v>
      </c>
      <c r="P35" s="181"/>
      <c r="Q35" s="181"/>
      <c r="R35" s="179">
        <f t="shared" si="2"/>
        <v>-0.17699999999999999</v>
      </c>
      <c r="S35" s="181"/>
      <c r="T35" s="181"/>
      <c r="U35" s="181"/>
      <c r="V35" s="181"/>
    </row>
    <row r="36" spans="1:22" s="2" customFormat="1" ht="16" hidden="1" outlineLevel="1">
      <c r="A36" s="6"/>
      <c r="B36" s="181"/>
      <c r="C36" s="182"/>
      <c r="D36" s="187"/>
      <c r="E36" s="215"/>
      <c r="F36" s="214"/>
      <c r="G36" s="214"/>
      <c r="H36" s="273"/>
      <c r="I36" s="181"/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81"/>
    </row>
    <row r="37" spans="1:22" s="2" customFormat="1" ht="34" collapsed="1">
      <c r="A37" s="6"/>
      <c r="B37" s="174">
        <v>9</v>
      </c>
      <c r="C37" s="175"/>
      <c r="D37" s="261" t="str">
        <f>VLOOKUP(B37,$B$69:$D$86,2,0)</f>
        <v>ID-031</v>
      </c>
      <c r="E37" s="211" cm="1">
        <f t="array" ref="E37:I37">(_xlfn.XLOOKUP($D37,'B-1. THKL THEO ID'!$B:$B,('B-1. THKL THEO ID'!C:G),"N/A",0))</f>
        <v>0</v>
      </c>
      <c r="F37" s="211" t="str">
        <v>BOQ-034</v>
      </c>
      <c r="G37" s="211">
        <v>0</v>
      </c>
      <c r="H37" s="183" t="str">
        <v>Ván khuôn ép sàn tầng 1</v>
      </c>
      <c r="I37" s="208" t="str">
        <v>100m2</v>
      </c>
      <c r="J37" s="174"/>
      <c r="K37" s="174"/>
      <c r="L37" s="174"/>
      <c r="M37" s="176"/>
      <c r="N37" s="174"/>
      <c r="O37" s="177"/>
      <c r="P37" s="177"/>
      <c r="Q37" s="177"/>
      <c r="R37" s="178">
        <f>R40/100</f>
        <v>5.7204000000000006</v>
      </c>
      <c r="S37" s="177"/>
      <c r="T37" s="177"/>
      <c r="U37" s="209">
        <f>SUBTOTAL(9,U38:U39)</f>
        <v>0</v>
      </c>
      <c r="V37" s="177"/>
    </row>
    <row r="38" spans="1:22" s="2" customFormat="1" ht="16" hidden="1" outlineLevel="1">
      <c r="A38" s="6"/>
      <c r="B38" s="181"/>
      <c r="C38" s="182"/>
      <c r="D38" s="277"/>
      <c r="E38" s="215"/>
      <c r="F38" s="214"/>
      <c r="G38" s="214"/>
      <c r="H38" s="273"/>
      <c r="I38" s="181"/>
      <c r="J38" s="181"/>
      <c r="K38" s="181"/>
      <c r="L38" s="181"/>
      <c r="M38" s="181"/>
      <c r="N38" s="181"/>
      <c r="O38" s="181"/>
      <c r="P38" s="181"/>
      <c r="Q38" s="181"/>
      <c r="R38" s="278"/>
      <c r="S38" s="181"/>
      <c r="T38" s="181"/>
      <c r="U38" s="181"/>
      <c r="V38" s="181"/>
    </row>
    <row r="39" spans="1:22" s="2" customFormat="1" ht="16" hidden="1" outlineLevel="1">
      <c r="A39" s="6"/>
      <c r="B39" s="181"/>
      <c r="C39" s="182"/>
      <c r="D39" s="181"/>
      <c r="E39" s="215"/>
      <c r="F39" s="214"/>
      <c r="G39" s="214"/>
      <c r="H39" s="273"/>
      <c r="I39" s="181"/>
      <c r="J39" s="181"/>
      <c r="K39" s="181"/>
      <c r="L39" s="181"/>
      <c r="M39" s="181"/>
      <c r="N39" s="181"/>
      <c r="O39" s="181"/>
      <c r="P39" s="181"/>
      <c r="Q39" s="181"/>
      <c r="R39" s="181"/>
      <c r="S39" s="181"/>
      <c r="T39" s="181"/>
      <c r="U39" s="181"/>
      <c r="V39" s="181"/>
    </row>
    <row r="40" spans="1:22" s="2" customFormat="1" ht="17" collapsed="1">
      <c r="A40" s="6"/>
      <c r="B40" s="174">
        <v>10</v>
      </c>
      <c r="C40" s="175"/>
      <c r="D40" s="261" t="str">
        <f>VLOOKUP(B40,$B$69:$D$86,2,0)</f>
        <v>ID-031A</v>
      </c>
      <c r="E40" s="211" t="str" cm="1">
        <f t="array" ref="E40:I40">(_xlfn.XLOOKUP($D40,'B-1. THKL THEO ID'!$B:$B,('B-1. THKL THEO ID'!C:G),"N/A",0))</f>
        <v>CBS</v>
      </c>
      <c r="F40" s="211">
        <v>0</v>
      </c>
      <c r="G40" s="211">
        <v>0</v>
      </c>
      <c r="H40" s="183" t="str">
        <v>Ván khuôn ép sàn tầng 1 (m2)</v>
      </c>
      <c r="I40" s="208" t="str">
        <v>m2</v>
      </c>
      <c r="J40" s="174"/>
      <c r="K40" s="174"/>
      <c r="L40" s="174"/>
      <c r="M40" s="176"/>
      <c r="N40" s="174"/>
      <c r="O40" s="177"/>
      <c r="P40" s="177"/>
      <c r="Q40" s="177"/>
      <c r="R40" s="178">
        <f>SUBTOTAL(9,R41:R44)</f>
        <v>572.04000000000008</v>
      </c>
      <c r="S40" s="177"/>
      <c r="T40" s="177"/>
      <c r="U40" s="209">
        <f>SUBTOTAL(9,U41:U44)</f>
        <v>0</v>
      </c>
      <c r="V40" s="177"/>
    </row>
    <row r="41" spans="1:22" s="2" customFormat="1" ht="17" hidden="1" outlineLevel="1">
      <c r="A41" s="6"/>
      <c r="B41" s="179"/>
      <c r="C41" s="180"/>
      <c r="D41" s="239"/>
      <c r="E41" s="213"/>
      <c r="F41" s="212"/>
      <c r="G41" s="212"/>
      <c r="H41" s="272" t="s">
        <v>413</v>
      </c>
      <c r="I41" s="179"/>
      <c r="J41" s="179">
        <v>1</v>
      </c>
      <c r="K41" s="179"/>
      <c r="L41" s="179"/>
      <c r="M41" s="179"/>
      <c r="N41" s="179">
        <v>726.21</v>
      </c>
      <c r="O41" s="179"/>
      <c r="P41" s="179"/>
      <c r="Q41" s="179"/>
      <c r="R41" s="179">
        <f t="shared" ref="R41:R43" si="3">PRODUCT(J41:Q41)</f>
        <v>726.21</v>
      </c>
      <c r="S41" s="179"/>
      <c r="T41" s="179"/>
      <c r="U41" s="179"/>
      <c r="V41" s="179"/>
    </row>
    <row r="42" spans="1:22" s="2" customFormat="1" ht="17" hidden="1" outlineLevel="1">
      <c r="A42" s="6"/>
      <c r="B42" s="181"/>
      <c r="C42" s="182"/>
      <c r="D42" s="277"/>
      <c r="E42" s="215"/>
      <c r="F42" s="214"/>
      <c r="G42" s="214"/>
      <c r="H42" s="273" t="s">
        <v>415</v>
      </c>
      <c r="I42" s="181"/>
      <c r="J42" s="181">
        <v>1</v>
      </c>
      <c r="K42" s="181"/>
      <c r="L42" s="181"/>
      <c r="M42" s="181"/>
      <c r="N42" s="181">
        <f>N10</f>
        <v>154</v>
      </c>
      <c r="O42" s="181">
        <v>-1</v>
      </c>
      <c r="P42" s="181"/>
      <c r="Q42" s="181"/>
      <c r="R42" s="179">
        <f t="shared" si="3"/>
        <v>-154</v>
      </c>
      <c r="S42" s="181"/>
      <c r="T42" s="181"/>
      <c r="U42" s="181"/>
      <c r="V42" s="181"/>
    </row>
    <row r="43" spans="1:22" s="2" customFormat="1" ht="17" hidden="1" outlineLevel="1">
      <c r="A43" s="6"/>
      <c r="B43" s="181"/>
      <c r="C43" s="182"/>
      <c r="D43" s="277"/>
      <c r="E43" s="215"/>
      <c r="F43" s="214"/>
      <c r="G43" s="214"/>
      <c r="H43" s="273" t="s">
        <v>414</v>
      </c>
      <c r="I43" s="181"/>
      <c r="J43" s="181">
        <v>1</v>
      </c>
      <c r="K43" s="181"/>
      <c r="L43" s="181"/>
      <c r="M43" s="181"/>
      <c r="N43" s="181">
        <v>0.17</v>
      </c>
      <c r="O43" s="181">
        <v>-1</v>
      </c>
      <c r="P43" s="181"/>
      <c r="Q43" s="181"/>
      <c r="R43" s="179">
        <f t="shared" si="3"/>
        <v>-0.17</v>
      </c>
      <c r="S43" s="181"/>
      <c r="T43" s="181"/>
      <c r="U43" s="181"/>
      <c r="V43" s="181"/>
    </row>
    <row r="44" spans="1:22" s="2" customFormat="1" ht="16" hidden="1" outlineLevel="1">
      <c r="A44" s="6"/>
      <c r="B44" s="181"/>
      <c r="C44" s="182"/>
      <c r="D44" s="181"/>
      <c r="E44" s="215"/>
      <c r="F44" s="214"/>
      <c r="G44" s="214"/>
      <c r="H44" s="273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</row>
    <row r="45" spans="1:22" s="2" customFormat="1" ht="17" collapsed="1">
      <c r="A45" s="6"/>
      <c r="B45" s="174">
        <v>11</v>
      </c>
      <c r="C45" s="175"/>
      <c r="D45" s="261" t="str">
        <f>VLOOKUP(B45,$B$69:$D$86,2,0)</f>
        <v>ID-032A</v>
      </c>
      <c r="E45" s="211" cm="1">
        <f t="array" ref="E45:I45">(_xlfn.XLOOKUP($D45,'B-1. THKL THEO ID'!$B:$B,('B-1. THKL THEO ID'!C:G),"N/A",0))</f>
        <v>0</v>
      </c>
      <c r="F45" s="211" t="str">
        <v>BOQ-035</v>
      </c>
      <c r="G45" s="211">
        <v>0</v>
      </c>
      <c r="H45" s="183" t="str">
        <v>Thép sàn tầng 1 D&lt;=10</v>
      </c>
      <c r="I45" s="208" t="str">
        <v>tấn</v>
      </c>
      <c r="J45" s="174"/>
      <c r="K45" s="174"/>
      <c r="L45" s="174"/>
      <c r="M45" s="176"/>
      <c r="N45" s="174"/>
      <c r="O45" s="177"/>
      <c r="P45" s="177"/>
      <c r="Q45" s="177"/>
      <c r="R45" s="178">
        <f>SUBTOTAL(9,R46:R47)</f>
        <v>0</v>
      </c>
      <c r="S45" s="177"/>
      <c r="T45" s="177"/>
      <c r="U45" s="209">
        <f>SUBTOTAL(9,U46:U47)</f>
        <v>0</v>
      </c>
      <c r="V45" s="177"/>
    </row>
    <row r="46" spans="1:22" s="2" customFormat="1" ht="16" hidden="1" outlineLevel="1">
      <c r="A46" s="6"/>
      <c r="B46" s="179"/>
      <c r="C46" s="180"/>
      <c r="D46" s="239"/>
      <c r="E46" s="213"/>
      <c r="F46" s="212"/>
      <c r="G46" s="212"/>
      <c r="H46" s="272"/>
      <c r="I46" s="179"/>
      <c r="J46" s="179"/>
      <c r="K46" s="179"/>
      <c r="L46" s="179"/>
      <c r="M46" s="179"/>
      <c r="N46" s="179"/>
      <c r="O46" s="179"/>
      <c r="P46" s="179"/>
      <c r="Q46" s="179"/>
      <c r="R46" s="262"/>
      <c r="S46" s="179"/>
      <c r="T46" s="179"/>
      <c r="U46" s="179"/>
      <c r="V46" s="179"/>
    </row>
    <row r="47" spans="1:22" s="2" customFormat="1" ht="16" hidden="1" outlineLevel="1">
      <c r="A47" s="6"/>
      <c r="B47" s="181"/>
      <c r="C47" s="182"/>
      <c r="D47" s="181"/>
      <c r="E47" s="215"/>
      <c r="F47" s="214"/>
      <c r="G47" s="214"/>
      <c r="H47" s="273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</row>
    <row r="48" spans="1:22" s="2" customFormat="1" ht="17" collapsed="1">
      <c r="A48" s="6"/>
      <c r="B48" s="174">
        <v>12</v>
      </c>
      <c r="C48" s="175"/>
      <c r="D48" s="261" t="str">
        <f>VLOOKUP(B48,$B$69:$D$86,2,0)</f>
        <v>ID-032B</v>
      </c>
      <c r="E48" s="211" cm="1">
        <f t="array" ref="E48:I48">(_xlfn.XLOOKUP($D48,'B-1. THKL THEO ID'!$B:$B,('B-1. THKL THEO ID'!C:G),"N/A",0))</f>
        <v>0</v>
      </c>
      <c r="F48" s="211" t="str">
        <v>BOQ-036</v>
      </c>
      <c r="G48" s="211">
        <v>0</v>
      </c>
      <c r="H48" s="183" t="str">
        <v>Thép sàn tầng 1 D&gt;10</v>
      </c>
      <c r="I48" s="208" t="str">
        <v>tấn</v>
      </c>
      <c r="J48" s="174"/>
      <c r="K48" s="174"/>
      <c r="L48" s="174"/>
      <c r="M48" s="176"/>
      <c r="N48" s="174"/>
      <c r="O48" s="177"/>
      <c r="P48" s="177"/>
      <c r="Q48" s="177"/>
      <c r="R48" s="178">
        <f>SUBTOTAL(9,R49:R50)</f>
        <v>0</v>
      </c>
      <c r="S48" s="177"/>
      <c r="T48" s="177"/>
      <c r="U48" s="178">
        <f>SUBTOTAL(9,U49:U49)</f>
        <v>0</v>
      </c>
      <c r="V48" s="177"/>
    </row>
    <row r="49" spans="1:22" s="2" customFormat="1" ht="16" hidden="1" outlineLevel="1">
      <c r="A49" s="6"/>
      <c r="B49" s="179"/>
      <c r="C49" s="180"/>
      <c r="D49" s="186"/>
      <c r="E49" s="213"/>
      <c r="F49" s="212"/>
      <c r="G49" s="212"/>
      <c r="H49" s="272"/>
      <c r="I49" s="179"/>
      <c r="J49" s="179"/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179"/>
    </row>
    <row r="50" spans="1:22" s="2" customFormat="1" ht="16" hidden="1" outlineLevel="1">
      <c r="A50" s="6"/>
      <c r="B50" s="181"/>
      <c r="C50" s="182"/>
      <c r="D50" s="187"/>
      <c r="E50" s="215"/>
      <c r="F50" s="214"/>
      <c r="G50" s="214"/>
      <c r="H50" s="273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</row>
    <row r="51" spans="1:22" s="2" customFormat="1" ht="17" collapsed="1">
      <c r="A51" s="6"/>
      <c r="B51" s="174">
        <v>13</v>
      </c>
      <c r="C51" s="175"/>
      <c r="D51" s="261" t="str">
        <f>VLOOKUP(B51,$B$69:$D$86,2,0)</f>
        <v>ID-032</v>
      </c>
      <c r="E51" s="211" t="str" cm="1">
        <f t="array" ref="E51:I51">(_xlfn.XLOOKUP($D51,'B-1. THKL THEO ID'!$B:$B,('B-1. THKL THEO ID'!C:G),"N/A",0))</f>
        <v>CBS</v>
      </c>
      <c r="F51" s="211">
        <v>0</v>
      </c>
      <c r="G51" s="211">
        <v>0</v>
      </c>
      <c r="H51" s="183" t="str">
        <v>Thép sàn tầng 1 full (kg)</v>
      </c>
      <c r="I51" s="208" t="str">
        <v>kg</v>
      </c>
      <c r="J51" s="174"/>
      <c r="K51" s="174"/>
      <c r="L51" s="174"/>
      <c r="M51" s="176"/>
      <c r="N51" s="174"/>
      <c r="O51" s="177"/>
      <c r="P51" s="177"/>
      <c r="Q51" s="177"/>
      <c r="R51" s="178">
        <f>SUBTOTAL(9,R52:R53)</f>
        <v>0</v>
      </c>
      <c r="S51" s="177"/>
      <c r="T51" s="177"/>
      <c r="U51" s="209">
        <f>SUBTOTAL(9,U52:U53)</f>
        <v>0</v>
      </c>
      <c r="V51" s="177"/>
    </row>
    <row r="52" spans="1:22" s="2" customFormat="1" ht="16" hidden="1" outlineLevel="1">
      <c r="A52" s="6"/>
      <c r="B52" s="179"/>
      <c r="C52" s="180"/>
      <c r="D52" s="239"/>
      <c r="E52" s="213"/>
      <c r="F52" s="212"/>
      <c r="G52" s="212"/>
      <c r="H52" s="272"/>
      <c r="I52" s="179"/>
      <c r="J52" s="179"/>
      <c r="K52" s="179"/>
      <c r="L52" s="179"/>
      <c r="M52" s="179"/>
      <c r="N52" s="179"/>
      <c r="O52" s="179"/>
      <c r="P52" s="179"/>
      <c r="Q52" s="179"/>
      <c r="R52" s="262"/>
      <c r="S52" s="179"/>
      <c r="T52" s="179"/>
      <c r="U52" s="179"/>
      <c r="V52" s="179"/>
    </row>
    <row r="53" spans="1:22" s="2" customFormat="1" ht="16" hidden="1" outlineLevel="1">
      <c r="A53" s="6"/>
      <c r="B53" s="181"/>
      <c r="C53" s="182"/>
      <c r="D53" s="181"/>
      <c r="E53" s="215"/>
      <c r="F53" s="214"/>
      <c r="G53" s="214"/>
      <c r="H53" s="273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</row>
    <row r="54" spans="1:22" s="2" customFormat="1" ht="34" collapsed="1">
      <c r="A54" s="6"/>
      <c r="B54" s="174">
        <v>14</v>
      </c>
      <c r="C54" s="175"/>
      <c r="D54" s="261" t="str">
        <f>VLOOKUP(B54,$B$69:$D$86,2,0)</f>
        <v>ID-033</v>
      </c>
      <c r="E54" s="211" cm="1">
        <f t="array" ref="E54:I54">(_xlfn.XLOOKUP($D54,'B-1. THKL THEO ID'!$B:$B,('B-1. THKL THEO ID'!C:G),"N/A",0))</f>
        <v>0</v>
      </c>
      <c r="F54" s="211" t="str">
        <v>BOQ-037</v>
      </c>
      <c r="G54" s="211">
        <v>0</v>
      </c>
      <c r="H54" s="183" t="str">
        <v>Bê tông sàn tâng 1 M600 (M400 theo bản vẽ thiết kế)</v>
      </c>
      <c r="I54" s="208" t="str">
        <v>m3</v>
      </c>
      <c r="J54" s="174"/>
      <c r="K54" s="174"/>
      <c r="L54" s="174"/>
      <c r="M54" s="176"/>
      <c r="N54" s="174"/>
      <c r="O54" s="177"/>
      <c r="P54" s="177"/>
      <c r="Q54" s="177"/>
      <c r="R54" s="178">
        <f>R57</f>
        <v>208.44900000000001</v>
      </c>
      <c r="S54" s="177"/>
      <c r="T54" s="177"/>
      <c r="U54" s="209">
        <f>SUBTOTAL(9,U55:U56)</f>
        <v>0</v>
      </c>
      <c r="V54" s="177"/>
    </row>
    <row r="55" spans="1:22" s="2" customFormat="1" ht="16" hidden="1" outlineLevel="1">
      <c r="A55" s="6"/>
      <c r="B55" s="179"/>
      <c r="C55" s="180"/>
      <c r="D55" s="239"/>
      <c r="E55" s="213"/>
      <c r="F55" s="212"/>
      <c r="G55" s="212"/>
      <c r="H55" s="272"/>
      <c r="I55" s="179"/>
      <c r="J55" s="179"/>
      <c r="K55" s="179"/>
      <c r="L55" s="179"/>
      <c r="M55" s="179"/>
      <c r="N55" s="179"/>
      <c r="O55" s="179"/>
      <c r="P55" s="179"/>
      <c r="Q55" s="179"/>
      <c r="R55" s="262"/>
      <c r="S55" s="179"/>
      <c r="T55" s="179"/>
      <c r="U55" s="179"/>
      <c r="V55" s="179"/>
    </row>
    <row r="56" spans="1:22" s="2" customFormat="1" ht="16" hidden="1" outlineLevel="1">
      <c r="A56" s="6"/>
      <c r="B56" s="181"/>
      <c r="C56" s="182"/>
      <c r="D56" s="181"/>
      <c r="E56" s="215"/>
      <c r="F56" s="214"/>
      <c r="G56" s="214"/>
      <c r="H56" s="273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181"/>
    </row>
    <row r="57" spans="1:22" s="2" customFormat="1" ht="17" collapsed="1">
      <c r="A57" s="6"/>
      <c r="B57" s="174">
        <v>15</v>
      </c>
      <c r="C57" s="175"/>
      <c r="D57" s="261" t="str">
        <f>VLOOKUP(B57,$B$69:$D$86,2,0)</f>
        <v>ID-033A</v>
      </c>
      <c r="E57" s="211" t="str" cm="1">
        <f t="array" ref="E57:I57">(_xlfn.XLOOKUP($D57,'B-1. THKL THEO ID'!$B:$B,('B-1. THKL THEO ID'!C:G),"N/A",0))</f>
        <v>CBS</v>
      </c>
      <c r="F57" s="211">
        <v>0</v>
      </c>
      <c r="G57" s="211">
        <v>0</v>
      </c>
      <c r="H57" s="183" t="str">
        <v>Bê tông sàn tâng 1 M400</v>
      </c>
      <c r="I57" s="208" t="str">
        <v>m3</v>
      </c>
      <c r="J57" s="174"/>
      <c r="K57" s="174"/>
      <c r="L57" s="174"/>
      <c r="M57" s="176"/>
      <c r="N57" s="174"/>
      <c r="O57" s="177"/>
      <c r="P57" s="177"/>
      <c r="Q57" s="177"/>
      <c r="R57" s="178">
        <f>SUBTOTAL(9,R58:R60)</f>
        <v>208.44900000000001</v>
      </c>
      <c r="S57" s="177"/>
      <c r="T57" s="177"/>
      <c r="U57" s="178">
        <f>SUBTOTAL(9,U58:U58)</f>
        <v>0</v>
      </c>
      <c r="V57" s="177"/>
    </row>
    <row r="58" spans="1:22" s="2" customFormat="1" ht="17" hidden="1" outlineLevel="1">
      <c r="A58" s="6"/>
      <c r="B58" s="179"/>
      <c r="C58" s="180"/>
      <c r="D58" s="186"/>
      <c r="E58" s="213"/>
      <c r="F58" s="212"/>
      <c r="G58" s="212"/>
      <c r="H58" s="272" t="s">
        <v>417</v>
      </c>
      <c r="I58" s="179"/>
      <c r="J58" s="179">
        <v>1</v>
      </c>
      <c r="K58" s="179"/>
      <c r="L58" s="179"/>
      <c r="M58" s="179">
        <v>0.3</v>
      </c>
      <c r="N58" s="179">
        <v>726.19</v>
      </c>
      <c r="O58" s="179"/>
      <c r="P58" s="179"/>
      <c r="Q58" s="179"/>
      <c r="R58" s="179">
        <f t="shared" ref="R58:R59" si="4">PRODUCT(J58:Q58)</f>
        <v>217.857</v>
      </c>
      <c r="S58" s="179"/>
      <c r="T58" s="179"/>
      <c r="U58" s="179"/>
      <c r="V58" s="179"/>
    </row>
    <row r="59" spans="1:22" s="2" customFormat="1" ht="17" hidden="1" outlineLevel="1">
      <c r="A59" s="6"/>
      <c r="B59" s="181"/>
      <c r="C59" s="182"/>
      <c r="D59" s="187"/>
      <c r="E59" s="215"/>
      <c r="F59" s="214"/>
      <c r="G59" s="214"/>
      <c r="H59" s="273" t="s">
        <v>418</v>
      </c>
      <c r="I59" s="181"/>
      <c r="J59" s="181">
        <v>1</v>
      </c>
      <c r="K59" s="181"/>
      <c r="L59" s="181"/>
      <c r="M59" s="181">
        <v>0.3</v>
      </c>
      <c r="N59" s="181">
        <v>31.36</v>
      </c>
      <c r="O59" s="181">
        <v>-1</v>
      </c>
      <c r="P59" s="181"/>
      <c r="Q59" s="181"/>
      <c r="R59" s="179">
        <f t="shared" si="4"/>
        <v>-9.4079999999999995</v>
      </c>
      <c r="S59" s="181"/>
      <c r="T59" s="181"/>
      <c r="U59" s="181"/>
      <c r="V59" s="181"/>
    </row>
    <row r="60" spans="1:22" s="2" customFormat="1" ht="16" hidden="1" outlineLevel="1">
      <c r="A60" s="6"/>
      <c r="B60" s="181"/>
      <c r="C60" s="182"/>
      <c r="D60" s="187"/>
      <c r="E60" s="215"/>
      <c r="F60" s="214"/>
      <c r="G60" s="214"/>
      <c r="H60" s="273"/>
      <c r="I60" s="181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181"/>
      <c r="V60" s="181"/>
    </row>
    <row r="61" spans="1:22" s="2" customFormat="1" ht="17" collapsed="1">
      <c r="A61" s="6"/>
      <c r="B61" s="174">
        <v>16</v>
      </c>
      <c r="C61" s="175"/>
      <c r="D61" s="261" t="str">
        <f>VLOOKUP(B61,$B$69:$D$86,2,0)</f>
        <v>ID-044</v>
      </c>
      <c r="E61" s="211" t="str" cm="1">
        <f t="array" ref="E61:I61">(_xlfn.XLOOKUP($D61,'B-1. THKL THEO ID'!$B:$B,('B-1. THKL THEO ID'!C:G),"N/A",0))</f>
        <v>CBS</v>
      </c>
      <c r="F61" s="211" t="str">
        <v>BOQ-065</v>
      </c>
      <c r="G61" s="211">
        <v>0</v>
      </c>
      <c r="H61" s="183" t="str">
        <v>Mài hoàn thiện cột vách dầm sàn</v>
      </c>
      <c r="I61" s="208" t="str">
        <v>m2</v>
      </c>
      <c r="J61" s="174"/>
      <c r="K61" s="174"/>
      <c r="L61" s="174"/>
      <c r="M61" s="176"/>
      <c r="N61" s="174"/>
      <c r="O61" s="177"/>
      <c r="P61" s="177"/>
      <c r="Q61" s="177"/>
      <c r="R61" s="178">
        <f>SUBTOTAL(9,R62:R64)</f>
        <v>855.24800000000005</v>
      </c>
      <c r="S61" s="177"/>
      <c r="T61" s="177"/>
      <c r="U61" s="209">
        <f>SUBTOTAL(9,U62:U64)</f>
        <v>0</v>
      </c>
      <c r="V61" s="177"/>
    </row>
    <row r="62" spans="1:22" s="2" customFormat="1" ht="17" hidden="1" outlineLevel="1">
      <c r="A62" s="6"/>
      <c r="B62" s="179"/>
      <c r="C62" s="180"/>
      <c r="D62" s="239"/>
      <c r="E62" s="213"/>
      <c r="F62" s="212"/>
      <c r="G62" s="212"/>
      <c r="H62" s="272" t="s">
        <v>419</v>
      </c>
      <c r="I62" s="179"/>
      <c r="J62" s="179"/>
      <c r="K62" s="179"/>
      <c r="L62" s="179"/>
      <c r="M62" s="179"/>
      <c r="N62" s="279">
        <f>R9</f>
        <v>283.20800000000003</v>
      </c>
      <c r="O62" s="179"/>
      <c r="P62" s="179"/>
      <c r="Q62" s="179"/>
      <c r="R62" s="179">
        <f t="shared" ref="R62:R63" si="5">PRODUCT(J62:Q62)</f>
        <v>283.20800000000003</v>
      </c>
      <c r="S62" s="179"/>
      <c r="T62" s="179"/>
      <c r="U62" s="179"/>
      <c r="V62" s="179"/>
    </row>
    <row r="63" spans="1:22" s="2" customFormat="1" ht="17" hidden="1" outlineLevel="1">
      <c r="A63" s="6"/>
      <c r="B63" s="181"/>
      <c r="C63" s="182"/>
      <c r="D63" s="277"/>
      <c r="E63" s="215"/>
      <c r="F63" s="214"/>
      <c r="G63" s="214"/>
      <c r="H63" s="273" t="s">
        <v>420</v>
      </c>
      <c r="I63" s="181"/>
      <c r="J63" s="181"/>
      <c r="K63" s="181"/>
      <c r="L63" s="181"/>
      <c r="M63" s="181"/>
      <c r="N63" s="280">
        <f>R40</f>
        <v>572.04000000000008</v>
      </c>
      <c r="O63" s="181"/>
      <c r="P63" s="181"/>
      <c r="Q63" s="181"/>
      <c r="R63" s="179">
        <f t="shared" si="5"/>
        <v>572.04000000000008</v>
      </c>
      <c r="S63" s="181"/>
      <c r="T63" s="181"/>
      <c r="U63" s="181"/>
      <c r="V63" s="181"/>
    </row>
    <row r="64" spans="1:22" s="2" customFormat="1" ht="16" hidden="1" outlineLevel="1">
      <c r="A64" s="6"/>
      <c r="B64" s="181"/>
      <c r="C64" s="182"/>
      <c r="D64" s="181"/>
      <c r="E64" s="215"/>
      <c r="F64" s="214"/>
      <c r="G64" s="214"/>
      <c r="H64" s="273"/>
      <c r="I64" s="181"/>
      <c r="J64" s="181"/>
      <c r="K64" s="181"/>
      <c r="L64" s="181"/>
      <c r="M64" s="181"/>
      <c r="N64" s="181"/>
      <c r="O64" s="181"/>
      <c r="P64" s="181"/>
      <c r="Q64" s="181"/>
      <c r="R64" s="181"/>
      <c r="S64" s="181"/>
      <c r="T64" s="181"/>
      <c r="U64" s="181"/>
      <c r="V64" s="181"/>
    </row>
    <row r="65" spans="1:22" ht="20" customHeight="1">
      <c r="A65" s="2"/>
      <c r="B65" s="50"/>
      <c r="C65" s="51"/>
      <c r="D65" s="52"/>
      <c r="E65" s="53"/>
      <c r="F65" s="52"/>
      <c r="G65" s="52"/>
      <c r="H65" s="53"/>
      <c r="I65" s="52"/>
      <c r="J65" s="52"/>
      <c r="K65" s="52"/>
      <c r="L65" s="52"/>
      <c r="M65" s="52"/>
      <c r="N65" s="52"/>
      <c r="O65" s="52"/>
      <c r="P65" s="52"/>
      <c r="Q65" s="52"/>
      <c r="R65" s="55"/>
      <c r="S65" s="52"/>
      <c r="T65" s="52"/>
      <c r="U65" s="52"/>
      <c r="V65" s="52"/>
    </row>
    <row r="66" spans="1:22" ht="20" customHeight="1">
      <c r="A66" s="2"/>
      <c r="B66" s="27" t="s">
        <v>20</v>
      </c>
      <c r="C66" s="28">
        <v>3</v>
      </c>
      <c r="D66" s="27"/>
      <c r="E66" s="29"/>
      <c r="F66" s="27"/>
      <c r="G66" s="27"/>
      <c r="H66" s="275" t="s">
        <v>29</v>
      </c>
      <c r="I66" s="31"/>
      <c r="J66" s="31"/>
      <c r="K66" s="31"/>
      <c r="L66" s="31"/>
      <c r="M66" s="31"/>
      <c r="N66" s="31"/>
      <c r="O66" s="31"/>
      <c r="P66" s="31"/>
      <c r="Q66" s="31"/>
      <c r="R66" s="32"/>
      <c r="S66" s="31"/>
      <c r="T66" s="31"/>
      <c r="U66" s="31"/>
      <c r="V66" s="31"/>
    </row>
    <row r="67" spans="1:22" s="2" customFormat="1" ht="20" customHeight="1">
      <c r="E67" s="7"/>
      <c r="H67" s="7"/>
    </row>
    <row r="69" spans="1:22" ht="20" customHeight="1">
      <c r="B69">
        <v>1</v>
      </c>
      <c r="C69" t="s">
        <v>380</v>
      </c>
    </row>
    <row r="70" spans="1:22" ht="20" customHeight="1">
      <c r="B70">
        <v>2</v>
      </c>
      <c r="C70" t="s">
        <v>614</v>
      </c>
    </row>
    <row r="71" spans="1:22" ht="20" customHeight="1">
      <c r="B71">
        <v>3</v>
      </c>
      <c r="C71" t="s">
        <v>615</v>
      </c>
    </row>
    <row r="72" spans="1:22" ht="20" customHeight="1">
      <c r="B72">
        <v>4</v>
      </c>
      <c r="C72" t="s">
        <v>571</v>
      </c>
    </row>
    <row r="73" spans="1:22" ht="20" customHeight="1">
      <c r="B73">
        <v>5</v>
      </c>
      <c r="C73" t="s">
        <v>616</v>
      </c>
    </row>
    <row r="74" spans="1:22" ht="20" customHeight="1">
      <c r="B74">
        <v>6</v>
      </c>
      <c r="C74" t="s">
        <v>396</v>
      </c>
    </row>
    <row r="75" spans="1:22" ht="20" customHeight="1">
      <c r="B75">
        <v>7</v>
      </c>
      <c r="C75" t="s">
        <v>381</v>
      </c>
    </row>
    <row r="76" spans="1:22" ht="20" customHeight="1">
      <c r="B76">
        <v>8</v>
      </c>
      <c r="C76" t="s">
        <v>617</v>
      </c>
    </row>
    <row r="77" spans="1:22" ht="20" customHeight="1">
      <c r="B77">
        <v>9</v>
      </c>
      <c r="C77" t="s">
        <v>382</v>
      </c>
    </row>
    <row r="78" spans="1:22" ht="20" customHeight="1">
      <c r="B78">
        <v>10</v>
      </c>
      <c r="C78" t="s">
        <v>618</v>
      </c>
    </row>
    <row r="79" spans="1:22" ht="20" customHeight="1">
      <c r="B79">
        <v>11</v>
      </c>
      <c r="C79" t="s">
        <v>619</v>
      </c>
    </row>
    <row r="80" spans="1:22" ht="20" customHeight="1">
      <c r="B80">
        <v>12</v>
      </c>
      <c r="C80" t="s">
        <v>572</v>
      </c>
    </row>
    <row r="81" spans="2:3" ht="20" customHeight="1">
      <c r="B81">
        <v>13</v>
      </c>
      <c r="C81" t="s">
        <v>383</v>
      </c>
    </row>
    <row r="82" spans="2:3" ht="20" customHeight="1">
      <c r="B82">
        <v>14</v>
      </c>
      <c r="C82" t="s">
        <v>384</v>
      </c>
    </row>
    <row r="83" spans="2:3" ht="20" customHeight="1">
      <c r="B83">
        <v>15</v>
      </c>
      <c r="C83" t="s">
        <v>620</v>
      </c>
    </row>
    <row r="84" spans="2:3" ht="20" customHeight="1">
      <c r="B84">
        <v>16</v>
      </c>
      <c r="C84" t="s">
        <v>394</v>
      </c>
    </row>
  </sheetData>
  <autoFilter ref="B5:V66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67">
    <cfRule type="cellIs" dxfId="248" priority="18" operator="lessThan">
      <formula>0</formula>
    </cfRule>
  </conditionalFormatting>
  <conditionalFormatting sqref="U6">
    <cfRule type="cellIs" dxfId="247" priority="17" operator="lessThan">
      <formula>0</formula>
    </cfRule>
  </conditionalFormatting>
  <conditionalFormatting sqref="U9">
    <cfRule type="cellIs" dxfId="246" priority="16" operator="lessThan">
      <formula>0</formula>
    </cfRule>
  </conditionalFormatting>
  <conditionalFormatting sqref="U16">
    <cfRule type="cellIs" dxfId="245" priority="15" operator="lessThan">
      <formula>0</formula>
    </cfRule>
  </conditionalFormatting>
  <conditionalFormatting sqref="U19">
    <cfRule type="cellIs" dxfId="244" priority="14" operator="lessThan">
      <formula>0</formula>
    </cfRule>
  </conditionalFormatting>
  <conditionalFormatting sqref="U22">
    <cfRule type="cellIs" dxfId="243" priority="13" operator="lessThan">
      <formula>0</formula>
    </cfRule>
  </conditionalFormatting>
  <conditionalFormatting sqref="U25">
    <cfRule type="cellIs" dxfId="242" priority="12" operator="lessThan">
      <formula>0</formula>
    </cfRule>
  </conditionalFormatting>
  <conditionalFormatting sqref="U28">
    <cfRule type="cellIs" dxfId="241" priority="11" operator="lessThan">
      <formula>0</formula>
    </cfRule>
  </conditionalFormatting>
  <conditionalFormatting sqref="U31">
    <cfRule type="cellIs" dxfId="240" priority="10" operator="lessThan">
      <formula>0</formula>
    </cfRule>
  </conditionalFormatting>
  <conditionalFormatting sqref="U37">
    <cfRule type="cellIs" dxfId="239" priority="9" operator="lessThan">
      <formula>0</formula>
    </cfRule>
  </conditionalFormatting>
  <conditionalFormatting sqref="U40">
    <cfRule type="cellIs" dxfId="238" priority="8" operator="lessThan">
      <formula>0</formula>
    </cfRule>
  </conditionalFormatting>
  <conditionalFormatting sqref="U45">
    <cfRule type="cellIs" dxfId="237" priority="7" operator="lessThan">
      <formula>0</formula>
    </cfRule>
  </conditionalFormatting>
  <conditionalFormatting sqref="U48">
    <cfRule type="cellIs" dxfId="236" priority="6" operator="lessThan">
      <formula>0</formula>
    </cfRule>
  </conditionalFormatting>
  <conditionalFormatting sqref="U51">
    <cfRule type="cellIs" dxfId="235" priority="5" operator="lessThan">
      <formula>0</formula>
    </cfRule>
  </conditionalFormatting>
  <conditionalFormatting sqref="U54">
    <cfRule type="cellIs" dxfId="234" priority="4" operator="lessThan">
      <formula>0</formula>
    </cfRule>
  </conditionalFormatting>
  <conditionalFormatting sqref="U57">
    <cfRule type="cellIs" dxfId="233" priority="3" operator="lessThan">
      <formula>0</formula>
    </cfRule>
  </conditionalFormatting>
  <conditionalFormatting sqref="U61">
    <cfRule type="cellIs" dxfId="232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A78F5-0638-4585-BDD7-1547FA04B112}">
  <sheetPr codeName="Sheet22">
    <tabColor rgb="FF00B050"/>
    <outlinePr summaryBelow="0" summaryRight="0"/>
    <pageSetUpPr fitToPage="1"/>
  </sheetPr>
  <dimension ref="A1:V76"/>
  <sheetViews>
    <sheetView showZeros="0" view="pageBreakPreview" topLeftCell="B1" zoomScaleNormal="100" zoomScaleSheetLayoutView="100" workbookViewId="0">
      <pane ySplit="5" topLeftCell="A30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DẦM SÀN TẦNG 1 (ZONE2) - KHU LÕI - Mã CK:S25.12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328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34" collapsed="1">
      <c r="A6" s="6"/>
      <c r="B6" s="174">
        <v>1</v>
      </c>
      <c r="C6" s="175"/>
      <c r="D6" s="261" t="str">
        <f>VLOOKUP(B6,$C$59:$E$76,2,0)</f>
        <v>ID-028</v>
      </c>
      <c r="E6" s="211" cm="1">
        <f t="array" ref="E6:I6">(_xlfn.XLOOKUP($D6,'B-1. THKL THEO ID'!$B:$B,('B-1. THKL THEO ID'!C:G),"N/A",0))</f>
        <v>0</v>
      </c>
      <c r="F6" s="211" t="str">
        <v>BOQ-029</v>
      </c>
      <c r="G6" s="211">
        <v>0</v>
      </c>
      <c r="H6" s="183" t="str">
        <v>Ván khuôn ép Dầm tầng 1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VLOOKUP(B9,$C$59:$E$76,2,0)</f>
        <v>ID-028A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ép Dầm tầng 1 (m2)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17" collapsed="1">
      <c r="A12" s="6"/>
      <c r="B12" s="174">
        <v>3</v>
      </c>
      <c r="C12" s="175"/>
      <c r="D12" s="261" t="str">
        <f>VLOOKUP(B12,$C$59:$E$76,2,0)</f>
        <v>ID-029A</v>
      </c>
      <c r="E12" s="211" cm="1">
        <f t="array" ref="E12:I12">(_xlfn.XLOOKUP($D12,'B-1. THKL THEO ID'!$B:$B,('B-1. THKL THEO ID'!C:G),"N/A",0))</f>
        <v>0</v>
      </c>
      <c r="F12" s="211" t="str">
        <v>BOQ-030</v>
      </c>
      <c r="G12" s="211">
        <v>0</v>
      </c>
      <c r="H12" s="183" t="str">
        <v>Thép dầm tầng 1 D&lt;=10</v>
      </c>
      <c r="I12" s="208" t="str">
        <v>tấn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VLOOKUP(B15,$C$59:$E$76,2,0)</f>
        <v>ID-029B</v>
      </c>
      <c r="E15" s="211" cm="1">
        <f t="array" ref="E15:I15">(_xlfn.XLOOKUP($D15,'B-1. THKL THEO ID'!$B:$B,('B-1. THKL THEO ID'!C:G),"N/A",0))</f>
        <v>0</v>
      </c>
      <c r="F15" s="211" t="str">
        <v>BOQ-031</v>
      </c>
      <c r="G15" s="211">
        <v>0</v>
      </c>
      <c r="H15" s="183" t="str">
        <v>Thép dầm tầng 1 D&lt;=18</v>
      </c>
      <c r="I15" s="208" t="str">
        <v>tấn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17" collapsed="1">
      <c r="A18" s="6"/>
      <c r="B18" s="174">
        <v>5</v>
      </c>
      <c r="C18" s="175"/>
      <c r="D18" s="261" t="str">
        <f>VLOOKUP(B18,$C$59:$E$76,2,0)</f>
        <v>ID-029C</v>
      </c>
      <c r="E18" s="211" cm="1">
        <f t="array" ref="E18:I18">(_xlfn.XLOOKUP($D18,'B-1. THKL THEO ID'!$B:$B,('B-1. THKL THEO ID'!C:G),"N/A",0))</f>
        <v>0</v>
      </c>
      <c r="F18" s="211" t="str">
        <v>BOQ-032</v>
      </c>
      <c r="G18" s="211">
        <v>0</v>
      </c>
      <c r="H18" s="183" t="str">
        <v>Thép dầm tầng 1 D&gt;18</v>
      </c>
      <c r="I18" s="208" t="str">
        <v>tấn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17" collapsed="1">
      <c r="A21" s="6"/>
      <c r="B21" s="174">
        <v>6</v>
      </c>
      <c r="C21" s="175"/>
      <c r="D21" s="261" t="str">
        <f>VLOOKUP(B21,$C$59:$E$76,2,0)</f>
        <v>ID-029</v>
      </c>
      <c r="E21" s="211" t="str" cm="1">
        <f t="array" ref="E21:I21">(_xlfn.XLOOKUP($D21,'B-1. THKL THEO ID'!$B:$B,('B-1. THKL THEO ID'!C:G),"N/A",0))</f>
        <v>CBS</v>
      </c>
      <c r="F21" s="211">
        <v>0</v>
      </c>
      <c r="G21" s="211">
        <v>0</v>
      </c>
      <c r="H21" s="183" t="str">
        <v>Thép dầm tầng 1 full (kg)</v>
      </c>
      <c r="I21" s="208" t="str">
        <v>kg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34" collapsed="1">
      <c r="A24" s="6"/>
      <c r="B24" s="174">
        <v>7</v>
      </c>
      <c r="C24" s="175"/>
      <c r="D24" s="261" t="str">
        <f>VLOOKUP(B24,$C$59:$E$76,2,0)</f>
        <v>ID-030</v>
      </c>
      <c r="E24" s="211" cm="1">
        <f t="array" ref="E24:I24">(_xlfn.XLOOKUP($D24,'B-1. THKL THEO ID'!$B:$B,('B-1. THKL THEO ID'!C:G),"N/A",0))</f>
        <v>0</v>
      </c>
      <c r="F24" s="211" t="str">
        <v>BOQ-033</v>
      </c>
      <c r="G24" s="211">
        <v>0</v>
      </c>
      <c r="H24" s="183" t="str">
        <v>Bê tông dầm tầng 1 M600 (M400 theo bản vẽ thiết kế)</v>
      </c>
      <c r="I24" s="208" t="str">
        <v>m3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17" collapsed="1">
      <c r="A27" s="6"/>
      <c r="B27" s="174">
        <v>8</v>
      </c>
      <c r="C27" s="175"/>
      <c r="D27" s="261" t="str">
        <f>VLOOKUP(B27,$C$59:$E$76,2,0)</f>
        <v>ID-030A</v>
      </c>
      <c r="E27" s="211" t="str" cm="1">
        <f t="array" ref="E27:I27">(_xlfn.XLOOKUP($D27,'B-1. THKL THEO ID'!$B:$B,('B-1. THKL THEO ID'!C:G),"N/A",0))</f>
        <v>CBS</v>
      </c>
      <c r="F27" s="211">
        <v>0</v>
      </c>
      <c r="G27" s="211">
        <v>0</v>
      </c>
      <c r="H27" s="183" t="str">
        <v>Bê tông dầm tầng 1 M400</v>
      </c>
      <c r="I27" s="208" t="str">
        <v>m3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178">
        <f>SUBTOTAL(9,U28:U28)</f>
        <v>0</v>
      </c>
      <c r="V27" s="177"/>
    </row>
    <row r="28" spans="1:22" s="2" customFormat="1" ht="16" hidden="1" outlineLevel="1">
      <c r="A28" s="6"/>
      <c r="B28" s="179"/>
      <c r="C28" s="180"/>
      <c r="D28" s="186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7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34" collapsed="1">
      <c r="A30" s="6"/>
      <c r="B30" s="174">
        <v>9</v>
      </c>
      <c r="C30" s="175"/>
      <c r="D30" s="261" t="str">
        <f>VLOOKUP(B30,$C$59:$E$76,2,0)</f>
        <v>ID-031</v>
      </c>
      <c r="E30" s="211" cm="1">
        <f t="array" ref="E30:I30">(_xlfn.XLOOKUP($D30,'B-1. THKL THEO ID'!$B:$B,('B-1. THKL THEO ID'!C:G),"N/A",0))</f>
        <v>0</v>
      </c>
      <c r="F30" s="211" t="str">
        <v>BOQ-034</v>
      </c>
      <c r="G30" s="211">
        <v>0</v>
      </c>
      <c r="H30" s="183" t="str">
        <v>Ván khuôn ép sàn tầng 1</v>
      </c>
      <c r="I30" s="208" t="str">
        <v>100m2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7" collapsed="1">
      <c r="A33" s="6"/>
      <c r="B33" s="174">
        <v>10</v>
      </c>
      <c r="C33" s="175"/>
      <c r="D33" s="261" t="str">
        <f>VLOOKUP(B33,$C$59:$E$76,2,0)</f>
        <v>ID-031A</v>
      </c>
      <c r="E33" s="211" t="str" cm="1">
        <f t="array" ref="E33:I33">(_xlfn.XLOOKUP($D33,'B-1. THKL THEO ID'!$B:$B,('B-1. THKL THEO ID'!C:G),"N/A",0))</f>
        <v>CBS</v>
      </c>
      <c r="F33" s="211">
        <v>0</v>
      </c>
      <c r="G33" s="211">
        <v>0</v>
      </c>
      <c r="H33" s="183" t="str">
        <v>Ván khuôn ép sàn tầng 1 (m2)</v>
      </c>
      <c r="I33" s="208" t="str">
        <v>m2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209">
        <f>SUBTOTAL(9,U34:U35)</f>
        <v>0</v>
      </c>
      <c r="V33" s="177"/>
    </row>
    <row r="34" spans="1:22" s="2" customFormat="1" ht="16" hidden="1" outlineLevel="1">
      <c r="A34" s="6"/>
      <c r="B34" s="179"/>
      <c r="C34" s="180"/>
      <c r="D34" s="239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262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1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17" collapsed="1">
      <c r="A36" s="6"/>
      <c r="B36" s="174">
        <v>11</v>
      </c>
      <c r="C36" s="175"/>
      <c r="D36" s="261" t="str">
        <f>VLOOKUP(B36,$C$59:$E$76,2,0)</f>
        <v>ID-032A</v>
      </c>
      <c r="E36" s="211" cm="1">
        <f t="array" ref="E36:I36">(_xlfn.XLOOKUP($D36,'B-1. THKL THEO ID'!$B:$B,('B-1. THKL THEO ID'!C:G),"N/A",0))</f>
        <v>0</v>
      </c>
      <c r="F36" s="211" t="str">
        <v>BOQ-035</v>
      </c>
      <c r="G36" s="211">
        <v>0</v>
      </c>
      <c r="H36" s="183" t="str">
        <v>Thép sàn tầng 1 D&lt;=10</v>
      </c>
      <c r="I36" s="208" t="str">
        <v>tấn</v>
      </c>
      <c r="J36" s="174"/>
      <c r="K36" s="174"/>
      <c r="L36" s="174"/>
      <c r="M36" s="176"/>
      <c r="N36" s="174"/>
      <c r="O36" s="177"/>
      <c r="P36" s="177"/>
      <c r="Q36" s="177"/>
      <c r="R36" s="178">
        <f>SUBTOTAL(9,R37:R38)</f>
        <v>0</v>
      </c>
      <c r="S36" s="177"/>
      <c r="T36" s="177"/>
      <c r="U36" s="209">
        <f>SUBTOTAL(9,U37:U38)</f>
        <v>0</v>
      </c>
      <c r="V36" s="177"/>
    </row>
    <row r="37" spans="1:22" s="2" customFormat="1" ht="16" hidden="1" outlineLevel="1">
      <c r="A37" s="6"/>
      <c r="B37" s="179"/>
      <c r="C37" s="180"/>
      <c r="D37" s="239"/>
      <c r="E37" s="213"/>
      <c r="F37" s="212"/>
      <c r="G37" s="212"/>
      <c r="H37" s="184"/>
      <c r="I37" s="179"/>
      <c r="J37" s="179"/>
      <c r="K37" s="179"/>
      <c r="L37" s="179"/>
      <c r="M37" s="179"/>
      <c r="N37" s="179"/>
      <c r="O37" s="179"/>
      <c r="P37" s="179"/>
      <c r="Q37" s="179"/>
      <c r="R37" s="262"/>
      <c r="S37" s="179"/>
      <c r="T37" s="179"/>
      <c r="U37" s="179"/>
      <c r="V37" s="179"/>
    </row>
    <row r="38" spans="1:22" s="2" customFormat="1" ht="16" hidden="1" outlineLevel="1">
      <c r="A38" s="6"/>
      <c r="B38" s="181"/>
      <c r="C38" s="182"/>
      <c r="D38" s="181"/>
      <c r="E38" s="215"/>
      <c r="F38" s="214"/>
      <c r="G38" s="214"/>
      <c r="H38" s="185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s="2" customFormat="1" ht="17" collapsed="1">
      <c r="A39" s="6"/>
      <c r="B39" s="174">
        <v>12</v>
      </c>
      <c r="C39" s="175"/>
      <c r="D39" s="261" t="str">
        <f>VLOOKUP(B39,$C$59:$E$76,2,0)</f>
        <v>ID-032B</v>
      </c>
      <c r="E39" s="211" cm="1">
        <f t="array" ref="E39:I39">(_xlfn.XLOOKUP($D39,'B-1. THKL THEO ID'!$B:$B,('B-1. THKL THEO ID'!C:G),"N/A",0))</f>
        <v>0</v>
      </c>
      <c r="F39" s="211" t="str">
        <v>BOQ-036</v>
      </c>
      <c r="G39" s="211">
        <v>0</v>
      </c>
      <c r="H39" s="183" t="str">
        <v>Thép sàn tầng 1 D&gt;10</v>
      </c>
      <c r="I39" s="208" t="str">
        <v>tấn</v>
      </c>
      <c r="J39" s="174"/>
      <c r="K39" s="174"/>
      <c r="L39" s="174"/>
      <c r="M39" s="176"/>
      <c r="N39" s="174"/>
      <c r="O39" s="177"/>
      <c r="P39" s="177"/>
      <c r="Q39" s="177"/>
      <c r="R39" s="178">
        <f>SUBTOTAL(9,R40:R41)</f>
        <v>0</v>
      </c>
      <c r="S39" s="177"/>
      <c r="T39" s="177"/>
      <c r="U39" s="178">
        <f>SUBTOTAL(9,U40:U40)</f>
        <v>0</v>
      </c>
      <c r="V39" s="177"/>
    </row>
    <row r="40" spans="1:22" s="2" customFormat="1" ht="16" hidden="1" outlineLevel="1">
      <c r="A40" s="6"/>
      <c r="B40" s="179"/>
      <c r="C40" s="180"/>
      <c r="D40" s="186"/>
      <c r="E40" s="213"/>
      <c r="F40" s="212"/>
      <c r="G40" s="212"/>
      <c r="H40" s="184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</row>
    <row r="41" spans="1:22" s="2" customFormat="1" ht="16" hidden="1" outlineLevel="1">
      <c r="A41" s="6"/>
      <c r="B41" s="181"/>
      <c r="C41" s="182"/>
      <c r="D41" s="187"/>
      <c r="E41" s="215"/>
      <c r="F41" s="214"/>
      <c r="G41" s="214"/>
      <c r="H41" s="185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</row>
    <row r="42" spans="1:22" s="2" customFormat="1" ht="17" collapsed="1">
      <c r="A42" s="6"/>
      <c r="B42" s="174">
        <v>13</v>
      </c>
      <c r="C42" s="175"/>
      <c r="D42" s="261" t="str">
        <f>VLOOKUP(B42,$C$59:$E$76,2,0)</f>
        <v>ID-032</v>
      </c>
      <c r="E42" s="211" t="str" cm="1">
        <f t="array" ref="E42:I42">(_xlfn.XLOOKUP($D42,'B-1. THKL THEO ID'!$B:$B,('B-1. THKL THEO ID'!C:G),"N/A",0))</f>
        <v>CBS</v>
      </c>
      <c r="F42" s="211">
        <v>0</v>
      </c>
      <c r="G42" s="211">
        <v>0</v>
      </c>
      <c r="H42" s="183" t="str">
        <v>Thép sàn tầng 1 full (kg)</v>
      </c>
      <c r="I42" s="208" t="str">
        <v>kg</v>
      </c>
      <c r="J42" s="174"/>
      <c r="K42" s="174"/>
      <c r="L42" s="174"/>
      <c r="M42" s="176"/>
      <c r="N42" s="174"/>
      <c r="O42" s="177"/>
      <c r="P42" s="177"/>
      <c r="Q42" s="177"/>
      <c r="R42" s="178">
        <f>SUBTOTAL(9,R43:R44)</f>
        <v>0</v>
      </c>
      <c r="S42" s="177"/>
      <c r="T42" s="177"/>
      <c r="U42" s="209">
        <f>SUBTOTAL(9,U43:U44)</f>
        <v>0</v>
      </c>
      <c r="V42" s="177"/>
    </row>
    <row r="43" spans="1:22" s="2" customFormat="1" ht="16" hidden="1" outlineLevel="1">
      <c r="A43" s="6"/>
      <c r="B43" s="179"/>
      <c r="C43" s="180"/>
      <c r="D43" s="239"/>
      <c r="E43" s="213"/>
      <c r="F43" s="212"/>
      <c r="G43" s="212"/>
      <c r="H43" s="184"/>
      <c r="I43" s="179"/>
      <c r="J43" s="179"/>
      <c r="K43" s="179"/>
      <c r="L43" s="179"/>
      <c r="M43" s="179"/>
      <c r="N43" s="179"/>
      <c r="O43" s="179"/>
      <c r="P43" s="179"/>
      <c r="Q43" s="179"/>
      <c r="R43" s="262"/>
      <c r="S43" s="179"/>
      <c r="T43" s="179"/>
      <c r="U43" s="179"/>
      <c r="V43" s="179"/>
    </row>
    <row r="44" spans="1:22" s="2" customFormat="1" ht="16" hidden="1" outlineLevel="1">
      <c r="A44" s="6"/>
      <c r="B44" s="181"/>
      <c r="C44" s="182"/>
      <c r="D44" s="181"/>
      <c r="E44" s="215"/>
      <c r="F44" s="214"/>
      <c r="G44" s="214"/>
      <c r="H44" s="185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</row>
    <row r="45" spans="1:22" s="2" customFormat="1" ht="34" collapsed="1">
      <c r="A45" s="6"/>
      <c r="B45" s="174">
        <v>14</v>
      </c>
      <c r="C45" s="175"/>
      <c r="D45" s="261" t="str">
        <f>VLOOKUP(B45,$C$59:$E$76,2,0)</f>
        <v>ID-033</v>
      </c>
      <c r="E45" s="211" cm="1">
        <f t="array" ref="E45:I45">(_xlfn.XLOOKUP($D45,'B-1. THKL THEO ID'!$B:$B,('B-1. THKL THEO ID'!C:G),"N/A",0))</f>
        <v>0</v>
      </c>
      <c r="F45" s="211" t="str">
        <v>BOQ-037</v>
      </c>
      <c r="G45" s="211">
        <v>0</v>
      </c>
      <c r="H45" s="183" t="str">
        <v>Bê tông sàn tâng 1 M600 (M400 theo bản vẽ thiết kế)</v>
      </c>
      <c r="I45" s="208" t="str">
        <v>m3</v>
      </c>
      <c r="J45" s="174"/>
      <c r="K45" s="174"/>
      <c r="L45" s="174"/>
      <c r="M45" s="176"/>
      <c r="N45" s="174"/>
      <c r="O45" s="177"/>
      <c r="P45" s="177"/>
      <c r="Q45" s="177"/>
      <c r="R45" s="178">
        <f>SUBTOTAL(9,R46:R47)</f>
        <v>0</v>
      </c>
      <c r="S45" s="177"/>
      <c r="T45" s="177"/>
      <c r="U45" s="209">
        <f>SUBTOTAL(9,U46:U47)</f>
        <v>0</v>
      </c>
      <c r="V45" s="177"/>
    </row>
    <row r="46" spans="1:22" s="2" customFormat="1" ht="16" hidden="1" outlineLevel="1">
      <c r="A46" s="6"/>
      <c r="B46" s="179"/>
      <c r="C46" s="180"/>
      <c r="D46" s="239"/>
      <c r="E46" s="213"/>
      <c r="F46" s="212"/>
      <c r="G46" s="212"/>
      <c r="H46" s="184"/>
      <c r="I46" s="179"/>
      <c r="J46" s="179"/>
      <c r="K46" s="179"/>
      <c r="L46" s="179"/>
      <c r="M46" s="179"/>
      <c r="N46" s="179"/>
      <c r="O46" s="179"/>
      <c r="P46" s="179"/>
      <c r="Q46" s="179"/>
      <c r="R46" s="262"/>
      <c r="S46" s="179"/>
      <c r="T46" s="179"/>
      <c r="U46" s="179"/>
      <c r="V46" s="179"/>
    </row>
    <row r="47" spans="1:22" s="2" customFormat="1" ht="16" hidden="1" outlineLevel="1">
      <c r="A47" s="6"/>
      <c r="B47" s="181"/>
      <c r="C47" s="182"/>
      <c r="D47" s="181"/>
      <c r="E47" s="215"/>
      <c r="F47" s="214"/>
      <c r="G47" s="214"/>
      <c r="H47" s="185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</row>
    <row r="48" spans="1:22" s="2" customFormat="1" ht="17" collapsed="1">
      <c r="A48" s="6"/>
      <c r="B48" s="174">
        <v>15</v>
      </c>
      <c r="C48" s="175"/>
      <c r="D48" s="261" t="str">
        <f>VLOOKUP(B48,$C$59:$E$76,2,0)</f>
        <v>ID-033A</v>
      </c>
      <c r="E48" s="211" t="str" cm="1">
        <f t="array" ref="E48:I48">(_xlfn.XLOOKUP($D48,'B-1. THKL THEO ID'!$B:$B,('B-1. THKL THEO ID'!C:G),"N/A",0))</f>
        <v>CBS</v>
      </c>
      <c r="F48" s="211">
        <v>0</v>
      </c>
      <c r="G48" s="211">
        <v>0</v>
      </c>
      <c r="H48" s="183" t="str">
        <v>Bê tông sàn tâng 1 M400</v>
      </c>
      <c r="I48" s="208" t="str">
        <v>m3</v>
      </c>
      <c r="J48" s="174"/>
      <c r="K48" s="174"/>
      <c r="L48" s="174"/>
      <c r="M48" s="176"/>
      <c r="N48" s="174"/>
      <c r="O48" s="177"/>
      <c r="P48" s="177"/>
      <c r="Q48" s="177"/>
      <c r="R48" s="178">
        <f>SUBTOTAL(9,R49:R50)</f>
        <v>0</v>
      </c>
      <c r="S48" s="177"/>
      <c r="T48" s="177"/>
      <c r="U48" s="178">
        <f>SUBTOTAL(9,U49:U49)</f>
        <v>0</v>
      </c>
      <c r="V48" s="177"/>
    </row>
    <row r="49" spans="1:22" s="2" customFormat="1" ht="16" hidden="1" outlineLevel="1">
      <c r="A49" s="6"/>
      <c r="B49" s="179"/>
      <c r="C49" s="180"/>
      <c r="D49" s="186"/>
      <c r="E49" s="213"/>
      <c r="F49" s="212"/>
      <c r="G49" s="212"/>
      <c r="H49" s="184"/>
      <c r="I49" s="179"/>
      <c r="J49" s="179"/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179"/>
    </row>
    <row r="50" spans="1:22" s="2" customFormat="1" ht="16" hidden="1" outlineLevel="1">
      <c r="A50" s="6"/>
      <c r="B50" s="181"/>
      <c r="C50" s="182"/>
      <c r="D50" s="187"/>
      <c r="E50" s="215"/>
      <c r="F50" s="214"/>
      <c r="G50" s="214"/>
      <c r="H50" s="185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</row>
    <row r="51" spans="1:22" s="2" customFormat="1" ht="17" collapsed="1">
      <c r="A51" s="6"/>
      <c r="B51" s="174">
        <v>16</v>
      </c>
      <c r="C51" s="175"/>
      <c r="D51" s="261" t="str">
        <f>VLOOKUP(B51,$C$59:$E$76,2,0)</f>
        <v>ID-044</v>
      </c>
      <c r="E51" s="211" t="str" cm="1">
        <f t="array" ref="E51:I51">(_xlfn.XLOOKUP($D51,'B-1. THKL THEO ID'!$B:$B,('B-1. THKL THEO ID'!C:G),"N/A",0))</f>
        <v>CBS</v>
      </c>
      <c r="F51" s="211" t="str">
        <v>BOQ-065</v>
      </c>
      <c r="G51" s="211">
        <v>0</v>
      </c>
      <c r="H51" s="183" t="str">
        <v>Mài hoàn thiện cột vách dầm sàn</v>
      </c>
      <c r="I51" s="208" t="str">
        <v>m2</v>
      </c>
      <c r="J51" s="174"/>
      <c r="K51" s="174"/>
      <c r="L51" s="174"/>
      <c r="M51" s="176"/>
      <c r="N51" s="174"/>
      <c r="O51" s="177"/>
      <c r="P51" s="177"/>
      <c r="Q51" s="177"/>
      <c r="R51" s="178">
        <f>SUBTOTAL(9,R52:R53)</f>
        <v>0</v>
      </c>
      <c r="S51" s="177"/>
      <c r="T51" s="177"/>
      <c r="U51" s="209">
        <f>SUBTOTAL(9,U52:U53)</f>
        <v>0</v>
      </c>
      <c r="V51" s="177"/>
    </row>
    <row r="52" spans="1:22" s="2" customFormat="1" ht="16" hidden="1" outlineLevel="1">
      <c r="A52" s="6"/>
      <c r="B52" s="179"/>
      <c r="C52" s="180"/>
      <c r="D52" s="239"/>
      <c r="E52" s="213"/>
      <c r="F52" s="212"/>
      <c r="G52" s="212"/>
      <c r="H52" s="184"/>
      <c r="I52" s="179"/>
      <c r="J52" s="179"/>
      <c r="K52" s="179"/>
      <c r="L52" s="179"/>
      <c r="M52" s="179"/>
      <c r="N52" s="179"/>
      <c r="O52" s="179"/>
      <c r="P52" s="179"/>
      <c r="Q52" s="179"/>
      <c r="R52" s="262"/>
      <c r="S52" s="179"/>
      <c r="T52" s="179"/>
      <c r="U52" s="179"/>
      <c r="V52" s="179"/>
    </row>
    <row r="53" spans="1:22" s="2" customFormat="1" ht="16" hidden="1" outlineLevel="1">
      <c r="A53" s="6"/>
      <c r="B53" s="181"/>
      <c r="C53" s="182"/>
      <c r="D53" s="181"/>
      <c r="E53" s="215"/>
      <c r="F53" s="214"/>
      <c r="G53" s="214"/>
      <c r="H53" s="185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</row>
    <row r="54" spans="1:22" ht="20" customHeight="1">
      <c r="A54" s="2"/>
      <c r="B54" s="50"/>
      <c r="C54" s="51"/>
      <c r="D54" s="52"/>
      <c r="E54" s="53"/>
      <c r="F54" s="52"/>
      <c r="G54" s="52"/>
      <c r="H54" s="54"/>
      <c r="I54" s="52"/>
      <c r="J54" s="52"/>
      <c r="K54" s="52"/>
      <c r="L54" s="52"/>
      <c r="M54" s="52"/>
      <c r="N54" s="52"/>
      <c r="O54" s="52"/>
      <c r="P54" s="52"/>
      <c r="Q54" s="52"/>
      <c r="R54" s="55"/>
      <c r="S54" s="52"/>
      <c r="T54" s="52"/>
      <c r="U54" s="52"/>
      <c r="V54" s="52"/>
    </row>
    <row r="55" spans="1:22" ht="20" customHeight="1">
      <c r="A55" s="2"/>
      <c r="B55" s="27" t="s">
        <v>20</v>
      </c>
      <c r="C55" s="28">
        <v>3</v>
      </c>
      <c r="D55" s="27"/>
      <c r="E55" s="29"/>
      <c r="F55" s="27"/>
      <c r="G55" s="27"/>
      <c r="H55" s="30" t="s">
        <v>29</v>
      </c>
      <c r="I55" s="31"/>
      <c r="J55" s="31"/>
      <c r="K55" s="31"/>
      <c r="L55" s="31"/>
      <c r="M55" s="31"/>
      <c r="N55" s="31"/>
      <c r="O55" s="31"/>
      <c r="P55" s="31"/>
      <c r="Q55" s="31"/>
      <c r="R55" s="32">
        <f>SUBTOTAL(9,R6:R54)</f>
        <v>0</v>
      </c>
      <c r="S55" s="31"/>
      <c r="T55" s="31"/>
      <c r="U55" s="31"/>
      <c r="V55" s="31"/>
    </row>
    <row r="56" spans="1:22" s="2" customFormat="1" ht="20" customHeight="1">
      <c r="E56" s="7"/>
    </row>
    <row r="59" spans="1:22" ht="20" customHeight="1">
      <c r="C59">
        <v>1</v>
      </c>
      <c r="D59" s="239" t="s">
        <v>380</v>
      </c>
    </row>
    <row r="60" spans="1:22" ht="20" customHeight="1">
      <c r="C60">
        <v>2</v>
      </c>
      <c r="D60" s="239" t="s">
        <v>614</v>
      </c>
    </row>
    <row r="61" spans="1:22" ht="20" customHeight="1">
      <c r="C61">
        <v>3</v>
      </c>
      <c r="D61" s="239" t="s">
        <v>615</v>
      </c>
    </row>
    <row r="62" spans="1:22" ht="20" customHeight="1">
      <c r="C62">
        <v>4</v>
      </c>
      <c r="D62" s="239" t="s">
        <v>571</v>
      </c>
    </row>
    <row r="63" spans="1:22" ht="20" customHeight="1">
      <c r="C63">
        <v>5</v>
      </c>
      <c r="D63" s="239" t="s">
        <v>616</v>
      </c>
    </row>
    <row r="64" spans="1:22" ht="20" customHeight="1">
      <c r="C64">
        <v>6</v>
      </c>
      <c r="D64" s="239" t="s">
        <v>396</v>
      </c>
    </row>
    <row r="65" spans="3:4" ht="20" customHeight="1">
      <c r="C65">
        <v>7</v>
      </c>
      <c r="D65" s="239" t="s">
        <v>381</v>
      </c>
    </row>
    <row r="66" spans="3:4" ht="20" customHeight="1">
      <c r="C66">
        <v>8</v>
      </c>
      <c r="D66" s="239" t="s">
        <v>617</v>
      </c>
    </row>
    <row r="67" spans="3:4" ht="20" customHeight="1">
      <c r="C67">
        <v>9</v>
      </c>
      <c r="D67" s="239" t="s">
        <v>382</v>
      </c>
    </row>
    <row r="68" spans="3:4" ht="20" customHeight="1">
      <c r="C68">
        <v>10</v>
      </c>
      <c r="D68" s="239" t="s">
        <v>618</v>
      </c>
    </row>
    <row r="69" spans="3:4" ht="20" customHeight="1">
      <c r="C69">
        <v>11</v>
      </c>
      <c r="D69" s="239" t="s">
        <v>619</v>
      </c>
    </row>
    <row r="70" spans="3:4" ht="20" customHeight="1">
      <c r="C70">
        <v>12</v>
      </c>
      <c r="D70" s="239" t="s">
        <v>572</v>
      </c>
    </row>
    <row r="71" spans="3:4" ht="20" customHeight="1">
      <c r="C71">
        <v>13</v>
      </c>
      <c r="D71" s="239" t="s">
        <v>383</v>
      </c>
    </row>
    <row r="72" spans="3:4" ht="20" customHeight="1">
      <c r="C72">
        <v>14</v>
      </c>
      <c r="D72" s="239" t="s">
        <v>384</v>
      </c>
    </row>
    <row r="73" spans="3:4" ht="20" customHeight="1">
      <c r="C73">
        <v>15</v>
      </c>
      <c r="D73" s="239" t="s">
        <v>620</v>
      </c>
    </row>
    <row r="74" spans="3:4" ht="20" customHeight="1">
      <c r="C74">
        <v>16</v>
      </c>
      <c r="D74" s="239" t="s">
        <v>394</v>
      </c>
    </row>
    <row r="75" spans="3:4" ht="20" customHeight="1">
      <c r="C75">
        <v>17</v>
      </c>
      <c r="D75" s="239"/>
    </row>
    <row r="76" spans="3:4" ht="20" customHeight="1">
      <c r="C76">
        <v>18</v>
      </c>
      <c r="D76" s="239"/>
    </row>
  </sheetData>
  <autoFilter ref="B5:V54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56">
    <cfRule type="cellIs" dxfId="231" priority="18" operator="lessThan">
      <formula>0</formula>
    </cfRule>
  </conditionalFormatting>
  <conditionalFormatting sqref="U6">
    <cfRule type="cellIs" dxfId="230" priority="17" operator="lessThan">
      <formula>0</formula>
    </cfRule>
  </conditionalFormatting>
  <conditionalFormatting sqref="U9">
    <cfRule type="cellIs" dxfId="229" priority="16" operator="lessThan">
      <formula>0</formula>
    </cfRule>
  </conditionalFormatting>
  <conditionalFormatting sqref="U12">
    <cfRule type="cellIs" dxfId="228" priority="15" operator="lessThan">
      <formula>0</formula>
    </cfRule>
  </conditionalFormatting>
  <conditionalFormatting sqref="U15">
    <cfRule type="cellIs" dxfId="227" priority="14" operator="lessThan">
      <formula>0</formula>
    </cfRule>
  </conditionalFormatting>
  <conditionalFormatting sqref="U18">
    <cfRule type="cellIs" dxfId="226" priority="13" operator="lessThan">
      <formula>0</formula>
    </cfRule>
  </conditionalFormatting>
  <conditionalFormatting sqref="U21">
    <cfRule type="cellIs" dxfId="225" priority="12" operator="lessThan">
      <formula>0</formula>
    </cfRule>
  </conditionalFormatting>
  <conditionalFormatting sqref="U24">
    <cfRule type="cellIs" dxfId="224" priority="11" operator="lessThan">
      <formula>0</formula>
    </cfRule>
  </conditionalFormatting>
  <conditionalFormatting sqref="U27">
    <cfRule type="cellIs" dxfId="223" priority="10" operator="lessThan">
      <formula>0</formula>
    </cfRule>
  </conditionalFormatting>
  <conditionalFormatting sqref="U30">
    <cfRule type="cellIs" dxfId="222" priority="9" operator="lessThan">
      <formula>0</formula>
    </cfRule>
  </conditionalFormatting>
  <conditionalFormatting sqref="U33">
    <cfRule type="cellIs" dxfId="221" priority="8" operator="lessThan">
      <formula>0</formula>
    </cfRule>
  </conditionalFormatting>
  <conditionalFormatting sqref="U36">
    <cfRule type="cellIs" dxfId="220" priority="7" operator="lessThan">
      <formula>0</formula>
    </cfRule>
  </conditionalFormatting>
  <conditionalFormatting sqref="U39">
    <cfRule type="cellIs" dxfId="219" priority="6" operator="lessThan">
      <formula>0</formula>
    </cfRule>
  </conditionalFormatting>
  <conditionalFormatting sqref="U42">
    <cfRule type="cellIs" dxfId="218" priority="5" operator="lessThan">
      <formula>0</formula>
    </cfRule>
  </conditionalFormatting>
  <conditionalFormatting sqref="U45">
    <cfRule type="cellIs" dxfId="217" priority="4" operator="lessThan">
      <formula>0</formula>
    </cfRule>
  </conditionalFormatting>
  <conditionalFormatting sqref="U48">
    <cfRule type="cellIs" dxfId="216" priority="3" operator="lessThan">
      <formula>0</formula>
    </cfRule>
  </conditionalFormatting>
  <conditionalFormatting sqref="U51">
    <cfRule type="cellIs" dxfId="215" priority="2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DD5E3-593B-4AF5-895B-6700EA8F1CF0}">
  <sheetPr codeName="Sheet23">
    <tabColor rgb="FF00B050"/>
    <outlinePr summaryBelow="0" summaryRight="0"/>
    <pageSetUpPr fitToPage="1"/>
  </sheetPr>
  <dimension ref="A1:V76"/>
  <sheetViews>
    <sheetView showZeros="0" view="pageBreakPreview" topLeftCell="B1" zoomScaleNormal="100" zoomScaleSheetLayoutView="100" workbookViewId="0">
      <pane ySplit="5" topLeftCell="A48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DẦM SÀN TẦNG 1 (ZONE3) - KHU LÕI - Mã CK:S25.13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329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34" collapsed="1">
      <c r="A6" s="6"/>
      <c r="B6" s="174">
        <v>1</v>
      </c>
      <c r="C6" s="175"/>
      <c r="D6" s="261" t="str">
        <f>VLOOKUP(B6,$C$59:$E$76,2,0)</f>
        <v>ID-028</v>
      </c>
      <c r="E6" s="211" cm="1">
        <f t="array" ref="E6:I6">(_xlfn.XLOOKUP($D6,'B-1. THKL THEO ID'!$B:$B,('B-1. THKL THEO ID'!C:G),"N/A",0))</f>
        <v>0</v>
      </c>
      <c r="F6" s="211" t="str">
        <v>BOQ-029</v>
      </c>
      <c r="G6" s="211">
        <v>0</v>
      </c>
      <c r="H6" s="183" t="str">
        <v>Ván khuôn ép Dầm tầng 1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VLOOKUP(B9,$C$59:$E$76,2,0)</f>
        <v>ID-028A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ép Dầm tầng 1 (m2)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17" collapsed="1">
      <c r="A12" s="6"/>
      <c r="B12" s="174">
        <v>3</v>
      </c>
      <c r="C12" s="175"/>
      <c r="D12" s="261" t="str">
        <f>VLOOKUP(B12,$C$59:$E$76,2,0)</f>
        <v>ID-029A</v>
      </c>
      <c r="E12" s="211" cm="1">
        <f t="array" ref="E12:I12">(_xlfn.XLOOKUP($D12,'B-1. THKL THEO ID'!$B:$B,('B-1. THKL THEO ID'!C:G),"N/A",0))</f>
        <v>0</v>
      </c>
      <c r="F12" s="211" t="str">
        <v>BOQ-030</v>
      </c>
      <c r="G12" s="211">
        <v>0</v>
      </c>
      <c r="H12" s="183" t="str">
        <v>Thép dầm tầng 1 D&lt;=10</v>
      </c>
      <c r="I12" s="208" t="str">
        <v>tấn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VLOOKUP(B15,$C$59:$E$76,2,0)</f>
        <v>ID-029B</v>
      </c>
      <c r="E15" s="211" cm="1">
        <f t="array" ref="E15:I15">(_xlfn.XLOOKUP($D15,'B-1. THKL THEO ID'!$B:$B,('B-1. THKL THEO ID'!C:G),"N/A",0))</f>
        <v>0</v>
      </c>
      <c r="F15" s="211" t="str">
        <v>BOQ-031</v>
      </c>
      <c r="G15" s="211">
        <v>0</v>
      </c>
      <c r="H15" s="183" t="str">
        <v>Thép dầm tầng 1 D&lt;=18</v>
      </c>
      <c r="I15" s="208" t="str">
        <v>tấn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17" collapsed="1">
      <c r="A18" s="6"/>
      <c r="B18" s="174">
        <v>5</v>
      </c>
      <c r="C18" s="175"/>
      <c r="D18" s="261" t="str">
        <f>VLOOKUP(B18,$C$59:$E$76,2,0)</f>
        <v>ID-029C</v>
      </c>
      <c r="E18" s="211" cm="1">
        <f t="array" ref="E18:I18">(_xlfn.XLOOKUP($D18,'B-1. THKL THEO ID'!$B:$B,('B-1. THKL THEO ID'!C:G),"N/A",0))</f>
        <v>0</v>
      </c>
      <c r="F18" s="211" t="str">
        <v>BOQ-032</v>
      </c>
      <c r="G18" s="211">
        <v>0</v>
      </c>
      <c r="H18" s="183" t="str">
        <v>Thép dầm tầng 1 D&gt;18</v>
      </c>
      <c r="I18" s="208" t="str">
        <v>tấn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17" collapsed="1">
      <c r="A21" s="6"/>
      <c r="B21" s="174">
        <v>6</v>
      </c>
      <c r="C21" s="175"/>
      <c r="D21" s="261" t="str">
        <f>VLOOKUP(B21,$C$59:$E$76,2,0)</f>
        <v>ID-029</v>
      </c>
      <c r="E21" s="211" t="str" cm="1">
        <f t="array" ref="E21:I21">(_xlfn.XLOOKUP($D21,'B-1. THKL THEO ID'!$B:$B,('B-1. THKL THEO ID'!C:G),"N/A",0))</f>
        <v>CBS</v>
      </c>
      <c r="F21" s="211">
        <v>0</v>
      </c>
      <c r="G21" s="211">
        <v>0</v>
      </c>
      <c r="H21" s="183" t="str">
        <v>Thép dầm tầng 1 full (kg)</v>
      </c>
      <c r="I21" s="208" t="str">
        <v>kg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34" collapsed="1">
      <c r="A24" s="6"/>
      <c r="B24" s="174">
        <v>7</v>
      </c>
      <c r="C24" s="175"/>
      <c r="D24" s="261" t="str">
        <f>VLOOKUP(B24,$C$59:$E$76,2,0)</f>
        <v>ID-030</v>
      </c>
      <c r="E24" s="211" cm="1">
        <f t="array" ref="E24:I24">(_xlfn.XLOOKUP($D24,'B-1. THKL THEO ID'!$B:$B,('B-1. THKL THEO ID'!C:G),"N/A",0))</f>
        <v>0</v>
      </c>
      <c r="F24" s="211" t="str">
        <v>BOQ-033</v>
      </c>
      <c r="G24" s="211">
        <v>0</v>
      </c>
      <c r="H24" s="183" t="str">
        <v>Bê tông dầm tầng 1 M600 (M400 theo bản vẽ thiết kế)</v>
      </c>
      <c r="I24" s="208" t="str">
        <v>m3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17" collapsed="1">
      <c r="A27" s="6"/>
      <c r="B27" s="174">
        <v>8</v>
      </c>
      <c r="C27" s="175"/>
      <c r="D27" s="261" t="str">
        <f>VLOOKUP(B27,$C$59:$E$76,2,0)</f>
        <v>ID-030A</v>
      </c>
      <c r="E27" s="211" t="str" cm="1">
        <f t="array" ref="E27:I27">(_xlfn.XLOOKUP($D27,'B-1. THKL THEO ID'!$B:$B,('B-1. THKL THEO ID'!C:G),"N/A",0))</f>
        <v>CBS</v>
      </c>
      <c r="F27" s="211">
        <v>0</v>
      </c>
      <c r="G27" s="211">
        <v>0</v>
      </c>
      <c r="H27" s="183" t="str">
        <v>Bê tông dầm tầng 1 M400</v>
      </c>
      <c r="I27" s="208" t="str">
        <v>m3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178">
        <f>SUBTOTAL(9,U28:U28)</f>
        <v>0</v>
      </c>
      <c r="V27" s="177"/>
    </row>
    <row r="28" spans="1:22" s="2" customFormat="1" ht="16" hidden="1" outlineLevel="1">
      <c r="A28" s="6"/>
      <c r="B28" s="179"/>
      <c r="C28" s="180"/>
      <c r="D28" s="186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7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34" collapsed="1">
      <c r="A30" s="6"/>
      <c r="B30" s="174">
        <v>9</v>
      </c>
      <c r="C30" s="175"/>
      <c r="D30" s="261" t="str">
        <f>VLOOKUP(B30,$C$59:$E$76,2,0)</f>
        <v>ID-031</v>
      </c>
      <c r="E30" s="211" cm="1">
        <f t="array" ref="E30:I30">(_xlfn.XLOOKUP($D30,'B-1. THKL THEO ID'!$B:$B,('B-1. THKL THEO ID'!C:G),"N/A",0))</f>
        <v>0</v>
      </c>
      <c r="F30" s="211" t="str">
        <v>BOQ-034</v>
      </c>
      <c r="G30" s="211">
        <v>0</v>
      </c>
      <c r="H30" s="183" t="str">
        <v>Ván khuôn ép sàn tầng 1</v>
      </c>
      <c r="I30" s="208" t="str">
        <v>100m2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7" collapsed="1">
      <c r="A33" s="6"/>
      <c r="B33" s="174">
        <v>10</v>
      </c>
      <c r="C33" s="175"/>
      <c r="D33" s="261" t="str">
        <f>VLOOKUP(B33,$C$59:$E$76,2,0)</f>
        <v>ID-031A</v>
      </c>
      <c r="E33" s="211" t="str" cm="1">
        <f t="array" ref="E33:I33">(_xlfn.XLOOKUP($D33,'B-1. THKL THEO ID'!$B:$B,('B-1. THKL THEO ID'!C:G),"N/A",0))</f>
        <v>CBS</v>
      </c>
      <c r="F33" s="211">
        <v>0</v>
      </c>
      <c r="G33" s="211">
        <v>0</v>
      </c>
      <c r="H33" s="183" t="str">
        <v>Ván khuôn ép sàn tầng 1 (m2)</v>
      </c>
      <c r="I33" s="208" t="str">
        <v>m2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209">
        <f>SUBTOTAL(9,U34:U35)</f>
        <v>0</v>
      </c>
      <c r="V33" s="177"/>
    </row>
    <row r="34" spans="1:22" s="2" customFormat="1" ht="16" hidden="1" outlineLevel="1">
      <c r="A34" s="6"/>
      <c r="B34" s="179"/>
      <c r="C34" s="180"/>
      <c r="D34" s="239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262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1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17" collapsed="1">
      <c r="A36" s="6"/>
      <c r="B36" s="174">
        <v>11</v>
      </c>
      <c r="C36" s="175"/>
      <c r="D36" s="261" t="str">
        <f>VLOOKUP(B36,$C$59:$E$76,2,0)</f>
        <v>ID-032A</v>
      </c>
      <c r="E36" s="211" cm="1">
        <f t="array" ref="E36:I36">(_xlfn.XLOOKUP($D36,'B-1. THKL THEO ID'!$B:$B,('B-1. THKL THEO ID'!C:G),"N/A",0))</f>
        <v>0</v>
      </c>
      <c r="F36" s="211" t="str">
        <v>BOQ-035</v>
      </c>
      <c r="G36" s="211">
        <v>0</v>
      </c>
      <c r="H36" s="183" t="str">
        <v>Thép sàn tầng 1 D&lt;=10</v>
      </c>
      <c r="I36" s="208" t="str">
        <v>tấn</v>
      </c>
      <c r="J36" s="174"/>
      <c r="K36" s="174"/>
      <c r="L36" s="174"/>
      <c r="M36" s="176"/>
      <c r="N36" s="174"/>
      <c r="O36" s="177"/>
      <c r="P36" s="177"/>
      <c r="Q36" s="177"/>
      <c r="R36" s="178">
        <f>SUBTOTAL(9,R37:R38)</f>
        <v>0</v>
      </c>
      <c r="S36" s="177"/>
      <c r="T36" s="177"/>
      <c r="U36" s="209">
        <f>SUBTOTAL(9,U37:U38)</f>
        <v>0</v>
      </c>
      <c r="V36" s="177"/>
    </row>
    <row r="37" spans="1:22" s="2" customFormat="1" ht="16" hidden="1" outlineLevel="1">
      <c r="A37" s="6"/>
      <c r="B37" s="179"/>
      <c r="C37" s="180"/>
      <c r="D37" s="239"/>
      <c r="E37" s="213"/>
      <c r="F37" s="212"/>
      <c r="G37" s="212"/>
      <c r="H37" s="184"/>
      <c r="I37" s="179"/>
      <c r="J37" s="179"/>
      <c r="K37" s="179"/>
      <c r="L37" s="179"/>
      <c r="M37" s="179"/>
      <c r="N37" s="179"/>
      <c r="O37" s="179"/>
      <c r="P37" s="179"/>
      <c r="Q37" s="179"/>
      <c r="R37" s="262"/>
      <c r="S37" s="179"/>
      <c r="T37" s="179"/>
      <c r="U37" s="179"/>
      <c r="V37" s="179"/>
    </row>
    <row r="38" spans="1:22" s="2" customFormat="1" ht="16" hidden="1" outlineLevel="1">
      <c r="A38" s="6"/>
      <c r="B38" s="181"/>
      <c r="C38" s="182"/>
      <c r="D38" s="181"/>
      <c r="E38" s="215"/>
      <c r="F38" s="214"/>
      <c r="G38" s="214"/>
      <c r="H38" s="185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s="2" customFormat="1" ht="17" collapsed="1">
      <c r="A39" s="6"/>
      <c r="B39" s="174">
        <v>12</v>
      </c>
      <c r="C39" s="175"/>
      <c r="D39" s="261" t="str">
        <f>VLOOKUP(B39,$C$59:$E$76,2,0)</f>
        <v>ID-032B</v>
      </c>
      <c r="E39" s="211" cm="1">
        <f t="array" ref="E39:I39">(_xlfn.XLOOKUP($D39,'B-1. THKL THEO ID'!$B:$B,('B-1. THKL THEO ID'!C:G),"N/A",0))</f>
        <v>0</v>
      </c>
      <c r="F39" s="211" t="str">
        <v>BOQ-036</v>
      </c>
      <c r="G39" s="211">
        <v>0</v>
      </c>
      <c r="H39" s="183" t="str">
        <v>Thép sàn tầng 1 D&gt;10</v>
      </c>
      <c r="I39" s="208" t="str">
        <v>tấn</v>
      </c>
      <c r="J39" s="174"/>
      <c r="K39" s="174"/>
      <c r="L39" s="174"/>
      <c r="M39" s="176"/>
      <c r="N39" s="174"/>
      <c r="O39" s="177"/>
      <c r="P39" s="177"/>
      <c r="Q39" s="177"/>
      <c r="R39" s="178">
        <f>SUBTOTAL(9,R40:R41)</f>
        <v>0</v>
      </c>
      <c r="S39" s="177"/>
      <c r="T39" s="177"/>
      <c r="U39" s="178">
        <f>SUBTOTAL(9,U40:U40)</f>
        <v>0</v>
      </c>
      <c r="V39" s="177"/>
    </row>
    <row r="40" spans="1:22" s="2" customFormat="1" ht="16" hidden="1" outlineLevel="1">
      <c r="A40" s="6"/>
      <c r="B40" s="179"/>
      <c r="C40" s="180"/>
      <c r="D40" s="186"/>
      <c r="E40" s="213"/>
      <c r="F40" s="212"/>
      <c r="G40" s="212"/>
      <c r="H40" s="184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</row>
    <row r="41" spans="1:22" s="2" customFormat="1" ht="16" hidden="1" outlineLevel="1">
      <c r="A41" s="6"/>
      <c r="B41" s="181"/>
      <c r="C41" s="182"/>
      <c r="D41" s="187"/>
      <c r="E41" s="215"/>
      <c r="F41" s="214"/>
      <c r="G41" s="214"/>
      <c r="H41" s="185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</row>
    <row r="42" spans="1:22" s="2" customFormat="1" ht="17" collapsed="1">
      <c r="A42" s="6"/>
      <c r="B42" s="174">
        <v>13</v>
      </c>
      <c r="C42" s="175"/>
      <c r="D42" s="261" t="str">
        <f>VLOOKUP(B42,$C$59:$E$76,2,0)</f>
        <v>ID-032</v>
      </c>
      <c r="E42" s="211" t="str" cm="1">
        <f t="array" ref="E42:I42">(_xlfn.XLOOKUP($D42,'B-1. THKL THEO ID'!$B:$B,('B-1. THKL THEO ID'!C:G),"N/A",0))</f>
        <v>CBS</v>
      </c>
      <c r="F42" s="211">
        <v>0</v>
      </c>
      <c r="G42" s="211">
        <v>0</v>
      </c>
      <c r="H42" s="183" t="str">
        <v>Thép sàn tầng 1 full (kg)</v>
      </c>
      <c r="I42" s="208" t="str">
        <v>kg</v>
      </c>
      <c r="J42" s="174"/>
      <c r="K42" s="174"/>
      <c r="L42" s="174"/>
      <c r="M42" s="176"/>
      <c r="N42" s="174"/>
      <c r="O42" s="177"/>
      <c r="P42" s="177"/>
      <c r="Q42" s="177"/>
      <c r="R42" s="178">
        <f>SUBTOTAL(9,R43:R44)</f>
        <v>0</v>
      </c>
      <c r="S42" s="177"/>
      <c r="T42" s="177"/>
      <c r="U42" s="209">
        <f>SUBTOTAL(9,U43:U44)</f>
        <v>0</v>
      </c>
      <c r="V42" s="177"/>
    </row>
    <row r="43" spans="1:22" s="2" customFormat="1" ht="16" hidden="1" outlineLevel="1">
      <c r="A43" s="6"/>
      <c r="B43" s="179"/>
      <c r="C43" s="180"/>
      <c r="D43" s="239"/>
      <c r="E43" s="213"/>
      <c r="F43" s="212"/>
      <c r="G43" s="212"/>
      <c r="H43" s="184"/>
      <c r="I43" s="179"/>
      <c r="J43" s="179"/>
      <c r="K43" s="179"/>
      <c r="L43" s="179"/>
      <c r="M43" s="179"/>
      <c r="N43" s="179"/>
      <c r="O43" s="179"/>
      <c r="P43" s="179"/>
      <c r="Q43" s="179"/>
      <c r="R43" s="262"/>
      <c r="S43" s="179"/>
      <c r="T43" s="179"/>
      <c r="U43" s="179"/>
      <c r="V43" s="179"/>
    </row>
    <row r="44" spans="1:22" s="2" customFormat="1" ht="16" hidden="1" outlineLevel="1">
      <c r="A44" s="6"/>
      <c r="B44" s="181"/>
      <c r="C44" s="182"/>
      <c r="D44" s="181"/>
      <c r="E44" s="215"/>
      <c r="F44" s="214"/>
      <c r="G44" s="214"/>
      <c r="H44" s="185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</row>
    <row r="45" spans="1:22" s="2" customFormat="1" ht="34" collapsed="1">
      <c r="A45" s="6"/>
      <c r="B45" s="174">
        <v>14</v>
      </c>
      <c r="C45" s="175"/>
      <c r="D45" s="261" t="str">
        <f>VLOOKUP(B45,$C$59:$E$76,2,0)</f>
        <v>ID-033</v>
      </c>
      <c r="E45" s="211" cm="1">
        <f t="array" ref="E45:I45">(_xlfn.XLOOKUP($D45,'B-1. THKL THEO ID'!$B:$B,('B-1. THKL THEO ID'!C:G),"N/A",0))</f>
        <v>0</v>
      </c>
      <c r="F45" s="211" t="str">
        <v>BOQ-037</v>
      </c>
      <c r="G45" s="211">
        <v>0</v>
      </c>
      <c r="H45" s="183" t="str">
        <v>Bê tông sàn tâng 1 M600 (M400 theo bản vẽ thiết kế)</v>
      </c>
      <c r="I45" s="208" t="str">
        <v>m3</v>
      </c>
      <c r="J45" s="174"/>
      <c r="K45" s="174"/>
      <c r="L45" s="174"/>
      <c r="M45" s="176"/>
      <c r="N45" s="174"/>
      <c r="O45" s="177"/>
      <c r="P45" s="177"/>
      <c r="Q45" s="177"/>
      <c r="R45" s="178">
        <f>SUBTOTAL(9,R46:R47)</f>
        <v>0</v>
      </c>
      <c r="S45" s="177"/>
      <c r="T45" s="177"/>
      <c r="U45" s="209">
        <f>SUBTOTAL(9,U46:U47)</f>
        <v>0</v>
      </c>
      <c r="V45" s="177"/>
    </row>
    <row r="46" spans="1:22" s="2" customFormat="1" ht="16" hidden="1" outlineLevel="1">
      <c r="A46" s="6"/>
      <c r="B46" s="179"/>
      <c r="C46" s="180"/>
      <c r="D46" s="239"/>
      <c r="E46" s="213"/>
      <c r="F46" s="212"/>
      <c r="G46" s="212"/>
      <c r="H46" s="184"/>
      <c r="I46" s="179"/>
      <c r="J46" s="179"/>
      <c r="K46" s="179"/>
      <c r="L46" s="179"/>
      <c r="M46" s="179"/>
      <c r="N46" s="179"/>
      <c r="O46" s="179"/>
      <c r="P46" s="179"/>
      <c r="Q46" s="179"/>
      <c r="R46" s="262"/>
      <c r="S46" s="179"/>
      <c r="T46" s="179"/>
      <c r="U46" s="179"/>
      <c r="V46" s="179"/>
    </row>
    <row r="47" spans="1:22" s="2" customFormat="1" ht="16" hidden="1" outlineLevel="1">
      <c r="A47" s="6"/>
      <c r="B47" s="181"/>
      <c r="C47" s="182"/>
      <c r="D47" s="181"/>
      <c r="E47" s="215"/>
      <c r="F47" s="214"/>
      <c r="G47" s="214"/>
      <c r="H47" s="185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</row>
    <row r="48" spans="1:22" s="2" customFormat="1" ht="17" collapsed="1">
      <c r="A48" s="6"/>
      <c r="B48" s="174">
        <v>15</v>
      </c>
      <c r="C48" s="175"/>
      <c r="D48" s="261" t="str">
        <f>VLOOKUP(B48,$C$59:$E$76,2,0)</f>
        <v>ID-033A</v>
      </c>
      <c r="E48" s="211" t="str" cm="1">
        <f t="array" ref="E48:I48">(_xlfn.XLOOKUP($D48,'B-1. THKL THEO ID'!$B:$B,('B-1. THKL THEO ID'!C:G),"N/A",0))</f>
        <v>CBS</v>
      </c>
      <c r="F48" s="211">
        <v>0</v>
      </c>
      <c r="G48" s="211">
        <v>0</v>
      </c>
      <c r="H48" s="183" t="str">
        <v>Bê tông sàn tâng 1 M400</v>
      </c>
      <c r="I48" s="208" t="str">
        <v>m3</v>
      </c>
      <c r="J48" s="174"/>
      <c r="K48" s="174"/>
      <c r="L48" s="174"/>
      <c r="M48" s="176"/>
      <c r="N48" s="174"/>
      <c r="O48" s="177"/>
      <c r="P48" s="177"/>
      <c r="Q48" s="177"/>
      <c r="R48" s="178">
        <f>SUBTOTAL(9,R49:R50)</f>
        <v>0</v>
      </c>
      <c r="S48" s="177"/>
      <c r="T48" s="177"/>
      <c r="U48" s="178">
        <f>SUBTOTAL(9,U49:U49)</f>
        <v>0</v>
      </c>
      <c r="V48" s="177"/>
    </row>
    <row r="49" spans="1:22" s="2" customFormat="1" ht="16" hidden="1" outlineLevel="1">
      <c r="A49" s="6"/>
      <c r="B49" s="179"/>
      <c r="C49" s="180"/>
      <c r="D49" s="186"/>
      <c r="E49" s="213"/>
      <c r="F49" s="212"/>
      <c r="G49" s="212"/>
      <c r="H49" s="184"/>
      <c r="I49" s="179"/>
      <c r="J49" s="179"/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179"/>
    </row>
    <row r="50" spans="1:22" s="2" customFormat="1" ht="16" hidden="1" outlineLevel="1">
      <c r="A50" s="6"/>
      <c r="B50" s="181"/>
      <c r="C50" s="182"/>
      <c r="D50" s="187"/>
      <c r="E50" s="215"/>
      <c r="F50" s="214"/>
      <c r="G50" s="214"/>
      <c r="H50" s="185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</row>
    <row r="51" spans="1:22" s="2" customFormat="1" ht="17" collapsed="1">
      <c r="A51" s="6"/>
      <c r="B51" s="174">
        <v>16</v>
      </c>
      <c r="C51" s="175"/>
      <c r="D51" s="261" t="str">
        <f>VLOOKUP(B51,$C$59:$E$76,2,0)</f>
        <v>ID-044</v>
      </c>
      <c r="E51" s="211" t="str" cm="1">
        <f t="array" ref="E51:I51">(_xlfn.XLOOKUP($D51,'B-1. THKL THEO ID'!$B:$B,('B-1. THKL THEO ID'!C:G),"N/A",0))</f>
        <v>CBS</v>
      </c>
      <c r="F51" s="211" t="str">
        <v>BOQ-065</v>
      </c>
      <c r="G51" s="211">
        <v>0</v>
      </c>
      <c r="H51" s="183" t="str">
        <v>Mài hoàn thiện cột vách dầm sàn</v>
      </c>
      <c r="I51" s="208" t="str">
        <v>m2</v>
      </c>
      <c r="J51" s="174"/>
      <c r="K51" s="174"/>
      <c r="L51" s="174"/>
      <c r="M51" s="176"/>
      <c r="N51" s="174"/>
      <c r="O51" s="177"/>
      <c r="P51" s="177"/>
      <c r="Q51" s="177"/>
      <c r="R51" s="178">
        <f>SUBTOTAL(9,R52:R53)</f>
        <v>0</v>
      </c>
      <c r="S51" s="177"/>
      <c r="T51" s="177"/>
      <c r="U51" s="209">
        <f>SUBTOTAL(9,U52:U53)</f>
        <v>0</v>
      </c>
      <c r="V51" s="177"/>
    </row>
    <row r="52" spans="1:22" s="2" customFormat="1" ht="16" hidden="1" outlineLevel="1">
      <c r="A52" s="6"/>
      <c r="B52" s="179"/>
      <c r="C52" s="180"/>
      <c r="D52" s="239"/>
      <c r="E52" s="213"/>
      <c r="F52" s="212"/>
      <c r="G52" s="212"/>
      <c r="H52" s="184"/>
      <c r="I52" s="179"/>
      <c r="J52" s="179"/>
      <c r="K52" s="179"/>
      <c r="L52" s="179"/>
      <c r="M52" s="179"/>
      <c r="N52" s="179"/>
      <c r="O52" s="179"/>
      <c r="P52" s="179"/>
      <c r="Q52" s="179"/>
      <c r="R52" s="262"/>
      <c r="S52" s="179"/>
      <c r="T52" s="179"/>
      <c r="U52" s="179"/>
      <c r="V52" s="179"/>
    </row>
    <row r="53" spans="1:22" s="2" customFormat="1" ht="16" hidden="1" outlineLevel="1">
      <c r="A53" s="6"/>
      <c r="B53" s="181"/>
      <c r="C53" s="182"/>
      <c r="D53" s="181"/>
      <c r="E53" s="215"/>
      <c r="F53" s="214"/>
      <c r="G53" s="214"/>
      <c r="H53" s="185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</row>
    <row r="54" spans="1:22" ht="20" customHeight="1">
      <c r="A54" s="2"/>
      <c r="B54" s="50"/>
      <c r="C54" s="51"/>
      <c r="D54" s="52"/>
      <c r="E54" s="53"/>
      <c r="F54" s="52"/>
      <c r="G54" s="52"/>
      <c r="H54" s="54"/>
      <c r="I54" s="52"/>
      <c r="J54" s="52"/>
      <c r="K54" s="52"/>
      <c r="L54" s="52"/>
      <c r="M54" s="52"/>
      <c r="N54" s="52"/>
      <c r="O54" s="52"/>
      <c r="P54" s="52"/>
      <c r="Q54" s="52"/>
      <c r="R54" s="55"/>
      <c r="S54" s="52"/>
      <c r="T54" s="52"/>
      <c r="U54" s="52"/>
      <c r="V54" s="52"/>
    </row>
    <row r="55" spans="1:22" ht="20" customHeight="1">
      <c r="A55" s="2"/>
      <c r="B55" s="27" t="s">
        <v>20</v>
      </c>
      <c r="C55" s="28">
        <v>3</v>
      </c>
      <c r="D55" s="27"/>
      <c r="E55" s="29"/>
      <c r="F55" s="27"/>
      <c r="G55" s="27"/>
      <c r="H55" s="30" t="s">
        <v>29</v>
      </c>
      <c r="I55" s="31"/>
      <c r="J55" s="31"/>
      <c r="K55" s="31"/>
      <c r="L55" s="31"/>
      <c r="M55" s="31"/>
      <c r="N55" s="31"/>
      <c r="O55" s="31"/>
      <c r="P55" s="31"/>
      <c r="Q55" s="31"/>
      <c r="R55" s="32">
        <f>SUBTOTAL(9,R6:R54)</f>
        <v>0</v>
      </c>
      <c r="S55" s="31"/>
      <c r="T55" s="31"/>
      <c r="U55" s="31"/>
      <c r="V55" s="31"/>
    </row>
    <row r="56" spans="1:22" s="2" customFormat="1" ht="20" customHeight="1">
      <c r="E56" s="7"/>
    </row>
    <row r="59" spans="1:22" ht="20" customHeight="1">
      <c r="C59">
        <v>1</v>
      </c>
      <c r="D59" s="239" t="s">
        <v>380</v>
      </c>
    </row>
    <row r="60" spans="1:22" ht="20" customHeight="1">
      <c r="C60">
        <v>2</v>
      </c>
      <c r="D60" s="239" t="s">
        <v>614</v>
      </c>
    </row>
    <row r="61" spans="1:22" ht="20" customHeight="1">
      <c r="C61">
        <v>3</v>
      </c>
      <c r="D61" s="239" t="s">
        <v>615</v>
      </c>
    </row>
    <row r="62" spans="1:22" ht="20" customHeight="1">
      <c r="C62">
        <v>4</v>
      </c>
      <c r="D62" s="239" t="s">
        <v>571</v>
      </c>
    </row>
    <row r="63" spans="1:22" ht="20" customHeight="1">
      <c r="C63">
        <v>5</v>
      </c>
      <c r="D63" s="239" t="s">
        <v>616</v>
      </c>
    </row>
    <row r="64" spans="1:22" ht="20" customHeight="1">
      <c r="C64">
        <v>6</v>
      </c>
      <c r="D64" s="239" t="s">
        <v>396</v>
      </c>
    </row>
    <row r="65" spans="3:4" ht="20" customHeight="1">
      <c r="C65">
        <v>7</v>
      </c>
      <c r="D65" s="239" t="s">
        <v>381</v>
      </c>
    </row>
    <row r="66" spans="3:4" ht="20" customHeight="1">
      <c r="C66">
        <v>8</v>
      </c>
      <c r="D66" s="239" t="s">
        <v>617</v>
      </c>
    </row>
    <row r="67" spans="3:4" ht="20" customHeight="1">
      <c r="C67">
        <v>9</v>
      </c>
      <c r="D67" s="239" t="s">
        <v>382</v>
      </c>
    </row>
    <row r="68" spans="3:4" ht="20" customHeight="1">
      <c r="C68">
        <v>10</v>
      </c>
      <c r="D68" s="239" t="s">
        <v>618</v>
      </c>
    </row>
    <row r="69" spans="3:4" ht="20" customHeight="1">
      <c r="C69">
        <v>11</v>
      </c>
      <c r="D69" s="239" t="s">
        <v>619</v>
      </c>
    </row>
    <row r="70" spans="3:4" ht="20" customHeight="1">
      <c r="C70">
        <v>12</v>
      </c>
      <c r="D70" s="239" t="s">
        <v>572</v>
      </c>
    </row>
    <row r="71" spans="3:4" ht="20" customHeight="1">
      <c r="C71">
        <v>13</v>
      </c>
      <c r="D71" s="239" t="s">
        <v>383</v>
      </c>
    </row>
    <row r="72" spans="3:4" ht="20" customHeight="1">
      <c r="C72">
        <v>14</v>
      </c>
      <c r="D72" s="239" t="s">
        <v>384</v>
      </c>
    </row>
    <row r="73" spans="3:4" ht="20" customHeight="1">
      <c r="C73">
        <v>15</v>
      </c>
      <c r="D73" s="239" t="s">
        <v>620</v>
      </c>
    </row>
    <row r="74" spans="3:4" ht="20" customHeight="1">
      <c r="C74">
        <v>16</v>
      </c>
      <c r="D74" s="239" t="s">
        <v>394</v>
      </c>
    </row>
    <row r="75" spans="3:4" ht="20" customHeight="1">
      <c r="C75">
        <v>17</v>
      </c>
      <c r="D75" s="239"/>
    </row>
    <row r="76" spans="3:4" ht="20" customHeight="1">
      <c r="C76">
        <v>18</v>
      </c>
      <c r="D76" s="239"/>
    </row>
  </sheetData>
  <autoFilter ref="B5:V54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56">
    <cfRule type="cellIs" dxfId="214" priority="18" operator="lessThan">
      <formula>0</formula>
    </cfRule>
  </conditionalFormatting>
  <conditionalFormatting sqref="U6">
    <cfRule type="cellIs" dxfId="213" priority="17" operator="lessThan">
      <formula>0</formula>
    </cfRule>
  </conditionalFormatting>
  <conditionalFormatting sqref="U9">
    <cfRule type="cellIs" dxfId="212" priority="16" operator="lessThan">
      <formula>0</formula>
    </cfRule>
  </conditionalFormatting>
  <conditionalFormatting sqref="U12">
    <cfRule type="cellIs" dxfId="211" priority="15" operator="lessThan">
      <formula>0</formula>
    </cfRule>
  </conditionalFormatting>
  <conditionalFormatting sqref="U15">
    <cfRule type="cellIs" dxfId="210" priority="14" operator="lessThan">
      <formula>0</formula>
    </cfRule>
  </conditionalFormatting>
  <conditionalFormatting sqref="U18">
    <cfRule type="cellIs" dxfId="209" priority="13" operator="lessThan">
      <formula>0</formula>
    </cfRule>
  </conditionalFormatting>
  <conditionalFormatting sqref="U21">
    <cfRule type="cellIs" dxfId="208" priority="12" operator="lessThan">
      <formula>0</formula>
    </cfRule>
  </conditionalFormatting>
  <conditionalFormatting sqref="U24">
    <cfRule type="cellIs" dxfId="207" priority="11" operator="lessThan">
      <formula>0</formula>
    </cfRule>
  </conditionalFormatting>
  <conditionalFormatting sqref="U27">
    <cfRule type="cellIs" dxfId="206" priority="10" operator="lessThan">
      <formula>0</formula>
    </cfRule>
  </conditionalFormatting>
  <conditionalFormatting sqref="U30">
    <cfRule type="cellIs" dxfId="205" priority="9" operator="lessThan">
      <formula>0</formula>
    </cfRule>
  </conditionalFormatting>
  <conditionalFormatting sqref="U33">
    <cfRule type="cellIs" dxfId="204" priority="8" operator="lessThan">
      <formula>0</formula>
    </cfRule>
  </conditionalFormatting>
  <conditionalFormatting sqref="U36">
    <cfRule type="cellIs" dxfId="203" priority="7" operator="lessThan">
      <formula>0</formula>
    </cfRule>
  </conditionalFormatting>
  <conditionalFormatting sqref="U39">
    <cfRule type="cellIs" dxfId="202" priority="6" operator="lessThan">
      <formula>0</formula>
    </cfRule>
  </conditionalFormatting>
  <conditionalFormatting sqref="U42">
    <cfRule type="cellIs" dxfId="201" priority="5" operator="lessThan">
      <formula>0</formula>
    </cfRule>
  </conditionalFormatting>
  <conditionalFormatting sqref="U45">
    <cfRule type="cellIs" dxfId="200" priority="4" operator="lessThan">
      <formula>0</formula>
    </cfRule>
  </conditionalFormatting>
  <conditionalFormatting sqref="U48">
    <cfRule type="cellIs" dxfId="199" priority="3" operator="lessThan">
      <formula>0</formula>
    </cfRule>
  </conditionalFormatting>
  <conditionalFormatting sqref="U51">
    <cfRule type="cellIs" dxfId="198" priority="2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0B2A2-2930-48CD-8324-7F5786381E27}">
  <sheetPr codeName="Sheet24">
    <tabColor rgb="FF00B050"/>
    <outlinePr summaryBelow="0" summaryRight="0"/>
    <pageSetUpPr fitToPage="1"/>
  </sheetPr>
  <dimension ref="A1:V76"/>
  <sheetViews>
    <sheetView showZeros="0" view="pageBreakPreview" topLeftCell="B1" zoomScaleNormal="100" zoomScaleSheetLayoutView="100" workbookViewId="0">
      <pane ySplit="5" topLeftCell="A62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DẦM SÀN TẦNG 1 (ZONE4) - KHU LÕI - Mã CK:S25.14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330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34" collapsed="1">
      <c r="A6" s="6"/>
      <c r="B6" s="174">
        <v>1</v>
      </c>
      <c r="C6" s="175"/>
      <c r="D6" s="261" t="str">
        <f>VLOOKUP(B6,$C$59:$E$76,2,0)</f>
        <v>ID-028</v>
      </c>
      <c r="E6" s="211" cm="1">
        <f t="array" ref="E6:I6">(_xlfn.XLOOKUP($D6,'B-1. THKL THEO ID'!$B:$B,('B-1. THKL THEO ID'!C:G),"N/A",0))</f>
        <v>0</v>
      </c>
      <c r="F6" s="211" t="str">
        <v>BOQ-029</v>
      </c>
      <c r="G6" s="211">
        <v>0</v>
      </c>
      <c r="H6" s="183" t="str">
        <v>Ván khuôn ép Dầm tầng 1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VLOOKUP(B9,$C$59:$E$76,2,0)</f>
        <v>ID-028A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ép Dầm tầng 1 (m2)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17" collapsed="1">
      <c r="A12" s="6"/>
      <c r="B12" s="174">
        <v>3</v>
      </c>
      <c r="C12" s="175"/>
      <c r="D12" s="261" t="str">
        <f>VLOOKUP(B12,$C$59:$E$76,2,0)</f>
        <v>ID-029A</v>
      </c>
      <c r="E12" s="211" cm="1">
        <f t="array" ref="E12:I12">(_xlfn.XLOOKUP($D12,'B-1. THKL THEO ID'!$B:$B,('B-1. THKL THEO ID'!C:G),"N/A",0))</f>
        <v>0</v>
      </c>
      <c r="F12" s="211" t="str">
        <v>BOQ-030</v>
      </c>
      <c r="G12" s="211">
        <v>0</v>
      </c>
      <c r="H12" s="183" t="str">
        <v>Thép dầm tầng 1 D&lt;=10</v>
      </c>
      <c r="I12" s="208" t="str">
        <v>tấn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VLOOKUP(B15,$C$59:$E$76,2,0)</f>
        <v>ID-029B</v>
      </c>
      <c r="E15" s="211" cm="1">
        <f t="array" ref="E15:I15">(_xlfn.XLOOKUP($D15,'B-1. THKL THEO ID'!$B:$B,('B-1. THKL THEO ID'!C:G),"N/A",0))</f>
        <v>0</v>
      </c>
      <c r="F15" s="211" t="str">
        <v>BOQ-031</v>
      </c>
      <c r="G15" s="211">
        <v>0</v>
      </c>
      <c r="H15" s="183" t="str">
        <v>Thép dầm tầng 1 D&lt;=18</v>
      </c>
      <c r="I15" s="208" t="str">
        <v>tấn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17" collapsed="1">
      <c r="A18" s="6"/>
      <c r="B18" s="174">
        <v>5</v>
      </c>
      <c r="C18" s="175"/>
      <c r="D18" s="261" t="str">
        <f>VLOOKUP(B18,$C$59:$E$76,2,0)</f>
        <v>ID-029C</v>
      </c>
      <c r="E18" s="211" cm="1">
        <f t="array" ref="E18:I18">(_xlfn.XLOOKUP($D18,'B-1. THKL THEO ID'!$B:$B,('B-1. THKL THEO ID'!C:G),"N/A",0))</f>
        <v>0</v>
      </c>
      <c r="F18" s="211" t="str">
        <v>BOQ-032</v>
      </c>
      <c r="G18" s="211">
        <v>0</v>
      </c>
      <c r="H18" s="183" t="str">
        <v>Thép dầm tầng 1 D&gt;18</v>
      </c>
      <c r="I18" s="208" t="str">
        <v>tấn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17" collapsed="1">
      <c r="A21" s="6"/>
      <c r="B21" s="174">
        <v>6</v>
      </c>
      <c r="C21" s="175"/>
      <c r="D21" s="261" t="str">
        <f>VLOOKUP(B21,$C$59:$E$76,2,0)</f>
        <v>ID-029</v>
      </c>
      <c r="E21" s="211" t="str" cm="1">
        <f t="array" ref="E21:I21">(_xlfn.XLOOKUP($D21,'B-1. THKL THEO ID'!$B:$B,('B-1. THKL THEO ID'!C:G),"N/A",0))</f>
        <v>CBS</v>
      </c>
      <c r="F21" s="211">
        <v>0</v>
      </c>
      <c r="G21" s="211">
        <v>0</v>
      </c>
      <c r="H21" s="183" t="str">
        <v>Thép dầm tầng 1 full (kg)</v>
      </c>
      <c r="I21" s="208" t="str">
        <v>kg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34" collapsed="1">
      <c r="A24" s="6"/>
      <c r="B24" s="174">
        <v>7</v>
      </c>
      <c r="C24" s="175"/>
      <c r="D24" s="261" t="str">
        <f>VLOOKUP(B24,$C$59:$E$76,2,0)</f>
        <v>ID-030</v>
      </c>
      <c r="E24" s="211" cm="1">
        <f t="array" ref="E24:I24">(_xlfn.XLOOKUP($D24,'B-1. THKL THEO ID'!$B:$B,('B-1. THKL THEO ID'!C:G),"N/A",0))</f>
        <v>0</v>
      </c>
      <c r="F24" s="211" t="str">
        <v>BOQ-033</v>
      </c>
      <c r="G24" s="211">
        <v>0</v>
      </c>
      <c r="H24" s="183" t="str">
        <v>Bê tông dầm tầng 1 M600 (M400 theo bản vẽ thiết kế)</v>
      </c>
      <c r="I24" s="208" t="str">
        <v>m3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17" collapsed="1">
      <c r="A27" s="6"/>
      <c r="B27" s="174">
        <v>8</v>
      </c>
      <c r="C27" s="175"/>
      <c r="D27" s="261" t="str">
        <f>VLOOKUP(B27,$C$59:$E$76,2,0)</f>
        <v>ID-030A</v>
      </c>
      <c r="E27" s="211" t="str" cm="1">
        <f t="array" ref="E27:I27">(_xlfn.XLOOKUP($D27,'B-1. THKL THEO ID'!$B:$B,('B-1. THKL THEO ID'!C:G),"N/A",0))</f>
        <v>CBS</v>
      </c>
      <c r="F27" s="211">
        <v>0</v>
      </c>
      <c r="G27" s="211">
        <v>0</v>
      </c>
      <c r="H27" s="183" t="str">
        <v>Bê tông dầm tầng 1 M400</v>
      </c>
      <c r="I27" s="208" t="str">
        <v>m3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178">
        <f>SUBTOTAL(9,U28:U28)</f>
        <v>0</v>
      </c>
      <c r="V27" s="177"/>
    </row>
    <row r="28" spans="1:22" s="2" customFormat="1" ht="16" hidden="1" outlineLevel="1">
      <c r="A28" s="6"/>
      <c r="B28" s="179"/>
      <c r="C28" s="180"/>
      <c r="D28" s="186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7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34" collapsed="1">
      <c r="A30" s="6"/>
      <c r="B30" s="174">
        <v>9</v>
      </c>
      <c r="C30" s="175"/>
      <c r="D30" s="261" t="str">
        <f>VLOOKUP(B30,$C$59:$E$76,2,0)</f>
        <v>ID-031</v>
      </c>
      <c r="E30" s="211" cm="1">
        <f t="array" ref="E30:I30">(_xlfn.XLOOKUP($D30,'B-1. THKL THEO ID'!$B:$B,('B-1. THKL THEO ID'!C:G),"N/A",0))</f>
        <v>0</v>
      </c>
      <c r="F30" s="211" t="str">
        <v>BOQ-034</v>
      </c>
      <c r="G30" s="211">
        <v>0</v>
      </c>
      <c r="H30" s="183" t="str">
        <v>Ván khuôn ép sàn tầng 1</v>
      </c>
      <c r="I30" s="208" t="str">
        <v>100m2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7" collapsed="1">
      <c r="A33" s="6"/>
      <c r="B33" s="174">
        <v>10</v>
      </c>
      <c r="C33" s="175"/>
      <c r="D33" s="261" t="str">
        <f>VLOOKUP(B33,$C$59:$E$76,2,0)</f>
        <v>ID-031A</v>
      </c>
      <c r="E33" s="211" t="str" cm="1">
        <f t="array" ref="E33:I33">(_xlfn.XLOOKUP($D33,'B-1. THKL THEO ID'!$B:$B,('B-1. THKL THEO ID'!C:G),"N/A",0))</f>
        <v>CBS</v>
      </c>
      <c r="F33" s="211">
        <v>0</v>
      </c>
      <c r="G33" s="211">
        <v>0</v>
      </c>
      <c r="H33" s="183" t="str">
        <v>Ván khuôn ép sàn tầng 1 (m2)</v>
      </c>
      <c r="I33" s="208" t="str">
        <v>m2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209">
        <f>SUBTOTAL(9,U34:U35)</f>
        <v>0</v>
      </c>
      <c r="V33" s="177"/>
    </row>
    <row r="34" spans="1:22" s="2" customFormat="1" ht="16" hidden="1" outlineLevel="1">
      <c r="A34" s="6"/>
      <c r="B34" s="179"/>
      <c r="C34" s="180"/>
      <c r="D34" s="239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262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1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17" collapsed="1">
      <c r="A36" s="6"/>
      <c r="B36" s="174">
        <v>11</v>
      </c>
      <c r="C36" s="175"/>
      <c r="D36" s="261" t="str">
        <f>VLOOKUP(B36,$C$59:$E$76,2,0)</f>
        <v>ID-032A</v>
      </c>
      <c r="E36" s="211" cm="1">
        <f t="array" ref="E36:I36">(_xlfn.XLOOKUP($D36,'B-1. THKL THEO ID'!$B:$B,('B-1. THKL THEO ID'!C:G),"N/A",0))</f>
        <v>0</v>
      </c>
      <c r="F36" s="211" t="str">
        <v>BOQ-035</v>
      </c>
      <c r="G36" s="211">
        <v>0</v>
      </c>
      <c r="H36" s="183" t="str">
        <v>Thép sàn tầng 1 D&lt;=10</v>
      </c>
      <c r="I36" s="208" t="str">
        <v>tấn</v>
      </c>
      <c r="J36" s="174"/>
      <c r="K36" s="174"/>
      <c r="L36" s="174"/>
      <c r="M36" s="176"/>
      <c r="N36" s="174"/>
      <c r="O36" s="177"/>
      <c r="P36" s="177"/>
      <c r="Q36" s="177"/>
      <c r="R36" s="178">
        <f>SUBTOTAL(9,R37:R38)</f>
        <v>0</v>
      </c>
      <c r="S36" s="177"/>
      <c r="T36" s="177"/>
      <c r="U36" s="209">
        <f>SUBTOTAL(9,U37:U38)</f>
        <v>0</v>
      </c>
      <c r="V36" s="177"/>
    </row>
    <row r="37" spans="1:22" s="2" customFormat="1" ht="16" hidden="1" outlineLevel="1">
      <c r="A37" s="6"/>
      <c r="B37" s="179"/>
      <c r="C37" s="180"/>
      <c r="D37" s="239"/>
      <c r="E37" s="213"/>
      <c r="F37" s="212"/>
      <c r="G37" s="212"/>
      <c r="H37" s="184"/>
      <c r="I37" s="179"/>
      <c r="J37" s="179"/>
      <c r="K37" s="179"/>
      <c r="L37" s="179"/>
      <c r="M37" s="179"/>
      <c r="N37" s="179"/>
      <c r="O37" s="179"/>
      <c r="P37" s="179"/>
      <c r="Q37" s="179"/>
      <c r="R37" s="262"/>
      <c r="S37" s="179"/>
      <c r="T37" s="179"/>
      <c r="U37" s="179"/>
      <c r="V37" s="179"/>
    </row>
    <row r="38" spans="1:22" s="2" customFormat="1" ht="16" hidden="1" outlineLevel="1">
      <c r="A38" s="6"/>
      <c r="B38" s="181"/>
      <c r="C38" s="182"/>
      <c r="D38" s="181"/>
      <c r="E38" s="215"/>
      <c r="F38" s="214"/>
      <c r="G38" s="214"/>
      <c r="H38" s="185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s="2" customFormat="1" ht="17" collapsed="1">
      <c r="A39" s="6"/>
      <c r="B39" s="174">
        <v>12</v>
      </c>
      <c r="C39" s="175"/>
      <c r="D39" s="261" t="str">
        <f>VLOOKUP(B39,$C$59:$E$76,2,0)</f>
        <v>ID-032B</v>
      </c>
      <c r="E39" s="211" cm="1">
        <f t="array" ref="E39:I39">(_xlfn.XLOOKUP($D39,'B-1. THKL THEO ID'!$B:$B,('B-1. THKL THEO ID'!C:G),"N/A",0))</f>
        <v>0</v>
      </c>
      <c r="F39" s="211" t="str">
        <v>BOQ-036</v>
      </c>
      <c r="G39" s="211">
        <v>0</v>
      </c>
      <c r="H39" s="183" t="str">
        <v>Thép sàn tầng 1 D&gt;10</v>
      </c>
      <c r="I39" s="208" t="str">
        <v>tấn</v>
      </c>
      <c r="J39" s="174"/>
      <c r="K39" s="174"/>
      <c r="L39" s="174"/>
      <c r="M39" s="176"/>
      <c r="N39" s="174"/>
      <c r="O39" s="177"/>
      <c r="P39" s="177"/>
      <c r="Q39" s="177"/>
      <c r="R39" s="178">
        <f>SUBTOTAL(9,R40:R41)</f>
        <v>0</v>
      </c>
      <c r="S39" s="177"/>
      <c r="T39" s="177"/>
      <c r="U39" s="178">
        <f>SUBTOTAL(9,U40:U40)</f>
        <v>0</v>
      </c>
      <c r="V39" s="177"/>
    </row>
    <row r="40" spans="1:22" s="2" customFormat="1" ht="16" hidden="1" outlineLevel="1">
      <c r="A40" s="6"/>
      <c r="B40" s="179"/>
      <c r="C40" s="180"/>
      <c r="D40" s="186"/>
      <c r="E40" s="213"/>
      <c r="F40" s="212"/>
      <c r="G40" s="212"/>
      <c r="H40" s="184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</row>
    <row r="41" spans="1:22" s="2" customFormat="1" ht="16" hidden="1" outlineLevel="1">
      <c r="A41" s="6"/>
      <c r="B41" s="181"/>
      <c r="C41" s="182"/>
      <c r="D41" s="187"/>
      <c r="E41" s="215"/>
      <c r="F41" s="214"/>
      <c r="G41" s="214"/>
      <c r="H41" s="185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</row>
    <row r="42" spans="1:22" s="2" customFormat="1" ht="17" collapsed="1">
      <c r="A42" s="6"/>
      <c r="B42" s="174">
        <v>13</v>
      </c>
      <c r="C42" s="175"/>
      <c r="D42" s="261" t="str">
        <f>VLOOKUP(B42,$C$59:$E$76,2,0)</f>
        <v>ID-032</v>
      </c>
      <c r="E42" s="211" t="str" cm="1">
        <f t="array" ref="E42:I42">(_xlfn.XLOOKUP($D42,'B-1. THKL THEO ID'!$B:$B,('B-1. THKL THEO ID'!C:G),"N/A",0))</f>
        <v>CBS</v>
      </c>
      <c r="F42" s="211">
        <v>0</v>
      </c>
      <c r="G42" s="211">
        <v>0</v>
      </c>
      <c r="H42" s="183" t="str">
        <v>Thép sàn tầng 1 full (kg)</v>
      </c>
      <c r="I42" s="208" t="str">
        <v>kg</v>
      </c>
      <c r="J42" s="174"/>
      <c r="K42" s="174"/>
      <c r="L42" s="174"/>
      <c r="M42" s="176"/>
      <c r="N42" s="174"/>
      <c r="O42" s="177"/>
      <c r="P42" s="177"/>
      <c r="Q42" s="177"/>
      <c r="R42" s="178">
        <f>SUBTOTAL(9,R43:R44)</f>
        <v>0</v>
      </c>
      <c r="S42" s="177"/>
      <c r="T42" s="177"/>
      <c r="U42" s="209">
        <f>SUBTOTAL(9,U43:U44)</f>
        <v>0</v>
      </c>
      <c r="V42" s="177"/>
    </row>
    <row r="43" spans="1:22" s="2" customFormat="1" ht="16" hidden="1" outlineLevel="1">
      <c r="A43" s="6"/>
      <c r="B43" s="179"/>
      <c r="C43" s="180"/>
      <c r="D43" s="239"/>
      <c r="E43" s="213"/>
      <c r="F43" s="212"/>
      <c r="G43" s="212"/>
      <c r="H43" s="184"/>
      <c r="I43" s="179"/>
      <c r="J43" s="179"/>
      <c r="K43" s="179"/>
      <c r="L43" s="179"/>
      <c r="M43" s="179"/>
      <c r="N43" s="179"/>
      <c r="O43" s="179"/>
      <c r="P43" s="179"/>
      <c r="Q43" s="179"/>
      <c r="R43" s="262"/>
      <c r="S43" s="179"/>
      <c r="T43" s="179"/>
      <c r="U43" s="179"/>
      <c r="V43" s="179"/>
    </row>
    <row r="44" spans="1:22" s="2" customFormat="1" ht="16" hidden="1" outlineLevel="1">
      <c r="A44" s="6"/>
      <c r="B44" s="181"/>
      <c r="C44" s="182"/>
      <c r="D44" s="181"/>
      <c r="E44" s="215"/>
      <c r="F44" s="214"/>
      <c r="G44" s="214"/>
      <c r="H44" s="185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</row>
    <row r="45" spans="1:22" s="2" customFormat="1" ht="34" collapsed="1">
      <c r="A45" s="6"/>
      <c r="B45" s="174">
        <v>14</v>
      </c>
      <c r="C45" s="175"/>
      <c r="D45" s="261" t="str">
        <f>VLOOKUP(B45,$C$59:$E$76,2,0)</f>
        <v>ID-033</v>
      </c>
      <c r="E45" s="211" cm="1">
        <f t="array" ref="E45:I45">(_xlfn.XLOOKUP($D45,'B-1. THKL THEO ID'!$B:$B,('B-1. THKL THEO ID'!C:G),"N/A",0))</f>
        <v>0</v>
      </c>
      <c r="F45" s="211" t="str">
        <v>BOQ-037</v>
      </c>
      <c r="G45" s="211">
        <v>0</v>
      </c>
      <c r="H45" s="183" t="str">
        <v>Bê tông sàn tâng 1 M600 (M400 theo bản vẽ thiết kế)</v>
      </c>
      <c r="I45" s="208" t="str">
        <v>m3</v>
      </c>
      <c r="J45" s="174"/>
      <c r="K45" s="174"/>
      <c r="L45" s="174"/>
      <c r="M45" s="176"/>
      <c r="N45" s="174"/>
      <c r="O45" s="177"/>
      <c r="P45" s="177"/>
      <c r="Q45" s="177"/>
      <c r="R45" s="178">
        <f>SUBTOTAL(9,R46:R47)</f>
        <v>0</v>
      </c>
      <c r="S45" s="177"/>
      <c r="T45" s="177"/>
      <c r="U45" s="209">
        <f>SUBTOTAL(9,U46:U47)</f>
        <v>0</v>
      </c>
      <c r="V45" s="177"/>
    </row>
    <row r="46" spans="1:22" s="2" customFormat="1" ht="16" hidden="1" outlineLevel="1">
      <c r="A46" s="6"/>
      <c r="B46" s="179"/>
      <c r="C46" s="180"/>
      <c r="D46" s="239"/>
      <c r="E46" s="213"/>
      <c r="F46" s="212"/>
      <c r="G46" s="212"/>
      <c r="H46" s="184"/>
      <c r="I46" s="179"/>
      <c r="J46" s="179"/>
      <c r="K46" s="179"/>
      <c r="L46" s="179"/>
      <c r="M46" s="179"/>
      <c r="N46" s="179"/>
      <c r="O46" s="179"/>
      <c r="P46" s="179"/>
      <c r="Q46" s="179"/>
      <c r="R46" s="262"/>
      <c r="S46" s="179"/>
      <c r="T46" s="179"/>
      <c r="U46" s="179"/>
      <c r="V46" s="179"/>
    </row>
    <row r="47" spans="1:22" s="2" customFormat="1" ht="16" hidden="1" outlineLevel="1">
      <c r="A47" s="6"/>
      <c r="B47" s="181"/>
      <c r="C47" s="182"/>
      <c r="D47" s="181"/>
      <c r="E47" s="215"/>
      <c r="F47" s="214"/>
      <c r="G47" s="214"/>
      <c r="H47" s="185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</row>
    <row r="48" spans="1:22" s="2" customFormat="1" ht="17" collapsed="1">
      <c r="A48" s="6"/>
      <c r="B48" s="174">
        <v>15</v>
      </c>
      <c r="C48" s="175"/>
      <c r="D48" s="261" t="str">
        <f>VLOOKUP(B48,$C$59:$E$76,2,0)</f>
        <v>ID-033A</v>
      </c>
      <c r="E48" s="211" t="str" cm="1">
        <f t="array" ref="E48:I48">(_xlfn.XLOOKUP($D48,'B-1. THKL THEO ID'!$B:$B,('B-1. THKL THEO ID'!C:G),"N/A",0))</f>
        <v>CBS</v>
      </c>
      <c r="F48" s="211">
        <v>0</v>
      </c>
      <c r="G48" s="211">
        <v>0</v>
      </c>
      <c r="H48" s="183" t="str">
        <v>Bê tông sàn tâng 1 M400</v>
      </c>
      <c r="I48" s="208" t="str">
        <v>m3</v>
      </c>
      <c r="J48" s="174"/>
      <c r="K48" s="174"/>
      <c r="L48" s="174"/>
      <c r="M48" s="176"/>
      <c r="N48" s="174"/>
      <c r="O48" s="177"/>
      <c r="P48" s="177"/>
      <c r="Q48" s="177"/>
      <c r="R48" s="178">
        <f>SUBTOTAL(9,R49:R50)</f>
        <v>0</v>
      </c>
      <c r="S48" s="177"/>
      <c r="T48" s="177"/>
      <c r="U48" s="178">
        <f>SUBTOTAL(9,U49:U49)</f>
        <v>0</v>
      </c>
      <c r="V48" s="177"/>
    </row>
    <row r="49" spans="1:22" s="2" customFormat="1" ht="16" hidden="1" outlineLevel="1">
      <c r="A49" s="6"/>
      <c r="B49" s="179"/>
      <c r="C49" s="180"/>
      <c r="D49" s="186"/>
      <c r="E49" s="213"/>
      <c r="F49" s="212"/>
      <c r="G49" s="212"/>
      <c r="H49" s="184"/>
      <c r="I49" s="179"/>
      <c r="J49" s="179"/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179"/>
    </row>
    <row r="50" spans="1:22" s="2" customFormat="1" ht="16" hidden="1" outlineLevel="1">
      <c r="A50" s="6"/>
      <c r="B50" s="181"/>
      <c r="C50" s="182"/>
      <c r="D50" s="187"/>
      <c r="E50" s="215"/>
      <c r="F50" s="214"/>
      <c r="G50" s="214"/>
      <c r="H50" s="185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</row>
    <row r="51" spans="1:22" s="2" customFormat="1" ht="17" collapsed="1">
      <c r="A51" s="6"/>
      <c r="B51" s="174">
        <v>16</v>
      </c>
      <c r="C51" s="175"/>
      <c r="D51" s="261" t="str">
        <f>VLOOKUP(B51,$C$59:$E$76,2,0)</f>
        <v>ID-044</v>
      </c>
      <c r="E51" s="211" t="str" cm="1">
        <f t="array" ref="E51:I51">(_xlfn.XLOOKUP($D51,'B-1. THKL THEO ID'!$B:$B,('B-1. THKL THEO ID'!C:G),"N/A",0))</f>
        <v>CBS</v>
      </c>
      <c r="F51" s="211" t="str">
        <v>BOQ-065</v>
      </c>
      <c r="G51" s="211">
        <v>0</v>
      </c>
      <c r="H51" s="183" t="str">
        <v>Mài hoàn thiện cột vách dầm sàn</v>
      </c>
      <c r="I51" s="208" t="str">
        <v>m2</v>
      </c>
      <c r="J51" s="174"/>
      <c r="K51" s="174"/>
      <c r="L51" s="174"/>
      <c r="M51" s="176"/>
      <c r="N51" s="174"/>
      <c r="O51" s="177"/>
      <c r="P51" s="177"/>
      <c r="Q51" s="177"/>
      <c r="R51" s="178">
        <f>SUBTOTAL(9,R52:R53)</f>
        <v>0</v>
      </c>
      <c r="S51" s="177"/>
      <c r="T51" s="177"/>
      <c r="U51" s="209">
        <f>SUBTOTAL(9,U52:U53)</f>
        <v>0</v>
      </c>
      <c r="V51" s="177"/>
    </row>
    <row r="52" spans="1:22" s="2" customFormat="1" ht="16" hidden="1" outlineLevel="1">
      <c r="A52" s="6"/>
      <c r="B52" s="179"/>
      <c r="C52" s="180"/>
      <c r="D52" s="239"/>
      <c r="E52" s="213"/>
      <c r="F52" s="212"/>
      <c r="G52" s="212"/>
      <c r="H52" s="184"/>
      <c r="I52" s="179"/>
      <c r="J52" s="179"/>
      <c r="K52" s="179"/>
      <c r="L52" s="179"/>
      <c r="M52" s="179"/>
      <c r="N52" s="179"/>
      <c r="O52" s="179"/>
      <c r="P52" s="179"/>
      <c r="Q52" s="179"/>
      <c r="R52" s="262"/>
      <c r="S52" s="179"/>
      <c r="T52" s="179"/>
      <c r="U52" s="179"/>
      <c r="V52" s="179"/>
    </row>
    <row r="53" spans="1:22" s="2" customFormat="1" ht="16" hidden="1" outlineLevel="1">
      <c r="A53" s="6"/>
      <c r="B53" s="181"/>
      <c r="C53" s="182"/>
      <c r="D53" s="181"/>
      <c r="E53" s="215"/>
      <c r="F53" s="214"/>
      <c r="G53" s="214"/>
      <c r="H53" s="185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</row>
    <row r="54" spans="1:22" ht="20" customHeight="1">
      <c r="A54" s="2"/>
      <c r="B54" s="50"/>
      <c r="C54" s="51"/>
      <c r="D54" s="52"/>
      <c r="E54" s="53"/>
      <c r="F54" s="52"/>
      <c r="G54" s="52"/>
      <c r="H54" s="54"/>
      <c r="I54" s="52"/>
      <c r="J54" s="52"/>
      <c r="K54" s="52"/>
      <c r="L54" s="52"/>
      <c r="M54" s="52"/>
      <c r="N54" s="52"/>
      <c r="O54" s="52"/>
      <c r="P54" s="52"/>
      <c r="Q54" s="52"/>
      <c r="R54" s="55"/>
      <c r="S54" s="52"/>
      <c r="T54" s="52"/>
      <c r="U54" s="52"/>
      <c r="V54" s="52"/>
    </row>
    <row r="55" spans="1:22" ht="20" customHeight="1">
      <c r="A55" s="2"/>
      <c r="B55" s="27" t="s">
        <v>20</v>
      </c>
      <c r="C55" s="28">
        <v>3</v>
      </c>
      <c r="D55" s="27"/>
      <c r="E55" s="29"/>
      <c r="F55" s="27"/>
      <c r="G55" s="27"/>
      <c r="H55" s="30" t="s">
        <v>29</v>
      </c>
      <c r="I55" s="31"/>
      <c r="J55" s="31"/>
      <c r="K55" s="31"/>
      <c r="L55" s="31"/>
      <c r="M55" s="31"/>
      <c r="N55" s="31"/>
      <c r="O55" s="31"/>
      <c r="P55" s="31"/>
      <c r="Q55" s="31"/>
      <c r="R55" s="32">
        <f>SUBTOTAL(9,R6:R54)</f>
        <v>0</v>
      </c>
      <c r="S55" s="31"/>
      <c r="T55" s="31"/>
      <c r="U55" s="31"/>
      <c r="V55" s="31"/>
    </row>
    <row r="56" spans="1:22" s="2" customFormat="1" ht="20" customHeight="1">
      <c r="E56" s="7"/>
    </row>
    <row r="59" spans="1:22" ht="20" customHeight="1">
      <c r="C59">
        <v>1</v>
      </c>
      <c r="D59" s="239" t="s">
        <v>380</v>
      </c>
    </row>
    <row r="60" spans="1:22" ht="20" customHeight="1">
      <c r="C60">
        <v>2</v>
      </c>
      <c r="D60" s="239" t="s">
        <v>614</v>
      </c>
    </row>
    <row r="61" spans="1:22" ht="20" customHeight="1">
      <c r="C61">
        <v>3</v>
      </c>
      <c r="D61" s="239" t="s">
        <v>615</v>
      </c>
    </row>
    <row r="62" spans="1:22" ht="20" customHeight="1">
      <c r="C62">
        <v>4</v>
      </c>
      <c r="D62" s="239" t="s">
        <v>571</v>
      </c>
    </row>
    <row r="63" spans="1:22" ht="20" customHeight="1">
      <c r="C63">
        <v>5</v>
      </c>
      <c r="D63" s="239" t="s">
        <v>616</v>
      </c>
    </row>
    <row r="64" spans="1:22" ht="20" customHeight="1">
      <c r="C64">
        <v>6</v>
      </c>
      <c r="D64" s="239" t="s">
        <v>396</v>
      </c>
    </row>
    <row r="65" spans="3:4" ht="20" customHeight="1">
      <c r="C65">
        <v>7</v>
      </c>
      <c r="D65" s="239" t="s">
        <v>381</v>
      </c>
    </row>
    <row r="66" spans="3:4" ht="20" customHeight="1">
      <c r="C66">
        <v>8</v>
      </c>
      <c r="D66" s="239" t="s">
        <v>617</v>
      </c>
    </row>
    <row r="67" spans="3:4" ht="20" customHeight="1">
      <c r="C67">
        <v>9</v>
      </c>
      <c r="D67" s="239" t="s">
        <v>382</v>
      </c>
    </row>
    <row r="68" spans="3:4" ht="20" customHeight="1">
      <c r="C68">
        <v>10</v>
      </c>
      <c r="D68" s="239" t="s">
        <v>618</v>
      </c>
    </row>
    <row r="69" spans="3:4" ht="20" customHeight="1">
      <c r="C69">
        <v>11</v>
      </c>
      <c r="D69" s="239" t="s">
        <v>619</v>
      </c>
    </row>
    <row r="70" spans="3:4" ht="20" customHeight="1">
      <c r="C70">
        <v>12</v>
      </c>
      <c r="D70" s="239" t="s">
        <v>572</v>
      </c>
    </row>
    <row r="71" spans="3:4" ht="20" customHeight="1">
      <c r="C71">
        <v>13</v>
      </c>
      <c r="D71" s="239" t="s">
        <v>383</v>
      </c>
    </row>
    <row r="72" spans="3:4" ht="20" customHeight="1">
      <c r="C72">
        <v>14</v>
      </c>
      <c r="D72" s="239" t="s">
        <v>384</v>
      </c>
    </row>
    <row r="73" spans="3:4" ht="20" customHeight="1">
      <c r="C73">
        <v>15</v>
      </c>
      <c r="D73" s="239" t="s">
        <v>620</v>
      </c>
    </row>
    <row r="74" spans="3:4" ht="20" customHeight="1">
      <c r="C74">
        <v>16</v>
      </c>
      <c r="D74" s="239" t="s">
        <v>394</v>
      </c>
    </row>
    <row r="75" spans="3:4" ht="20" customHeight="1">
      <c r="C75">
        <v>17</v>
      </c>
      <c r="D75" s="239"/>
    </row>
    <row r="76" spans="3:4" ht="20" customHeight="1">
      <c r="C76">
        <v>18</v>
      </c>
      <c r="D76" s="239"/>
    </row>
  </sheetData>
  <autoFilter ref="B5:V54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56">
    <cfRule type="cellIs" dxfId="197" priority="18" operator="lessThan">
      <formula>0</formula>
    </cfRule>
  </conditionalFormatting>
  <conditionalFormatting sqref="U6">
    <cfRule type="cellIs" dxfId="196" priority="17" operator="lessThan">
      <formula>0</formula>
    </cfRule>
  </conditionalFormatting>
  <conditionalFormatting sqref="U9">
    <cfRule type="cellIs" dxfId="195" priority="16" operator="lessThan">
      <formula>0</formula>
    </cfRule>
  </conditionalFormatting>
  <conditionalFormatting sqref="U12">
    <cfRule type="cellIs" dxfId="194" priority="15" operator="lessThan">
      <formula>0</formula>
    </cfRule>
  </conditionalFormatting>
  <conditionalFormatting sqref="U15">
    <cfRule type="cellIs" dxfId="193" priority="14" operator="lessThan">
      <formula>0</formula>
    </cfRule>
  </conditionalFormatting>
  <conditionalFormatting sqref="U18">
    <cfRule type="cellIs" dxfId="192" priority="13" operator="lessThan">
      <formula>0</formula>
    </cfRule>
  </conditionalFormatting>
  <conditionalFormatting sqref="U21">
    <cfRule type="cellIs" dxfId="191" priority="12" operator="lessThan">
      <formula>0</formula>
    </cfRule>
  </conditionalFormatting>
  <conditionalFormatting sqref="U24">
    <cfRule type="cellIs" dxfId="190" priority="11" operator="lessThan">
      <formula>0</formula>
    </cfRule>
  </conditionalFormatting>
  <conditionalFormatting sqref="U27">
    <cfRule type="cellIs" dxfId="189" priority="10" operator="lessThan">
      <formula>0</formula>
    </cfRule>
  </conditionalFormatting>
  <conditionalFormatting sqref="U30">
    <cfRule type="cellIs" dxfId="188" priority="9" operator="lessThan">
      <formula>0</formula>
    </cfRule>
  </conditionalFormatting>
  <conditionalFormatting sqref="U33">
    <cfRule type="cellIs" dxfId="187" priority="8" operator="lessThan">
      <formula>0</formula>
    </cfRule>
  </conditionalFormatting>
  <conditionalFormatting sqref="U36">
    <cfRule type="cellIs" dxfId="186" priority="7" operator="lessThan">
      <formula>0</formula>
    </cfRule>
  </conditionalFormatting>
  <conditionalFormatting sqref="U39">
    <cfRule type="cellIs" dxfId="185" priority="6" operator="lessThan">
      <formula>0</formula>
    </cfRule>
  </conditionalFormatting>
  <conditionalFormatting sqref="U42">
    <cfRule type="cellIs" dxfId="184" priority="5" operator="lessThan">
      <formula>0</formula>
    </cfRule>
  </conditionalFormatting>
  <conditionalFormatting sqref="U45">
    <cfRule type="cellIs" dxfId="183" priority="4" operator="lessThan">
      <formula>0</formula>
    </cfRule>
  </conditionalFormatting>
  <conditionalFormatting sqref="U48">
    <cfRule type="cellIs" dxfId="182" priority="3" operator="lessThan">
      <formula>0</formula>
    </cfRule>
  </conditionalFormatting>
  <conditionalFormatting sqref="U51">
    <cfRule type="cellIs" dxfId="181" priority="2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D168F-EECB-45B0-BA45-DA192A5F43F9}">
  <sheetPr codeName="Sheet25">
    <tabColor rgb="FF00B050"/>
    <outlinePr summaryBelow="0" summaryRight="0"/>
    <pageSetUpPr fitToPage="1"/>
  </sheetPr>
  <dimension ref="A1:V49"/>
  <sheetViews>
    <sheetView showZeros="0" view="pageBreakPreview" topLeftCell="B1" zoomScaleNormal="100" zoomScaleSheetLayoutView="100" workbookViewId="0">
      <pane ySplit="5" topLeftCell="A21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THANG BỘ TẦNG B1 LÊN T1 - Mã CK:S31.11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110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34" collapsed="1">
      <c r="A6" s="6"/>
      <c r="B6" s="174">
        <v>1</v>
      </c>
      <c r="C6" s="175"/>
      <c r="D6" s="261" t="str">
        <f>VLOOKUP(B6,$C$32:$E$49,2,0)</f>
        <v>ID-033</v>
      </c>
      <c r="E6" s="211" cm="1">
        <f t="array" ref="E6:I6">(_xlfn.XLOOKUP($D6,'B-1. THKL THEO ID'!$B:$B,('B-1. THKL THEO ID'!C:G),"N/A",0))</f>
        <v>0</v>
      </c>
      <c r="F6" s="211" t="str">
        <v>BOQ-037</v>
      </c>
      <c r="G6" s="211">
        <v>0</v>
      </c>
      <c r="H6" s="183" t="str">
        <v>Bê tông sàn tâng 1 M600 (M400 theo bản vẽ thiết kế)</v>
      </c>
      <c r="I6" s="208" t="str">
        <v>m3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VLOOKUP(B9,$C$32:$E$49,2,0)</f>
        <v>ID-033A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Bê tông sàn tâng 1 M400</v>
      </c>
      <c r="I9" s="208" t="str">
        <v>m3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17" collapsed="1">
      <c r="A12" s="6"/>
      <c r="B12" s="174">
        <v>3</v>
      </c>
      <c r="C12" s="175"/>
      <c r="D12" s="261" t="str">
        <f>VLOOKUP(B12,$C$32:$E$49,2,0)</f>
        <v>ID-034A</v>
      </c>
      <c r="E12" s="211" cm="1">
        <f t="array" ref="E12:I12">(_xlfn.XLOOKUP($D12,'B-1. THKL THEO ID'!$B:$B,('B-1. THKL THEO ID'!C:G),"N/A",0))</f>
        <v>0</v>
      </c>
      <c r="F12" s="211" t="str">
        <v>BOQ-039</v>
      </c>
      <c r="G12" s="211">
        <v>0</v>
      </c>
      <c r="H12" s="183" t="str">
        <v>Thép thang bộ, đường dốc D&lt;=10</v>
      </c>
      <c r="I12" s="208" t="str">
        <v>tấn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VLOOKUP(B15,$C$32:$E$49,2,0)</f>
        <v>ID-035B</v>
      </c>
      <c r="E15" s="211" cm="1">
        <f t="array" ref="E15:I15">(_xlfn.XLOOKUP($D15,'B-1. THKL THEO ID'!$B:$B,('B-1. THKL THEO ID'!C:G),"N/A",0))</f>
        <v>0</v>
      </c>
      <c r="F15" s="211" t="str">
        <v>BOQ-040</v>
      </c>
      <c r="G15" s="211">
        <v>0</v>
      </c>
      <c r="H15" s="183" t="str">
        <v>Thép thang bộ, đường dốc D&gt;10</v>
      </c>
      <c r="I15" s="208" t="str">
        <v>tấn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17" collapsed="1">
      <c r="A18" s="6"/>
      <c r="B18" s="174">
        <v>5</v>
      </c>
      <c r="C18" s="175"/>
      <c r="D18" s="261" t="str">
        <f>VLOOKUP(B18,$C$32:$E$49,2,0)</f>
        <v>ID-035</v>
      </c>
      <c r="E18" s="211" t="str" cm="1">
        <f t="array" ref="E18:I18">(_xlfn.XLOOKUP($D18,'B-1. THKL THEO ID'!$B:$B,('B-1. THKL THEO ID'!C:G),"N/A",0))</f>
        <v>CBS</v>
      </c>
      <c r="F18" s="211">
        <v>0</v>
      </c>
      <c r="G18" s="211">
        <v>0</v>
      </c>
      <c r="H18" s="183" t="str">
        <v>Thép thang bộ đường dốc full (kg)</v>
      </c>
      <c r="I18" s="208" t="str">
        <v>kg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51" collapsed="1">
      <c r="A21" s="6"/>
      <c r="B21" s="174">
        <v>6</v>
      </c>
      <c r="C21" s="175"/>
      <c r="D21" s="261" t="str">
        <f>VLOOKUP(B21,$C$32:$E$49,2,0)</f>
        <v>ID-036</v>
      </c>
      <c r="E21" s="211" cm="1">
        <f t="array" ref="E21:I21">(_xlfn.XLOOKUP($D21,'B-1. THKL THEO ID'!$B:$B,('B-1. THKL THEO ID'!C:G),"N/A",0))</f>
        <v>0</v>
      </c>
      <c r="F21" s="211" t="str">
        <v>BOQ-041</v>
      </c>
      <c r="G21" s="211">
        <v>0</v>
      </c>
      <c r="H21" s="183" t="str">
        <v>Bê tông cầu thang bộ, đường dốc M300 (Bao gồm: Thang bộ M300; đường dốc M400)</v>
      </c>
      <c r="I21" s="208" t="str">
        <v>m3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17" collapsed="1">
      <c r="A24" s="6"/>
      <c r="B24" s="174">
        <v>7</v>
      </c>
      <c r="C24" s="175"/>
      <c r="D24" s="261" t="str">
        <f>VLOOKUP(B24,$C$32:$E$49,2,0)</f>
        <v>ID-036A</v>
      </c>
      <c r="E24" s="211" t="str" cm="1">
        <f t="array" ref="E24:I24">(_xlfn.XLOOKUP($D24,'B-1. THKL THEO ID'!$B:$B,('B-1. THKL THEO ID'!C:G),"N/A",0))</f>
        <v>CBS</v>
      </c>
      <c r="F24" s="211">
        <v>0</v>
      </c>
      <c r="G24" s="211">
        <v>0</v>
      </c>
      <c r="H24" s="183" t="str">
        <v>Bê tông thang bộ M300</v>
      </c>
      <c r="I24" s="208" t="str">
        <v>m3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ht="20" customHeight="1">
      <c r="A27" s="2"/>
      <c r="B27" s="50"/>
      <c r="C27" s="51"/>
      <c r="D27" s="52"/>
      <c r="E27" s="53"/>
      <c r="F27" s="52"/>
      <c r="G27" s="52"/>
      <c r="H27" s="54"/>
      <c r="I27" s="52"/>
      <c r="J27" s="52"/>
      <c r="K27" s="52"/>
      <c r="L27" s="52"/>
      <c r="M27" s="52"/>
      <c r="N27" s="52"/>
      <c r="O27" s="52"/>
      <c r="P27" s="52"/>
      <c r="Q27" s="52"/>
      <c r="R27" s="55"/>
      <c r="S27" s="52"/>
      <c r="T27" s="52"/>
      <c r="U27" s="52"/>
      <c r="V27" s="52"/>
    </row>
    <row r="28" spans="1:22" ht="20" customHeight="1">
      <c r="A28" s="2"/>
      <c r="B28" s="27" t="s">
        <v>20</v>
      </c>
      <c r="C28" s="28">
        <v>3</v>
      </c>
      <c r="D28" s="27"/>
      <c r="E28" s="29"/>
      <c r="F28" s="27"/>
      <c r="G28" s="27"/>
      <c r="H28" s="30" t="s">
        <v>29</v>
      </c>
      <c r="I28" s="31"/>
      <c r="J28" s="31"/>
      <c r="K28" s="31"/>
      <c r="L28" s="31"/>
      <c r="M28" s="31"/>
      <c r="N28" s="31"/>
      <c r="O28" s="31"/>
      <c r="P28" s="31"/>
      <c r="Q28" s="31"/>
      <c r="R28" s="32">
        <f>SUBTOTAL(9,R6:R27)</f>
        <v>0</v>
      </c>
      <c r="S28" s="31"/>
      <c r="T28" s="31"/>
      <c r="U28" s="31"/>
      <c r="V28" s="31"/>
    </row>
    <row r="29" spans="1:22" s="2" customFormat="1" ht="20" customHeight="1">
      <c r="E29" s="7"/>
    </row>
    <row r="32" spans="1:22" ht="20" customHeight="1">
      <c r="C32">
        <v>1</v>
      </c>
      <c r="D32" s="239" t="s">
        <v>384</v>
      </c>
    </row>
    <row r="33" spans="3:4" ht="20" customHeight="1">
      <c r="C33">
        <v>2</v>
      </c>
      <c r="D33" s="239" t="s">
        <v>620</v>
      </c>
    </row>
    <row r="34" spans="3:4" ht="20" customHeight="1">
      <c r="C34">
        <v>3</v>
      </c>
      <c r="D34" s="239" t="s">
        <v>621</v>
      </c>
    </row>
    <row r="35" spans="3:4" ht="20" customHeight="1">
      <c r="C35">
        <v>4</v>
      </c>
      <c r="D35" s="239" t="s">
        <v>573</v>
      </c>
    </row>
    <row r="36" spans="3:4" ht="20" customHeight="1">
      <c r="C36">
        <v>5</v>
      </c>
      <c r="D36" s="239" t="s">
        <v>397</v>
      </c>
    </row>
    <row r="37" spans="3:4" ht="20" customHeight="1">
      <c r="C37">
        <v>6</v>
      </c>
      <c r="D37" s="239" t="s">
        <v>385</v>
      </c>
    </row>
    <row r="38" spans="3:4" ht="20" customHeight="1">
      <c r="C38">
        <v>7</v>
      </c>
      <c r="D38" s="239" t="s">
        <v>622</v>
      </c>
    </row>
    <row r="39" spans="3:4" ht="20" customHeight="1">
      <c r="C39">
        <v>8</v>
      </c>
      <c r="D39" s="239"/>
    </row>
    <row r="40" spans="3:4" ht="20" customHeight="1">
      <c r="C40">
        <v>9</v>
      </c>
      <c r="D40" s="239"/>
    </row>
    <row r="41" spans="3:4" ht="20" customHeight="1">
      <c r="C41">
        <v>10</v>
      </c>
      <c r="D41" s="239"/>
    </row>
    <row r="42" spans="3:4" ht="20" customHeight="1">
      <c r="C42">
        <v>11</v>
      </c>
      <c r="D42" s="239"/>
    </row>
    <row r="43" spans="3:4" ht="20" customHeight="1">
      <c r="C43">
        <v>12</v>
      </c>
      <c r="D43" s="239"/>
    </row>
    <row r="44" spans="3:4" ht="20" customHeight="1">
      <c r="C44">
        <v>13</v>
      </c>
      <c r="D44" s="239"/>
    </row>
    <row r="45" spans="3:4" ht="20" customHeight="1">
      <c r="C45">
        <v>14</v>
      </c>
      <c r="D45" s="239"/>
    </row>
    <row r="46" spans="3:4" ht="20" customHeight="1">
      <c r="C46">
        <v>15</v>
      </c>
      <c r="D46" s="239"/>
    </row>
    <row r="47" spans="3:4" ht="20" customHeight="1">
      <c r="C47">
        <v>16</v>
      </c>
      <c r="D47" s="239"/>
    </row>
    <row r="48" spans="3:4" ht="20" customHeight="1">
      <c r="C48">
        <v>17</v>
      </c>
      <c r="D48" s="239"/>
    </row>
    <row r="49" spans="3:4" ht="20" customHeight="1">
      <c r="C49">
        <v>18</v>
      </c>
      <c r="D49" s="239"/>
    </row>
  </sheetData>
  <autoFilter ref="B5:V27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29">
    <cfRule type="cellIs" dxfId="180" priority="19" operator="lessThan">
      <formula>0</formula>
    </cfRule>
  </conditionalFormatting>
  <conditionalFormatting sqref="U6">
    <cfRule type="cellIs" dxfId="179" priority="18" operator="lessThan">
      <formula>0</formula>
    </cfRule>
  </conditionalFormatting>
  <conditionalFormatting sqref="U9">
    <cfRule type="cellIs" dxfId="178" priority="17" operator="lessThan">
      <formula>0</formula>
    </cfRule>
  </conditionalFormatting>
  <conditionalFormatting sqref="U12">
    <cfRule type="cellIs" dxfId="177" priority="16" operator="lessThan">
      <formula>0</formula>
    </cfRule>
  </conditionalFormatting>
  <conditionalFormatting sqref="U15">
    <cfRule type="cellIs" dxfId="176" priority="15" operator="lessThan">
      <formula>0</formula>
    </cfRule>
  </conditionalFormatting>
  <conditionalFormatting sqref="U18">
    <cfRule type="cellIs" dxfId="175" priority="14" operator="lessThan">
      <formula>0</formula>
    </cfRule>
  </conditionalFormatting>
  <conditionalFormatting sqref="U21">
    <cfRule type="cellIs" dxfId="174" priority="13" operator="lessThan">
      <formula>0</formula>
    </cfRule>
  </conditionalFormatting>
  <conditionalFormatting sqref="U24">
    <cfRule type="cellIs" dxfId="173" priority="12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9A530-6D89-4F4A-BBAC-8FE80FC5353B}">
  <sheetPr codeName="Sheet28">
    <tabColor rgb="FF00B050"/>
    <outlinePr summaryBelow="0" summaryRight="0"/>
    <pageSetUpPr fitToPage="1"/>
  </sheetPr>
  <dimension ref="A1:V52"/>
  <sheetViews>
    <sheetView showZeros="0" view="pageBreakPreview" topLeftCell="B1" zoomScaleNormal="100" zoomScaleSheetLayoutView="100" workbookViewId="0">
      <pane ySplit="5" topLeftCell="A21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ĐƯỜNG DỐC TẦNG B1 LÊN T1 - Mã CK:S32.11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111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34" collapsed="1">
      <c r="A6" s="6"/>
      <c r="B6" s="174">
        <v>1</v>
      </c>
      <c r="C6" s="175"/>
      <c r="D6" s="261" t="str">
        <f>VLOOKUP(B6,$C$35:$E$52,2,0)</f>
        <v>ID-033</v>
      </c>
      <c r="E6" s="211" cm="1">
        <f t="array" ref="E6:I6">(_xlfn.XLOOKUP($D6,'B-1. THKL THEO ID'!$B:$B,('B-1. THKL THEO ID'!C:G),"N/A",0))</f>
        <v>0</v>
      </c>
      <c r="F6" s="211" t="str">
        <v>BOQ-037</v>
      </c>
      <c r="G6" s="211">
        <v>0</v>
      </c>
      <c r="H6" s="183" t="str">
        <v>Bê tông sàn tâng 1 M600 (M400 theo bản vẽ thiết kế)</v>
      </c>
      <c r="I6" s="208" t="str">
        <v>m3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VLOOKUP(B9,$C$35:$E$52,2,0)</f>
        <v>ID-033A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Bê tông sàn tâng 1 M400</v>
      </c>
      <c r="I9" s="208" t="str">
        <v>m3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17" collapsed="1">
      <c r="A12" s="6"/>
      <c r="B12" s="174">
        <v>3</v>
      </c>
      <c r="C12" s="175"/>
      <c r="D12" s="261" t="str">
        <f>VLOOKUP(B12,$C$35:$E$52,2,0)</f>
        <v>ID-034A</v>
      </c>
      <c r="E12" s="211" cm="1">
        <f t="array" ref="E12:I12">(_xlfn.XLOOKUP($D12,'B-1. THKL THEO ID'!$B:$B,('B-1. THKL THEO ID'!C:G),"N/A",0))</f>
        <v>0</v>
      </c>
      <c r="F12" s="211" t="str">
        <v>BOQ-039</v>
      </c>
      <c r="G12" s="211">
        <v>0</v>
      </c>
      <c r="H12" s="183" t="str">
        <v>Thép thang bộ, đường dốc D&lt;=10</v>
      </c>
      <c r="I12" s="208" t="str">
        <v>tấn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VLOOKUP(B15,$C$35:$E$52,2,0)</f>
        <v>ID-035B</v>
      </c>
      <c r="E15" s="211" cm="1">
        <f t="array" ref="E15:I15">(_xlfn.XLOOKUP($D15,'B-1. THKL THEO ID'!$B:$B,('B-1. THKL THEO ID'!C:G),"N/A",0))</f>
        <v>0</v>
      </c>
      <c r="F15" s="211" t="str">
        <v>BOQ-040</v>
      </c>
      <c r="G15" s="211">
        <v>0</v>
      </c>
      <c r="H15" s="183" t="str">
        <v>Thép thang bộ, đường dốc D&gt;10</v>
      </c>
      <c r="I15" s="208" t="str">
        <v>tấn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17" collapsed="1">
      <c r="A18" s="6"/>
      <c r="B18" s="174">
        <v>5</v>
      </c>
      <c r="C18" s="175"/>
      <c r="D18" s="261" t="str">
        <f>VLOOKUP(B18,$C$35:$E$52,2,0)</f>
        <v>ID-035</v>
      </c>
      <c r="E18" s="211" t="str" cm="1">
        <f t="array" ref="E18:I18">(_xlfn.XLOOKUP($D18,'B-1. THKL THEO ID'!$B:$B,('B-1. THKL THEO ID'!C:G),"N/A",0))</f>
        <v>CBS</v>
      </c>
      <c r="F18" s="211">
        <v>0</v>
      </c>
      <c r="G18" s="211">
        <v>0</v>
      </c>
      <c r="H18" s="183" t="str">
        <v>Thép thang bộ đường dốc full (kg)</v>
      </c>
      <c r="I18" s="208" t="str">
        <v>kg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51" collapsed="1">
      <c r="A21" s="6"/>
      <c r="B21" s="174">
        <v>6</v>
      </c>
      <c r="C21" s="175"/>
      <c r="D21" s="261" t="str">
        <f>VLOOKUP(B21,$C$35:$E$52,2,0)</f>
        <v>ID-036</v>
      </c>
      <c r="E21" s="211" cm="1">
        <f t="array" ref="E21:I21">(_xlfn.XLOOKUP($D21,'B-1. THKL THEO ID'!$B:$B,('B-1. THKL THEO ID'!C:G),"N/A",0))</f>
        <v>0</v>
      </c>
      <c r="F21" s="211" t="str">
        <v>BOQ-041</v>
      </c>
      <c r="G21" s="211">
        <v>0</v>
      </c>
      <c r="H21" s="183" t="str">
        <v>Bê tông cầu thang bộ, đường dốc M300 (Bao gồm: Thang bộ M300; đường dốc M400)</v>
      </c>
      <c r="I21" s="208" t="str">
        <v>m3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17" collapsed="1">
      <c r="A24" s="6"/>
      <c r="B24" s="174">
        <v>7</v>
      </c>
      <c r="C24" s="175"/>
      <c r="D24" s="261" t="str">
        <f>VLOOKUP(B24,$C$35:$E$52,2,0)</f>
        <v>ID-036B</v>
      </c>
      <c r="E24" s="211" t="str" cm="1">
        <f t="array" ref="E24:I24">(_xlfn.XLOOKUP($D24,'B-1. THKL THEO ID'!$B:$B,('B-1. THKL THEO ID'!C:G),"N/A",0))</f>
        <v>CBS</v>
      </c>
      <c r="F24" s="211">
        <v>0</v>
      </c>
      <c r="G24" s="211">
        <v>0</v>
      </c>
      <c r="H24" s="183" t="str">
        <v>Bê tông đường dốc M400</v>
      </c>
      <c r="I24" s="208" t="str">
        <v>m3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17" collapsed="1">
      <c r="A27" s="6"/>
      <c r="B27" s="174">
        <v>8</v>
      </c>
      <c r="C27" s="175"/>
      <c r="D27" s="261" t="str">
        <f>VLOOKUP(B27,$C$35:$E$52,2,0)</f>
        <v>ID-043</v>
      </c>
      <c r="E27" s="211" t="str" cm="1">
        <f t="array" ref="E27:I27">(_xlfn.XLOOKUP($D27,'B-1. THKL THEO ID'!$B:$B,('B-1. THKL THEO ID'!C:G),"N/A",0))</f>
        <v>CBS</v>
      </c>
      <c r="F27" s="211" t="str">
        <v>BOQ-064</v>
      </c>
      <c r="G27" s="211">
        <v>0</v>
      </c>
      <c r="H27" s="183" t="str">
        <v>Cắt rãnh ram dốc</v>
      </c>
      <c r="I27" s="208" t="str">
        <v>md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209">
        <f>SUBTOTAL(9,U28:U29)</f>
        <v>0</v>
      </c>
      <c r="V27" s="177"/>
    </row>
    <row r="28" spans="1:22" s="2" customFormat="1" ht="16" hidden="1" outlineLevel="1">
      <c r="A28" s="6"/>
      <c r="B28" s="179"/>
      <c r="C28" s="180"/>
      <c r="D28" s="239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262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1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ht="20" customHeight="1">
      <c r="A30" s="2"/>
      <c r="B30" s="50"/>
      <c r="C30" s="51"/>
      <c r="D30" s="52"/>
      <c r="E30" s="53"/>
      <c r="F30" s="52"/>
      <c r="G30" s="52"/>
      <c r="H30" s="54"/>
      <c r="I30" s="52"/>
      <c r="J30" s="52"/>
      <c r="K30" s="52"/>
      <c r="L30" s="52"/>
      <c r="M30" s="52"/>
      <c r="N30" s="52"/>
      <c r="O30" s="52"/>
      <c r="P30" s="52"/>
      <c r="Q30" s="52"/>
      <c r="R30" s="55"/>
      <c r="S30" s="52"/>
      <c r="T30" s="52"/>
      <c r="U30" s="52"/>
      <c r="V30" s="52"/>
    </row>
    <row r="31" spans="1:22" ht="20" customHeight="1">
      <c r="A31" s="2"/>
      <c r="B31" s="27" t="s">
        <v>20</v>
      </c>
      <c r="C31" s="28">
        <v>3</v>
      </c>
      <c r="D31" s="27"/>
      <c r="E31" s="29"/>
      <c r="F31" s="27"/>
      <c r="G31" s="27"/>
      <c r="H31" s="30" t="s">
        <v>29</v>
      </c>
      <c r="I31" s="31"/>
      <c r="J31" s="31"/>
      <c r="K31" s="31"/>
      <c r="L31" s="31"/>
      <c r="M31" s="31"/>
      <c r="N31" s="31"/>
      <c r="O31" s="31"/>
      <c r="P31" s="31"/>
      <c r="Q31" s="31"/>
      <c r="R31" s="32">
        <f>SUBTOTAL(9,R6:R30)</f>
        <v>0</v>
      </c>
      <c r="S31" s="31"/>
      <c r="T31" s="31"/>
      <c r="U31" s="31"/>
      <c r="V31" s="31"/>
    </row>
    <row r="32" spans="1:22" s="2" customFormat="1" ht="20" customHeight="1">
      <c r="E32" s="7"/>
    </row>
    <row r="35" spans="3:4" ht="20" customHeight="1">
      <c r="C35">
        <v>1</v>
      </c>
      <c r="D35" s="239" t="s">
        <v>384</v>
      </c>
    </row>
    <row r="36" spans="3:4" ht="20" customHeight="1">
      <c r="C36">
        <v>2</v>
      </c>
      <c r="D36" s="239" t="s">
        <v>620</v>
      </c>
    </row>
    <row r="37" spans="3:4" ht="20" customHeight="1">
      <c r="C37">
        <v>3</v>
      </c>
      <c r="D37" s="239" t="s">
        <v>621</v>
      </c>
    </row>
    <row r="38" spans="3:4" ht="20" customHeight="1">
      <c r="C38">
        <v>4</v>
      </c>
      <c r="D38" s="239" t="s">
        <v>573</v>
      </c>
    </row>
    <row r="39" spans="3:4" ht="20" customHeight="1">
      <c r="C39">
        <v>5</v>
      </c>
      <c r="D39" s="239" t="s">
        <v>397</v>
      </c>
    </row>
    <row r="40" spans="3:4" ht="20" customHeight="1">
      <c r="C40">
        <v>6</v>
      </c>
      <c r="D40" s="239" t="s">
        <v>385</v>
      </c>
    </row>
    <row r="41" spans="3:4" ht="20" customHeight="1">
      <c r="C41">
        <v>7</v>
      </c>
      <c r="D41" s="239" t="s">
        <v>574</v>
      </c>
    </row>
    <row r="42" spans="3:4" ht="20" customHeight="1">
      <c r="C42">
        <v>8</v>
      </c>
      <c r="D42" s="239" t="s">
        <v>393</v>
      </c>
    </row>
    <row r="43" spans="3:4" ht="20" customHeight="1">
      <c r="C43">
        <v>9</v>
      </c>
      <c r="D43" s="239"/>
    </row>
    <row r="44" spans="3:4" ht="20" customHeight="1">
      <c r="C44">
        <v>10</v>
      </c>
      <c r="D44" s="239"/>
    </row>
    <row r="45" spans="3:4" ht="20" customHeight="1">
      <c r="C45">
        <v>11</v>
      </c>
      <c r="D45" s="239"/>
    </row>
    <row r="46" spans="3:4" ht="20" customHeight="1">
      <c r="C46">
        <v>12</v>
      </c>
      <c r="D46" s="239"/>
    </row>
    <row r="47" spans="3:4" ht="20" customHeight="1">
      <c r="C47">
        <v>13</v>
      </c>
      <c r="D47" s="239"/>
    </row>
    <row r="48" spans="3:4" ht="20" customHeight="1">
      <c r="C48">
        <v>14</v>
      </c>
      <c r="D48" s="239"/>
    </row>
    <row r="49" spans="3:4" ht="20" customHeight="1">
      <c r="C49">
        <v>15</v>
      </c>
      <c r="D49" s="239"/>
    </row>
    <row r="50" spans="3:4" ht="20" customHeight="1">
      <c r="C50">
        <v>16</v>
      </c>
      <c r="D50" s="239"/>
    </row>
    <row r="51" spans="3:4" ht="20" customHeight="1">
      <c r="C51">
        <v>17</v>
      </c>
      <c r="D51" s="239"/>
    </row>
    <row r="52" spans="3:4" ht="20" customHeight="1">
      <c r="C52">
        <v>18</v>
      </c>
      <c r="D52" s="239"/>
    </row>
  </sheetData>
  <autoFilter ref="B5:V30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32">
    <cfRule type="cellIs" dxfId="172" priority="9" operator="lessThan">
      <formula>0</formula>
    </cfRule>
  </conditionalFormatting>
  <conditionalFormatting sqref="U6">
    <cfRule type="cellIs" dxfId="171" priority="8" operator="lessThan">
      <formula>0</formula>
    </cfRule>
  </conditionalFormatting>
  <conditionalFormatting sqref="U9">
    <cfRule type="cellIs" dxfId="170" priority="7" operator="lessThan">
      <formula>0</formula>
    </cfRule>
  </conditionalFormatting>
  <conditionalFormatting sqref="U12">
    <cfRule type="cellIs" dxfId="169" priority="6" operator="lessThan">
      <formula>0</formula>
    </cfRule>
  </conditionalFormatting>
  <conditionalFormatting sqref="U15">
    <cfRule type="cellIs" dxfId="168" priority="5" operator="lessThan">
      <formula>0</formula>
    </cfRule>
  </conditionalFormatting>
  <conditionalFormatting sqref="U18">
    <cfRule type="cellIs" dxfId="167" priority="4" operator="lessThan">
      <formula>0</formula>
    </cfRule>
  </conditionalFormatting>
  <conditionalFormatting sqref="U21">
    <cfRule type="cellIs" dxfId="166" priority="3" operator="lessThan">
      <formula>0</formula>
    </cfRule>
  </conditionalFormatting>
  <conditionalFormatting sqref="U24">
    <cfRule type="cellIs" dxfId="165" priority="2" operator="lessThan">
      <formula>0</formula>
    </cfRule>
  </conditionalFormatting>
  <conditionalFormatting sqref="U27">
    <cfRule type="cellIs" dxfId="164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E5A39-BB9C-42DC-8448-FA7C756C9DA8}">
  <sheetPr codeName="Sheet29">
    <tabColor rgb="FF00B050"/>
    <outlinePr summaryBelow="0" summaryRight="0"/>
    <pageSetUpPr fitToPage="1"/>
  </sheetPr>
  <dimension ref="A1:V135"/>
  <sheetViews>
    <sheetView showZeros="0" view="pageBreakPreview" zoomScaleNormal="100" zoomScaleSheetLayoutView="100" workbookViewId="0">
      <pane ySplit="5" topLeftCell="A76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BỂ DẦU, XL - Mã CK:S33.11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314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51" collapsed="1">
      <c r="A6" s="6"/>
      <c r="B6" s="174">
        <v>1</v>
      </c>
      <c r="C6" s="175"/>
      <c r="D6" s="261" t="str">
        <f>VLOOKUP(B6,$C$100:$E$117,2,0)</f>
        <v>ID-004</v>
      </c>
      <c r="E6" s="211" cm="1">
        <f t="array" ref="E6:I6">(_xlfn.XLOOKUP($D6,'B-1. THKL THEO ID'!$B:$B,('B-1. THKL THEO ID'!C:G),"N/A",0))</f>
        <v>0</v>
      </c>
      <c r="F6" s="211" t="str">
        <v>BOQ-004</v>
      </c>
      <c r="G6" s="211">
        <v>0</v>
      </c>
      <c r="H6" s="183" t="str">
        <v>Ván Khuôn gỗ bê tông lót móng (đài, giằng, sàn, hố bơm, rãnh nước, bê phốt)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VLOOKUP(B9,$C$100:$E$117,2,0)</f>
        <v>ID-004A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gỗ bê tông lót đài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209">
        <f>SUBTOTAL(9,U10:U11)</f>
        <v>0</v>
      </c>
      <c r="V9" s="177"/>
    </row>
    <row r="10" spans="1:22" s="2" customFormat="1" ht="16" hidden="1" outlineLevel="1">
      <c r="A10" s="6"/>
      <c r="B10" s="179"/>
      <c r="C10" s="180"/>
      <c r="D10" s="239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262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1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34" collapsed="1">
      <c r="A12" s="6"/>
      <c r="B12" s="174">
        <v>3</v>
      </c>
      <c r="C12" s="175"/>
      <c r="D12" s="261" t="str">
        <f>VLOOKUP(B12,$C$100:$E$117,2,0)</f>
        <v>ID-004B</v>
      </c>
      <c r="E12" s="211" t="str" cm="1">
        <f t="array" ref="E12:I12">(_xlfn.XLOOKUP($D12,'B-1. THKL THEO ID'!$B:$B,('B-1. THKL THEO ID'!C:G),"N/A",0))</f>
        <v>CBS</v>
      </c>
      <c r="F12" s="211">
        <v>0</v>
      </c>
      <c r="G12" s="211">
        <v>0</v>
      </c>
      <c r="H12" s="183" t="str">
        <v>Ván Khuôn gỗ bê tông lót giằng, sàn nền, rãnh nước</v>
      </c>
      <c r="I12" s="208" t="str">
        <v>m2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VLOOKUP(B15,$C$100:$E$117,2,0)</f>
        <v>ID-005</v>
      </c>
      <c r="E15" s="211" t="str" cm="1">
        <f t="array" ref="E15:I15">(_xlfn.XLOOKUP($D15,'B-1. THKL THEO ID'!$B:$B,('B-1. THKL THEO ID'!C:G),"N/A",0))</f>
        <v>CBS</v>
      </c>
      <c r="F15" s="211" t="str">
        <v>BOQ-005</v>
      </c>
      <c r="G15" s="211">
        <v>0</v>
      </c>
      <c r="H15" s="183" t="str">
        <v>Bê tông lót móng M100</v>
      </c>
      <c r="I15" s="208" t="str">
        <v>m3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51" collapsed="1">
      <c r="A18" s="6"/>
      <c r="B18" s="174">
        <v>5</v>
      </c>
      <c r="C18" s="175"/>
      <c r="D18" s="261" t="str">
        <f>VLOOKUP(B18,$C$100:$E$117,2,0)</f>
        <v>ID-006</v>
      </c>
      <c r="E18" s="211" cm="1">
        <f t="array" ref="E18:I18">(_xlfn.XLOOKUP($D18,'B-1. THKL THEO ID'!$B:$B,('B-1. THKL THEO ID'!C:G),"N/A",0))</f>
        <v>0</v>
      </c>
      <c r="F18" s="211" t="str">
        <v>BOQ-006</v>
      </c>
      <c r="G18" s="211">
        <v>0</v>
      </c>
      <c r="H18" s="183" t="str">
        <v>Ván khuôn kim loại bê tông móng (đài, giằng, sàn, hố bơm, rãnh nước, bê phốt)</v>
      </c>
      <c r="I18" s="208" t="str">
        <v>100m2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209">
        <f>SUBTOTAL(9,U19:U20)</f>
        <v>0</v>
      </c>
      <c r="V18" s="177"/>
    </row>
    <row r="19" spans="1:22" s="2" customFormat="1" ht="16" hidden="1" outlineLevel="1">
      <c r="A19" s="6"/>
      <c r="B19" s="179"/>
      <c r="C19" s="180"/>
      <c r="D19" s="239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262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1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17" collapsed="1">
      <c r="A21" s="6"/>
      <c r="B21" s="174">
        <v>6</v>
      </c>
      <c r="C21" s="175"/>
      <c r="D21" s="261" t="str">
        <f>VLOOKUP(B21,$C$100:$E$117,2,0)</f>
        <v>ID-006A</v>
      </c>
      <c r="E21" s="211" t="str" cm="1">
        <f t="array" ref="E21:I21">(_xlfn.XLOOKUP($D21,'B-1. THKL THEO ID'!$B:$B,('B-1. THKL THEO ID'!C:G),"N/A",0))</f>
        <v>CBS</v>
      </c>
      <c r="F21" s="211">
        <v>0</v>
      </c>
      <c r="G21" s="211">
        <v>0</v>
      </c>
      <c r="H21" s="183" t="str">
        <v>Ván khuôn gỗ ép bê tông đài móng</v>
      </c>
      <c r="I21" s="208" t="str">
        <v>m2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34" collapsed="1">
      <c r="A24" s="6"/>
      <c r="B24" s="174">
        <v>7</v>
      </c>
      <c r="C24" s="175"/>
      <c r="D24" s="261" t="str">
        <f>VLOOKUP(B24,$C$100:$E$117,2,0)</f>
        <v>ID-006B</v>
      </c>
      <c r="E24" s="211" t="str" cm="1">
        <f t="array" ref="E24:I24">(_xlfn.XLOOKUP($D24,'B-1. THKL THEO ID'!$B:$B,('B-1. THKL THEO ID'!C:G),"N/A",0))</f>
        <v>CBS</v>
      </c>
      <c r="F24" s="211">
        <v>0</v>
      </c>
      <c r="G24" s="211">
        <v>0</v>
      </c>
      <c r="H24" s="183" t="str">
        <v>Ván khuôn gỗ ép bê tông giằng, sàn, rãnh nước</v>
      </c>
      <c r="I24" s="208" t="str">
        <v>m2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17" collapsed="1">
      <c r="A27" s="6"/>
      <c r="B27" s="174">
        <v>8</v>
      </c>
      <c r="C27" s="175"/>
      <c r="D27" s="261" t="str">
        <f>VLOOKUP(B27,$C$100:$E$117,2,0)</f>
        <v>ID-007A</v>
      </c>
      <c r="E27" s="211" cm="1">
        <f t="array" ref="E27:I27">(_xlfn.XLOOKUP($D27,'B-1. THKL THEO ID'!$B:$B,('B-1. THKL THEO ID'!C:G),"N/A",0))</f>
        <v>0</v>
      </c>
      <c r="F27" s="211" t="str">
        <v>BOQ-007</v>
      </c>
      <c r="G27" s="211">
        <v>0</v>
      </c>
      <c r="H27" s="183" t="str">
        <v>Thép móng D&lt;=10</v>
      </c>
      <c r="I27" s="208" t="str">
        <v>tấn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209">
        <f>SUBTOTAL(9,U28:U29)</f>
        <v>0</v>
      </c>
      <c r="V27" s="177"/>
    </row>
    <row r="28" spans="1:22" s="2" customFormat="1" ht="16" hidden="1" outlineLevel="1">
      <c r="A28" s="6"/>
      <c r="B28" s="179"/>
      <c r="C28" s="180"/>
      <c r="D28" s="239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262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1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17" collapsed="1">
      <c r="A30" s="6"/>
      <c r="B30" s="174">
        <v>9</v>
      </c>
      <c r="C30" s="175"/>
      <c r="D30" s="261" t="str">
        <f>VLOOKUP(B30,$C$100:$E$117,2,0)</f>
        <v>ID-007B</v>
      </c>
      <c r="E30" s="211" cm="1">
        <f t="array" ref="E30:I30">(_xlfn.XLOOKUP($D30,'B-1. THKL THEO ID'!$B:$B,('B-1. THKL THEO ID'!C:G),"N/A",0))</f>
        <v>0</v>
      </c>
      <c r="F30" s="211" t="str">
        <v>BOQ-008</v>
      </c>
      <c r="G30" s="211">
        <v>0</v>
      </c>
      <c r="H30" s="183" t="str">
        <v>Thép móng D&lt;=18</v>
      </c>
      <c r="I30" s="208" t="str">
        <v>tấn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7" collapsed="1">
      <c r="A33" s="6"/>
      <c r="B33" s="174">
        <v>10</v>
      </c>
      <c r="C33" s="175"/>
      <c r="D33" s="261" t="str">
        <f>VLOOKUP(B33,$C$100:$E$117,2,0)</f>
        <v>ID-007C</v>
      </c>
      <c r="E33" s="211" cm="1">
        <f t="array" ref="E33:I33">(_xlfn.XLOOKUP($D33,'B-1. THKL THEO ID'!$B:$B,('B-1. THKL THEO ID'!C:G),"N/A",0))</f>
        <v>0</v>
      </c>
      <c r="F33" s="211" t="str">
        <v>BOQ-009</v>
      </c>
      <c r="G33" s="211">
        <v>0</v>
      </c>
      <c r="H33" s="183" t="str">
        <v>Thép móng D&gt;18</v>
      </c>
      <c r="I33" s="208" t="str">
        <v>tấn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209">
        <f>SUBTOTAL(9,U34:U35)</f>
        <v>0</v>
      </c>
      <c r="V33" s="177"/>
    </row>
    <row r="34" spans="1:22" s="2" customFormat="1" ht="16" hidden="1" outlineLevel="1">
      <c r="A34" s="6"/>
      <c r="B34" s="179"/>
      <c r="C34" s="180"/>
      <c r="D34" s="239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262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1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17" collapsed="1">
      <c r="A36" s="6"/>
      <c r="B36" s="174">
        <v>11</v>
      </c>
      <c r="C36" s="175"/>
      <c r="D36" s="261" t="str">
        <f>VLOOKUP(B36,$C$100:$E$117,2,0)</f>
        <v>ID-007</v>
      </c>
      <c r="E36" s="211" t="str" cm="1">
        <f t="array" ref="E36:I36">(_xlfn.XLOOKUP($D36,'B-1. THKL THEO ID'!$B:$B,('B-1. THKL THEO ID'!C:G),"N/A",0))</f>
        <v>CBS</v>
      </c>
      <c r="F36" s="211">
        <v>0</v>
      </c>
      <c r="G36" s="211">
        <v>0</v>
      </c>
      <c r="H36" s="183" t="str">
        <v>Thép móng full ( kg)</v>
      </c>
      <c r="I36" s="208" t="str">
        <v>kg</v>
      </c>
      <c r="J36" s="174"/>
      <c r="K36" s="174"/>
      <c r="L36" s="174"/>
      <c r="M36" s="176"/>
      <c r="N36" s="174"/>
      <c r="O36" s="177"/>
      <c r="P36" s="177"/>
      <c r="Q36" s="177"/>
      <c r="R36" s="178">
        <f>SUBTOTAL(9,R37:R38)</f>
        <v>0</v>
      </c>
      <c r="S36" s="177"/>
      <c r="T36" s="177"/>
      <c r="U36" s="209">
        <f>SUBTOTAL(9,U37:U38)</f>
        <v>0</v>
      </c>
      <c r="V36" s="177"/>
    </row>
    <row r="37" spans="1:22" s="2" customFormat="1" ht="16" hidden="1" outlineLevel="1">
      <c r="A37" s="6"/>
      <c r="B37" s="179"/>
      <c r="C37" s="180"/>
      <c r="D37" s="239"/>
      <c r="E37" s="213"/>
      <c r="F37" s="212"/>
      <c r="G37" s="212"/>
      <c r="H37" s="184"/>
      <c r="I37" s="179"/>
      <c r="J37" s="179"/>
      <c r="K37" s="179"/>
      <c r="L37" s="179"/>
      <c r="M37" s="179"/>
      <c r="N37" s="179"/>
      <c r="O37" s="179"/>
      <c r="P37" s="179"/>
      <c r="Q37" s="179"/>
      <c r="R37" s="262"/>
      <c r="S37" s="179"/>
      <c r="T37" s="179"/>
      <c r="U37" s="179"/>
      <c r="V37" s="179"/>
    </row>
    <row r="38" spans="1:22" s="2" customFormat="1" ht="16" hidden="1" outlineLevel="1">
      <c r="A38" s="6"/>
      <c r="B38" s="181"/>
      <c r="C38" s="182"/>
      <c r="D38" s="181"/>
      <c r="E38" s="215"/>
      <c r="F38" s="214"/>
      <c r="G38" s="214"/>
      <c r="H38" s="185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s="2" customFormat="1" ht="17" collapsed="1">
      <c r="A39" s="6"/>
      <c r="B39" s="174">
        <v>12</v>
      </c>
      <c r="C39" s="175"/>
      <c r="D39" s="261" t="str">
        <f>VLOOKUP(B39,$C$100:$E$117,2,0)</f>
        <v>ID-008</v>
      </c>
      <c r="E39" s="211" t="str" cm="1">
        <f t="array" ref="E39:I39">(_xlfn.XLOOKUP($D39,'B-1. THKL THEO ID'!$B:$B,('B-1. THKL THEO ID'!C:G),"N/A",0))</f>
        <v>CBS</v>
      </c>
      <c r="F39" s="211" t="str">
        <v>BOQ-010</v>
      </c>
      <c r="G39" s="211">
        <v>0</v>
      </c>
      <c r="H39" s="183" t="str">
        <v>Bê tông móng M400</v>
      </c>
      <c r="I39" s="208" t="str">
        <v>m3</v>
      </c>
      <c r="J39" s="174"/>
      <c r="K39" s="174"/>
      <c r="L39" s="174"/>
      <c r="M39" s="176"/>
      <c r="N39" s="174"/>
      <c r="O39" s="177"/>
      <c r="P39" s="177"/>
      <c r="Q39" s="177"/>
      <c r="R39" s="178">
        <f>SUBTOTAL(9,R40:R41)</f>
        <v>0</v>
      </c>
      <c r="S39" s="177"/>
      <c r="T39" s="177"/>
      <c r="U39" s="209">
        <f>SUBTOTAL(9,U40:U41)</f>
        <v>0</v>
      </c>
      <c r="V39" s="177"/>
    </row>
    <row r="40" spans="1:22" s="2" customFormat="1" ht="16" hidden="1" outlineLevel="1">
      <c r="A40" s="6"/>
      <c r="B40" s="179"/>
      <c r="C40" s="180"/>
      <c r="D40" s="239"/>
      <c r="E40" s="213"/>
      <c r="F40" s="212"/>
      <c r="G40" s="212"/>
      <c r="H40" s="184"/>
      <c r="I40" s="179"/>
      <c r="J40" s="179"/>
      <c r="K40" s="179"/>
      <c r="L40" s="179"/>
      <c r="M40" s="179"/>
      <c r="N40" s="179"/>
      <c r="O40" s="179"/>
      <c r="P40" s="179"/>
      <c r="Q40" s="179"/>
      <c r="R40" s="262"/>
      <c r="S40" s="179"/>
      <c r="T40" s="179"/>
      <c r="U40" s="179"/>
      <c r="V40" s="179"/>
    </row>
    <row r="41" spans="1:22" s="2" customFormat="1" ht="16" hidden="1" outlineLevel="1">
      <c r="A41" s="6"/>
      <c r="B41" s="181"/>
      <c r="C41" s="182"/>
      <c r="D41" s="181"/>
      <c r="E41" s="215"/>
      <c r="F41" s="214"/>
      <c r="G41" s="214"/>
      <c r="H41" s="185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</row>
    <row r="42" spans="1:22" s="2" customFormat="1" ht="34" collapsed="1">
      <c r="A42" s="6"/>
      <c r="B42" s="174">
        <v>13</v>
      </c>
      <c r="C42" s="175"/>
      <c r="D42" s="261" t="str">
        <f>VLOOKUP(B42,$C$100:$E$135,2,0)</f>
        <v>ID-009</v>
      </c>
      <c r="E42" s="211" t="str" cm="1">
        <f t="array" ref="E42:I42">(_xlfn.XLOOKUP($D42,'B-1. THKL THEO ID'!$B:$B,('B-1. THKL THEO ID'!C:G),"N/A",0))</f>
        <v>CBS</v>
      </c>
      <c r="F42" s="211" t="str">
        <v>BOQ-011</v>
      </c>
      <c r="G42" s="211">
        <v>0</v>
      </c>
      <c r="H42" s="183" t="str">
        <v>Bê tông lót nền hầm M100 (giằng, sàn, hố bơm, rãnh nước, bê phốt)</v>
      </c>
      <c r="I42" s="208" t="str">
        <v>m3</v>
      </c>
      <c r="J42" s="174"/>
      <c r="K42" s="174"/>
      <c r="L42" s="174"/>
      <c r="M42" s="176"/>
      <c r="N42" s="174"/>
      <c r="O42" s="177"/>
      <c r="P42" s="177"/>
      <c r="Q42" s="177"/>
      <c r="R42" s="178">
        <f>SUBTOTAL(9,R43:R44)</f>
        <v>0</v>
      </c>
      <c r="S42" s="177"/>
      <c r="T42" s="177"/>
      <c r="U42" s="209">
        <f>SUBTOTAL(9,U43:U44)</f>
        <v>0</v>
      </c>
      <c r="V42" s="177"/>
    </row>
    <row r="43" spans="1:22" s="2" customFormat="1" ht="16" hidden="1" outlineLevel="1">
      <c r="A43" s="6"/>
      <c r="B43" s="179"/>
      <c r="C43" s="180"/>
      <c r="D43" s="239"/>
      <c r="E43" s="213"/>
      <c r="F43" s="212"/>
      <c r="G43" s="212"/>
      <c r="H43" s="184"/>
      <c r="I43" s="179"/>
      <c r="J43" s="179"/>
      <c r="K43" s="179"/>
      <c r="L43" s="179"/>
      <c r="M43" s="179"/>
      <c r="N43" s="179"/>
      <c r="O43" s="179"/>
      <c r="P43" s="179"/>
      <c r="Q43" s="179"/>
      <c r="R43" s="262"/>
      <c r="S43" s="179"/>
      <c r="T43" s="179"/>
      <c r="U43" s="179"/>
      <c r="V43" s="179"/>
    </row>
    <row r="44" spans="1:22" s="2" customFormat="1" ht="16" hidden="1" outlineLevel="1">
      <c r="A44" s="6"/>
      <c r="B44" s="181"/>
      <c r="C44" s="182"/>
      <c r="D44" s="181"/>
      <c r="E44" s="215"/>
      <c r="F44" s="214"/>
      <c r="G44" s="214"/>
      <c r="H44" s="185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</row>
    <row r="45" spans="1:22" s="2" customFormat="1" ht="34" collapsed="1">
      <c r="A45" s="6"/>
      <c r="B45" s="174">
        <v>14</v>
      </c>
      <c r="C45" s="175"/>
      <c r="D45" s="261" t="str">
        <f>VLOOKUP(B45,$C$100:$E$135,2,0)</f>
        <v>ID-010</v>
      </c>
      <c r="E45" s="211" cm="1">
        <f t="array" ref="E45:I45">(_xlfn.XLOOKUP($D45,'B-1. THKL THEO ID'!$B:$B,('B-1. THKL THEO ID'!C:G),"N/A",0))</f>
        <v>0</v>
      </c>
      <c r="F45" s="211" t="str">
        <v>BOQ-012</v>
      </c>
      <c r="G45" s="211">
        <v>0</v>
      </c>
      <c r="H45" s="183" t="str">
        <v>Thép nền hầm D&gt;10 (giằng, sàn, hố bơm, rãnh nước, bê phốt)</v>
      </c>
      <c r="I45" s="208" t="str">
        <v>tấn</v>
      </c>
      <c r="J45" s="174"/>
      <c r="K45" s="174"/>
      <c r="L45" s="174"/>
      <c r="M45" s="176"/>
      <c r="N45" s="174"/>
      <c r="O45" s="177"/>
      <c r="P45" s="177"/>
      <c r="Q45" s="177"/>
      <c r="R45" s="178">
        <f>SUBTOTAL(9,R46:R47)</f>
        <v>0</v>
      </c>
      <c r="S45" s="177"/>
      <c r="T45" s="177"/>
      <c r="U45" s="209">
        <f>SUBTOTAL(9,U46:U47)</f>
        <v>0</v>
      </c>
      <c r="V45" s="177"/>
    </row>
    <row r="46" spans="1:22" s="2" customFormat="1" ht="16" hidden="1" outlineLevel="1">
      <c r="A46" s="6"/>
      <c r="B46" s="179"/>
      <c r="C46" s="180"/>
      <c r="D46" s="239"/>
      <c r="E46" s="213"/>
      <c r="F46" s="212"/>
      <c r="G46" s="212"/>
      <c r="H46" s="184"/>
      <c r="I46" s="179"/>
      <c r="J46" s="179"/>
      <c r="K46" s="179"/>
      <c r="L46" s="179"/>
      <c r="M46" s="179"/>
      <c r="N46" s="179"/>
      <c r="O46" s="179"/>
      <c r="P46" s="179"/>
      <c r="Q46" s="179"/>
      <c r="R46" s="262"/>
      <c r="S46" s="179"/>
      <c r="T46" s="179"/>
      <c r="U46" s="179"/>
      <c r="V46" s="179"/>
    </row>
    <row r="47" spans="1:22" s="2" customFormat="1" ht="16" hidden="1" outlineLevel="1">
      <c r="A47" s="6"/>
      <c r="B47" s="181"/>
      <c r="C47" s="182"/>
      <c r="D47" s="181"/>
      <c r="E47" s="215"/>
      <c r="F47" s="214"/>
      <c r="G47" s="214"/>
      <c r="H47" s="185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</row>
    <row r="48" spans="1:22" s="2" customFormat="1" ht="34" collapsed="1">
      <c r="A48" s="6"/>
      <c r="B48" s="174">
        <v>15</v>
      </c>
      <c r="C48" s="175"/>
      <c r="D48" s="261" t="str">
        <f>VLOOKUP(B48,$C$100:$E$135,2,0)</f>
        <v>ID-010A</v>
      </c>
      <c r="E48" s="211" t="str" cm="1">
        <f t="array" ref="E48:I48">(_xlfn.XLOOKUP($D48,'B-1. THKL THEO ID'!$B:$B,('B-1. THKL THEO ID'!C:G),"N/A",0))</f>
        <v>CBS</v>
      </c>
      <c r="F48" s="211">
        <v>0</v>
      </c>
      <c r="G48" s="211">
        <v>0</v>
      </c>
      <c r="H48" s="183" t="str">
        <v>Thép nền hầm full (giằng, sàn, hố bơm, rãnh nước, bê phốt)</v>
      </c>
      <c r="I48" s="208" t="str">
        <v>kg</v>
      </c>
      <c r="J48" s="174"/>
      <c r="K48" s="174"/>
      <c r="L48" s="174"/>
      <c r="M48" s="176"/>
      <c r="N48" s="174"/>
      <c r="O48" s="177"/>
      <c r="P48" s="177"/>
      <c r="Q48" s="177"/>
      <c r="R48" s="178">
        <f>SUBTOTAL(9,R49:R50)</f>
        <v>0</v>
      </c>
      <c r="S48" s="177"/>
      <c r="T48" s="177"/>
      <c r="U48" s="209">
        <f>SUBTOTAL(9,U49:U50)</f>
        <v>0</v>
      </c>
      <c r="V48" s="177"/>
    </row>
    <row r="49" spans="1:22" s="2" customFormat="1" ht="16" hidden="1" outlineLevel="1">
      <c r="A49" s="6"/>
      <c r="B49" s="179"/>
      <c r="C49" s="180"/>
      <c r="D49" s="239"/>
      <c r="E49" s="213"/>
      <c r="F49" s="212"/>
      <c r="G49" s="212"/>
      <c r="H49" s="184"/>
      <c r="I49" s="179"/>
      <c r="J49" s="179"/>
      <c r="K49" s="179"/>
      <c r="L49" s="179"/>
      <c r="M49" s="179"/>
      <c r="N49" s="179"/>
      <c r="O49" s="179"/>
      <c r="P49" s="179"/>
      <c r="Q49" s="179"/>
      <c r="R49" s="262"/>
      <c r="S49" s="179"/>
      <c r="T49" s="179"/>
      <c r="U49" s="179"/>
      <c r="V49" s="179"/>
    </row>
    <row r="50" spans="1:22" s="2" customFormat="1" ht="16" hidden="1" outlineLevel="1">
      <c r="A50" s="6"/>
      <c r="B50" s="181"/>
      <c r="C50" s="182"/>
      <c r="D50" s="181"/>
      <c r="E50" s="215"/>
      <c r="F50" s="214"/>
      <c r="G50" s="214"/>
      <c r="H50" s="185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</row>
    <row r="51" spans="1:22" s="2" customFormat="1" ht="51" collapsed="1">
      <c r="A51" s="6"/>
      <c r="B51" s="174">
        <v>16</v>
      </c>
      <c r="C51" s="175"/>
      <c r="D51" s="261" t="str">
        <f>VLOOKUP(B51,$C$100:$E$135,2,0)</f>
        <v>ID-011</v>
      </c>
      <c r="E51" s="211" cm="1">
        <f t="array" ref="E51:I51">(_xlfn.XLOOKUP($D51,'B-1. THKL THEO ID'!$B:$B,('B-1. THKL THEO ID'!C:G),"N/A",0))</f>
        <v>0</v>
      </c>
      <c r="F51" s="211" t="str">
        <v>BOQ-013</v>
      </c>
      <c r="G51" s="211">
        <v>0</v>
      </c>
      <c r="H51" s="183" t="str">
        <v>Bê tông nền hầm M400 ( Bao gồm: giằng, sàn, rãnh nước- M400 W10; hố bơm, bể phốt M300 W10))</v>
      </c>
      <c r="I51" s="208" t="str">
        <v>m3</v>
      </c>
      <c r="J51" s="174"/>
      <c r="K51" s="174"/>
      <c r="L51" s="174"/>
      <c r="M51" s="176"/>
      <c r="N51" s="174"/>
      <c r="O51" s="177"/>
      <c r="P51" s="177"/>
      <c r="Q51" s="177"/>
      <c r="R51" s="178">
        <f>SUBTOTAL(9,R52:R53)</f>
        <v>0</v>
      </c>
      <c r="S51" s="177"/>
      <c r="T51" s="177"/>
      <c r="U51" s="209">
        <f>SUBTOTAL(9,U52:U53)</f>
        <v>0</v>
      </c>
      <c r="V51" s="177"/>
    </row>
    <row r="52" spans="1:22" s="2" customFormat="1" ht="16" hidden="1" outlineLevel="1">
      <c r="A52" s="6"/>
      <c r="B52" s="179"/>
      <c r="C52" s="180"/>
      <c r="D52" s="239"/>
      <c r="E52" s="213"/>
      <c r="F52" s="212"/>
      <c r="G52" s="212"/>
      <c r="H52" s="184"/>
      <c r="I52" s="179"/>
      <c r="J52" s="179"/>
      <c r="K52" s="179"/>
      <c r="L52" s="179"/>
      <c r="M52" s="179"/>
      <c r="N52" s="179"/>
      <c r="O52" s="179"/>
      <c r="P52" s="179"/>
      <c r="Q52" s="179"/>
      <c r="R52" s="262"/>
      <c r="S52" s="179"/>
      <c r="T52" s="179"/>
      <c r="U52" s="179"/>
      <c r="V52" s="179"/>
    </row>
    <row r="53" spans="1:22" s="2" customFormat="1" ht="16" hidden="1" outlineLevel="1">
      <c r="A53" s="6"/>
      <c r="B53" s="181"/>
      <c r="C53" s="182"/>
      <c r="D53" s="181"/>
      <c r="E53" s="215"/>
      <c r="F53" s="214"/>
      <c r="G53" s="214"/>
      <c r="H53" s="185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</row>
    <row r="54" spans="1:22" s="2" customFormat="1" ht="34" collapsed="1">
      <c r="A54" s="6"/>
      <c r="B54" s="174">
        <v>17</v>
      </c>
      <c r="C54" s="175"/>
      <c r="D54" s="261" t="str">
        <f>VLOOKUP(B54,$C$100:$E$135,2,0)</f>
        <v>ID-011A</v>
      </c>
      <c r="E54" s="211" t="str" cm="1">
        <f t="array" ref="E54:I54">(_xlfn.XLOOKUP($D54,'B-1. THKL THEO ID'!$B:$B,('B-1. THKL THEO ID'!C:G),"N/A",0))</f>
        <v>CBS</v>
      </c>
      <c r="F54" s="211">
        <v>0</v>
      </c>
      <c r="G54" s="211">
        <v>0</v>
      </c>
      <c r="H54" s="183" t="str">
        <v>Bê tông giằng, sàn, rãnh nước hầm M400 cấp chống thấm W10</v>
      </c>
      <c r="I54" s="208" t="str">
        <v>m3</v>
      </c>
      <c r="J54" s="174"/>
      <c r="K54" s="174"/>
      <c r="L54" s="174"/>
      <c r="M54" s="176"/>
      <c r="N54" s="174"/>
      <c r="O54" s="177"/>
      <c r="P54" s="177"/>
      <c r="Q54" s="177"/>
      <c r="R54" s="178">
        <f>SUBTOTAL(9,R55:R56)</f>
        <v>0</v>
      </c>
      <c r="S54" s="177"/>
      <c r="T54" s="177"/>
      <c r="U54" s="209">
        <f>SUBTOTAL(9,U55:U56)</f>
        <v>0</v>
      </c>
      <c r="V54" s="177"/>
    </row>
    <row r="55" spans="1:22" s="2" customFormat="1" ht="16" hidden="1" outlineLevel="1">
      <c r="A55" s="6"/>
      <c r="B55" s="179"/>
      <c r="C55" s="180"/>
      <c r="D55" s="239"/>
      <c r="E55" s="213"/>
      <c r="F55" s="212"/>
      <c r="G55" s="212"/>
      <c r="H55" s="184"/>
      <c r="I55" s="179"/>
      <c r="J55" s="179"/>
      <c r="K55" s="179"/>
      <c r="L55" s="179"/>
      <c r="M55" s="179"/>
      <c r="N55" s="179"/>
      <c r="O55" s="179"/>
      <c r="P55" s="179"/>
      <c r="Q55" s="179"/>
      <c r="R55" s="262"/>
      <c r="S55" s="179"/>
      <c r="T55" s="179"/>
      <c r="U55" s="179"/>
      <c r="V55" s="179"/>
    </row>
    <row r="56" spans="1:22" s="2" customFormat="1" ht="16" hidden="1" outlineLevel="1">
      <c r="A56" s="6"/>
      <c r="B56" s="181"/>
      <c r="C56" s="182"/>
      <c r="D56" s="181"/>
      <c r="E56" s="215"/>
      <c r="F56" s="214"/>
      <c r="G56" s="214"/>
      <c r="H56" s="185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181"/>
    </row>
    <row r="57" spans="1:22" s="2" customFormat="1" ht="34" collapsed="1">
      <c r="A57" s="6"/>
      <c r="B57" s="174">
        <v>18</v>
      </c>
      <c r="C57" s="175"/>
      <c r="D57" s="261" t="str">
        <f>VLOOKUP(B57,$C$100:$E$135,2,0)</f>
        <v>ID-012</v>
      </c>
      <c r="E57" s="211" cm="1">
        <f t="array" ref="E57:I57">(_xlfn.XLOOKUP($D57,'B-1. THKL THEO ID'!$B:$B,('B-1. THKL THEO ID'!C:G),"N/A",0))</f>
        <v>0</v>
      </c>
      <c r="F57" s="211" t="str">
        <v>BOQ-014</v>
      </c>
      <c r="G57" s="211">
        <v>0</v>
      </c>
      <c r="H57" s="183" t="str">
        <v>Ván khuôn tường tầng hầm ( Bao gồm cả vách bể)</v>
      </c>
      <c r="I57" s="208" t="str">
        <v>100m2</v>
      </c>
      <c r="J57" s="174"/>
      <c r="K57" s="174"/>
      <c r="L57" s="174"/>
      <c r="M57" s="176"/>
      <c r="N57" s="174"/>
      <c r="O57" s="177"/>
      <c r="P57" s="177"/>
      <c r="Q57" s="177"/>
      <c r="R57" s="178">
        <f>SUBTOTAL(9,R58:R59)</f>
        <v>0</v>
      </c>
      <c r="S57" s="177"/>
      <c r="T57" s="177"/>
      <c r="U57" s="209">
        <f>SUBTOTAL(9,U58:U59)</f>
        <v>0</v>
      </c>
      <c r="V57" s="177"/>
    </row>
    <row r="58" spans="1:22" s="2" customFormat="1" ht="16" hidden="1" outlineLevel="1">
      <c r="A58" s="6"/>
      <c r="B58" s="179"/>
      <c r="C58" s="180"/>
      <c r="D58" s="239"/>
      <c r="E58" s="213"/>
      <c r="F58" s="212"/>
      <c r="G58" s="212"/>
      <c r="H58" s="184"/>
      <c r="I58" s="179"/>
      <c r="J58" s="179"/>
      <c r="K58" s="179"/>
      <c r="L58" s="179"/>
      <c r="M58" s="179"/>
      <c r="N58" s="179"/>
      <c r="O58" s="179"/>
      <c r="P58" s="179"/>
      <c r="Q58" s="179"/>
      <c r="R58" s="262"/>
      <c r="S58" s="179"/>
      <c r="T58" s="179"/>
      <c r="U58" s="179"/>
      <c r="V58" s="179"/>
    </row>
    <row r="59" spans="1:22" s="2" customFormat="1" ht="16" hidden="1" outlineLevel="1">
      <c r="A59" s="6"/>
      <c r="B59" s="181"/>
      <c r="C59" s="182"/>
      <c r="D59" s="181"/>
      <c r="E59" s="215"/>
      <c r="F59" s="214"/>
      <c r="G59" s="214"/>
      <c r="H59" s="185"/>
      <c r="I59" s="181"/>
      <c r="J59" s="181"/>
      <c r="K59" s="181"/>
      <c r="L59" s="181"/>
      <c r="M59" s="181"/>
      <c r="N59" s="181"/>
      <c r="O59" s="181"/>
      <c r="P59" s="181"/>
      <c r="Q59" s="181"/>
      <c r="R59" s="181"/>
      <c r="S59" s="181"/>
      <c r="T59" s="181"/>
      <c r="U59" s="181"/>
      <c r="V59" s="181"/>
    </row>
    <row r="60" spans="1:22" s="2" customFormat="1" ht="34" collapsed="1">
      <c r="A60" s="6"/>
      <c r="B60" s="174">
        <v>19</v>
      </c>
      <c r="C60" s="175"/>
      <c r="D60" s="261" t="str">
        <f>VLOOKUP(B60,$C$100:$E$135,2,0)</f>
        <v>ID-012B</v>
      </c>
      <c r="E60" s="211" t="str" cm="1">
        <f t="array" ref="E60:I60">(_xlfn.XLOOKUP($D60,'B-1. THKL THEO ID'!$B:$B,('B-1. THKL THEO ID'!C:G),"N/A",0))</f>
        <v>CBS</v>
      </c>
      <c r="F60" s="211">
        <v>0</v>
      </c>
      <c r="G60" s="211">
        <v>0</v>
      </c>
      <c r="H60" s="183" t="str">
        <v xml:space="preserve">Ván khuôn tường trong vách ngăn tầng hầm </v>
      </c>
      <c r="I60" s="208" t="str">
        <v>m2</v>
      </c>
      <c r="J60" s="174"/>
      <c r="K60" s="174"/>
      <c r="L60" s="174"/>
      <c r="M60" s="176"/>
      <c r="N60" s="174"/>
      <c r="O60" s="177"/>
      <c r="P60" s="177"/>
      <c r="Q60" s="177"/>
      <c r="R60" s="178">
        <f>SUBTOTAL(9,R61:R62)</f>
        <v>0</v>
      </c>
      <c r="S60" s="177"/>
      <c r="T60" s="177"/>
      <c r="U60" s="209">
        <f>SUBTOTAL(9,U61:U62)</f>
        <v>0</v>
      </c>
      <c r="V60" s="177"/>
    </row>
    <row r="61" spans="1:22" s="2" customFormat="1" ht="16" hidden="1" outlineLevel="1">
      <c r="A61" s="6"/>
      <c r="B61" s="179"/>
      <c r="C61" s="180"/>
      <c r="D61" s="239"/>
      <c r="E61" s="213"/>
      <c r="F61" s="212"/>
      <c r="G61" s="212"/>
      <c r="H61" s="184"/>
      <c r="I61" s="179"/>
      <c r="J61" s="179"/>
      <c r="K61" s="179"/>
      <c r="L61" s="179"/>
      <c r="M61" s="179"/>
      <c r="N61" s="179"/>
      <c r="O61" s="179"/>
      <c r="P61" s="179"/>
      <c r="Q61" s="179"/>
      <c r="R61" s="262"/>
      <c r="S61" s="179"/>
      <c r="T61" s="179"/>
      <c r="U61" s="179"/>
      <c r="V61" s="179"/>
    </row>
    <row r="62" spans="1:22" s="2" customFormat="1" ht="16" hidden="1" outlineLevel="1">
      <c r="A62" s="6"/>
      <c r="B62" s="181"/>
      <c r="C62" s="182"/>
      <c r="D62" s="181"/>
      <c r="E62" s="215"/>
      <c r="F62" s="214"/>
      <c r="G62" s="214"/>
      <c r="H62" s="185"/>
      <c r="I62" s="181"/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181"/>
      <c r="V62" s="181"/>
    </row>
    <row r="63" spans="1:22" s="2" customFormat="1" ht="17" collapsed="1">
      <c r="A63" s="6"/>
      <c r="B63" s="174">
        <v>20</v>
      </c>
      <c r="C63" s="175"/>
      <c r="D63" s="261" t="str">
        <f>VLOOKUP(B63,$C$100:$E$135,2,0)</f>
        <v>ID-013A</v>
      </c>
      <c r="E63" s="211" cm="1">
        <f t="array" ref="E63:I63">(_xlfn.XLOOKUP($D63,'B-1. THKL THEO ID'!$B:$B,('B-1. THKL THEO ID'!C:G),"N/A",0))</f>
        <v>0</v>
      </c>
      <c r="F63" s="211" t="str">
        <v>BOQ-015</v>
      </c>
      <c r="G63" s="211">
        <v>0</v>
      </c>
      <c r="H63" s="183" t="str">
        <v>Thép tường tầng hầm D&lt;=10</v>
      </c>
      <c r="I63" s="208" t="str">
        <v>tấn</v>
      </c>
      <c r="J63" s="174"/>
      <c r="K63" s="174"/>
      <c r="L63" s="174"/>
      <c r="M63" s="176"/>
      <c r="N63" s="174"/>
      <c r="O63" s="177"/>
      <c r="P63" s="177"/>
      <c r="Q63" s="177"/>
      <c r="R63" s="178">
        <f>SUBTOTAL(9,R64:R65)</f>
        <v>0</v>
      </c>
      <c r="S63" s="177"/>
      <c r="T63" s="177"/>
      <c r="U63" s="209">
        <f>SUBTOTAL(9,U64:U65)</f>
        <v>0</v>
      </c>
      <c r="V63" s="177"/>
    </row>
    <row r="64" spans="1:22" s="2" customFormat="1" ht="16" hidden="1" outlineLevel="1">
      <c r="A64" s="6"/>
      <c r="B64" s="179"/>
      <c r="C64" s="180"/>
      <c r="D64" s="239"/>
      <c r="E64" s="213"/>
      <c r="F64" s="212"/>
      <c r="G64" s="212"/>
      <c r="H64" s="184"/>
      <c r="I64" s="179"/>
      <c r="J64" s="179"/>
      <c r="K64" s="179"/>
      <c r="L64" s="179"/>
      <c r="M64" s="179"/>
      <c r="N64" s="179"/>
      <c r="O64" s="179"/>
      <c r="P64" s="179"/>
      <c r="Q64" s="179"/>
      <c r="R64" s="262"/>
      <c r="S64" s="179"/>
      <c r="T64" s="179"/>
      <c r="U64" s="179"/>
      <c r="V64" s="179"/>
    </row>
    <row r="65" spans="1:22" s="2" customFormat="1" ht="16" hidden="1" outlineLevel="1">
      <c r="A65" s="6"/>
      <c r="B65" s="181"/>
      <c r="C65" s="182"/>
      <c r="D65" s="181"/>
      <c r="E65" s="215"/>
      <c r="F65" s="214"/>
      <c r="G65" s="214"/>
      <c r="H65" s="185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</row>
    <row r="66" spans="1:22" s="2" customFormat="1" ht="17" collapsed="1">
      <c r="A66" s="6"/>
      <c r="B66" s="174">
        <v>21</v>
      </c>
      <c r="C66" s="175"/>
      <c r="D66" s="261" t="str">
        <f>VLOOKUP(B66,$C$100:$E$135,2,0)</f>
        <v>ID-013B</v>
      </c>
      <c r="E66" s="211" cm="1">
        <f t="array" ref="E66:I66">(_xlfn.XLOOKUP($D66,'B-1. THKL THEO ID'!$B:$B,('B-1. THKL THEO ID'!C:G),"N/A",0))</f>
        <v>0</v>
      </c>
      <c r="F66" s="211" t="str">
        <v>BOQ-016</v>
      </c>
      <c r="G66" s="211">
        <v>0</v>
      </c>
      <c r="H66" s="183" t="str">
        <v>Thép tường tầng hầm D&lt;=18</v>
      </c>
      <c r="I66" s="208" t="str">
        <v>tấn</v>
      </c>
      <c r="J66" s="174"/>
      <c r="K66" s="174"/>
      <c r="L66" s="174"/>
      <c r="M66" s="176"/>
      <c r="N66" s="174"/>
      <c r="O66" s="177"/>
      <c r="P66" s="177"/>
      <c r="Q66" s="177"/>
      <c r="R66" s="178">
        <f>SUBTOTAL(9,R67:R68)</f>
        <v>0</v>
      </c>
      <c r="S66" s="177"/>
      <c r="T66" s="177"/>
      <c r="U66" s="209">
        <f>SUBTOTAL(9,U67:U68)</f>
        <v>0</v>
      </c>
      <c r="V66" s="177"/>
    </row>
    <row r="67" spans="1:22" s="2" customFormat="1" ht="16" hidden="1" outlineLevel="1">
      <c r="A67" s="6"/>
      <c r="B67" s="179"/>
      <c r="C67" s="180"/>
      <c r="D67" s="239"/>
      <c r="E67" s="213"/>
      <c r="F67" s="212"/>
      <c r="G67" s="212"/>
      <c r="H67" s="184"/>
      <c r="I67" s="179"/>
      <c r="J67" s="179"/>
      <c r="K67" s="179"/>
      <c r="L67" s="179"/>
      <c r="M67" s="179"/>
      <c r="N67" s="179"/>
      <c r="O67" s="179"/>
      <c r="P67" s="179"/>
      <c r="Q67" s="179"/>
      <c r="R67" s="262"/>
      <c r="S67" s="179"/>
      <c r="T67" s="179"/>
      <c r="U67" s="179"/>
      <c r="V67" s="179"/>
    </row>
    <row r="68" spans="1:22" s="2" customFormat="1" ht="16" hidden="1" outlineLevel="1">
      <c r="A68" s="6"/>
      <c r="B68" s="181"/>
      <c r="C68" s="182"/>
      <c r="D68" s="181"/>
      <c r="E68" s="215"/>
      <c r="F68" s="214"/>
      <c r="G68" s="214"/>
      <c r="H68" s="185"/>
      <c r="I68" s="181"/>
      <c r="J68" s="181"/>
      <c r="K68" s="181"/>
      <c r="L68" s="181"/>
      <c r="M68" s="181"/>
      <c r="N68" s="181"/>
      <c r="O68" s="181"/>
      <c r="P68" s="181"/>
      <c r="Q68" s="181"/>
      <c r="R68" s="181"/>
      <c r="S68" s="181"/>
      <c r="T68" s="181"/>
      <c r="U68" s="181"/>
      <c r="V68" s="181"/>
    </row>
    <row r="69" spans="1:22" s="2" customFormat="1" ht="17" collapsed="1">
      <c r="A69" s="6"/>
      <c r="B69" s="174">
        <v>22</v>
      </c>
      <c r="C69" s="175"/>
      <c r="D69" s="261" t="str">
        <f>VLOOKUP(B69,$C$100:$E$135,2,0)</f>
        <v>ID-013</v>
      </c>
      <c r="E69" s="211" t="str" cm="1">
        <f t="array" ref="E69:I69">(_xlfn.XLOOKUP($D69,'B-1. THKL THEO ID'!$B:$B,('B-1. THKL THEO ID'!C:G),"N/A",0))</f>
        <v>CBS</v>
      </c>
      <c r="F69" s="211">
        <v>0</v>
      </c>
      <c r="G69" s="211">
        <v>0</v>
      </c>
      <c r="H69" s="183" t="str">
        <v>thép tường tầng hầm full (kg)</v>
      </c>
      <c r="I69" s="208" t="str">
        <v>kg</v>
      </c>
      <c r="J69" s="174"/>
      <c r="K69" s="174"/>
      <c r="L69" s="174"/>
      <c r="M69" s="176"/>
      <c r="N69" s="174"/>
      <c r="O69" s="177"/>
      <c r="P69" s="177"/>
      <c r="Q69" s="177"/>
      <c r="R69" s="178">
        <f>SUBTOTAL(9,R70:R71)</f>
        <v>0</v>
      </c>
      <c r="S69" s="177"/>
      <c r="T69" s="177"/>
      <c r="U69" s="209">
        <f>SUBTOTAL(9,U70:U71)</f>
        <v>0</v>
      </c>
      <c r="V69" s="177"/>
    </row>
    <row r="70" spans="1:22" s="2" customFormat="1" ht="16" hidden="1" outlineLevel="1">
      <c r="A70" s="6"/>
      <c r="B70" s="179"/>
      <c r="C70" s="180"/>
      <c r="D70" s="239"/>
      <c r="E70" s="213"/>
      <c r="F70" s="212"/>
      <c r="G70" s="212"/>
      <c r="H70" s="184"/>
      <c r="I70" s="179"/>
      <c r="J70" s="179"/>
      <c r="K70" s="179"/>
      <c r="L70" s="179"/>
      <c r="M70" s="179"/>
      <c r="N70" s="179"/>
      <c r="O70" s="179"/>
      <c r="P70" s="179"/>
      <c r="Q70" s="179"/>
      <c r="R70" s="262"/>
      <c r="S70" s="179"/>
      <c r="T70" s="179"/>
      <c r="U70" s="179"/>
      <c r="V70" s="179"/>
    </row>
    <row r="71" spans="1:22" s="2" customFormat="1" ht="16" hidden="1" outlineLevel="1">
      <c r="A71" s="6"/>
      <c r="B71" s="181"/>
      <c r="C71" s="182"/>
      <c r="D71" s="181"/>
      <c r="E71" s="215"/>
      <c r="F71" s="214"/>
      <c r="G71" s="214"/>
      <c r="H71" s="185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</row>
    <row r="72" spans="1:22" s="2" customFormat="1" ht="51" collapsed="1">
      <c r="A72" s="6"/>
      <c r="B72" s="174">
        <v>23</v>
      </c>
      <c r="C72" s="175"/>
      <c r="D72" s="261" t="str">
        <f>VLOOKUP(B72,$C$100:$E$135,2,0)</f>
        <v>ID-014</v>
      </c>
      <c r="E72" s="211" cm="1">
        <f t="array" ref="E72:I72">(_xlfn.XLOOKUP($D72,'B-1. THKL THEO ID'!$B:$B,('B-1. THKL THEO ID'!C:G),"N/A",0))</f>
        <v>0</v>
      </c>
      <c r="F72" s="211" t="str">
        <v>BOQ-017</v>
      </c>
      <c r="G72" s="211">
        <v>0</v>
      </c>
      <c r="H72" s="183" t="str">
        <v>Bê tông tường tầng hầm M400 (Bao gồm: Vách bao hầm M500 W10; Vách bể M400 W10)</v>
      </c>
      <c r="I72" s="208" t="str">
        <v>m3</v>
      </c>
      <c r="J72" s="174"/>
      <c r="K72" s="174"/>
      <c r="L72" s="174"/>
      <c r="M72" s="176"/>
      <c r="N72" s="174"/>
      <c r="O72" s="177"/>
      <c r="P72" s="177"/>
      <c r="Q72" s="177"/>
      <c r="R72" s="178">
        <f>SUBTOTAL(9,R73:R74)</f>
        <v>0</v>
      </c>
      <c r="S72" s="177"/>
      <c r="T72" s="177"/>
      <c r="U72" s="209">
        <f>SUBTOTAL(9,U73:U74)</f>
        <v>0</v>
      </c>
      <c r="V72" s="177"/>
    </row>
    <row r="73" spans="1:22" s="2" customFormat="1" ht="16" hidden="1" outlineLevel="1">
      <c r="A73" s="6"/>
      <c r="B73" s="179"/>
      <c r="C73" s="180"/>
      <c r="D73" s="239"/>
      <c r="E73" s="213"/>
      <c r="F73" s="212"/>
      <c r="G73" s="212"/>
      <c r="H73" s="184"/>
      <c r="I73" s="179"/>
      <c r="J73" s="179"/>
      <c r="K73" s="179"/>
      <c r="L73" s="179"/>
      <c r="M73" s="179"/>
      <c r="N73" s="179"/>
      <c r="O73" s="179"/>
      <c r="P73" s="179"/>
      <c r="Q73" s="179"/>
      <c r="R73" s="262"/>
      <c r="S73" s="179"/>
      <c r="T73" s="179"/>
      <c r="U73" s="179"/>
      <c r="V73" s="179"/>
    </row>
    <row r="74" spans="1:22" s="2" customFormat="1" ht="16" hidden="1" outlineLevel="1">
      <c r="A74" s="6"/>
      <c r="B74" s="181"/>
      <c r="C74" s="182"/>
      <c r="D74" s="181"/>
      <c r="E74" s="215"/>
      <c r="F74" s="214"/>
      <c r="G74" s="214"/>
      <c r="H74" s="185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181"/>
      <c r="V74" s="181"/>
    </row>
    <row r="75" spans="1:22" s="2" customFormat="1" ht="34" collapsed="1">
      <c r="A75" s="6"/>
      <c r="B75" s="174">
        <v>24</v>
      </c>
      <c r="C75" s="175"/>
      <c r="D75" s="261" t="str">
        <f>VLOOKUP(B75,$C$100:$E$135,2,0)</f>
        <v>ID-014B</v>
      </c>
      <c r="E75" s="211" t="str" cm="1">
        <f t="array" ref="E75:I75">(_xlfn.XLOOKUP($D75,'B-1. THKL THEO ID'!$B:$B,('B-1. THKL THEO ID'!C:G),"N/A",0))</f>
        <v>CBS</v>
      </c>
      <c r="F75" s="211">
        <v>0</v>
      </c>
      <c r="G75" s="211">
        <v>0</v>
      </c>
      <c r="H75" s="183" t="str">
        <v>Bê tông vách bể tầng hầm M400 cấp chống thấm W10</v>
      </c>
      <c r="I75" s="208" t="str">
        <v>m3</v>
      </c>
      <c r="J75" s="174"/>
      <c r="K75" s="174"/>
      <c r="L75" s="174"/>
      <c r="M75" s="176"/>
      <c r="N75" s="174"/>
      <c r="O75" s="177"/>
      <c r="P75" s="177"/>
      <c r="Q75" s="177"/>
      <c r="R75" s="178">
        <f>SUBTOTAL(9,R76:R77)</f>
        <v>0</v>
      </c>
      <c r="S75" s="177"/>
      <c r="T75" s="177"/>
      <c r="U75" s="209">
        <f>SUBTOTAL(9,U76:U77)</f>
        <v>0</v>
      </c>
      <c r="V75" s="177"/>
    </row>
    <row r="76" spans="1:22" s="2" customFormat="1" ht="16" hidden="1" outlineLevel="1">
      <c r="A76" s="6"/>
      <c r="B76" s="179"/>
      <c r="C76" s="180"/>
      <c r="D76" s="239"/>
      <c r="E76" s="213"/>
      <c r="F76" s="212"/>
      <c r="G76" s="212"/>
      <c r="H76" s="184"/>
      <c r="I76" s="179"/>
      <c r="J76" s="179"/>
      <c r="K76" s="179"/>
      <c r="L76" s="179"/>
      <c r="M76" s="179"/>
      <c r="N76" s="179"/>
      <c r="O76" s="179"/>
      <c r="P76" s="179"/>
      <c r="Q76" s="179"/>
      <c r="R76" s="262"/>
      <c r="S76" s="179"/>
      <c r="T76" s="179"/>
      <c r="U76" s="179"/>
      <c r="V76" s="179"/>
    </row>
    <row r="77" spans="1:22" s="2" customFormat="1" ht="16" hidden="1" outlineLevel="1">
      <c r="A77" s="6"/>
      <c r="B77" s="181"/>
      <c r="C77" s="182"/>
      <c r="D77" s="181"/>
      <c r="E77" s="215"/>
      <c r="F77" s="214"/>
      <c r="G77" s="214"/>
      <c r="H77" s="185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</row>
    <row r="78" spans="1:22" s="2" customFormat="1" ht="17" collapsed="1">
      <c r="A78" s="6"/>
      <c r="B78" s="174">
        <v>25</v>
      </c>
      <c r="C78" s="175"/>
      <c r="D78" s="261" t="str">
        <f>VLOOKUP(B78,$C$100:$E$135,2,0)</f>
        <v>ID-X01</v>
      </c>
      <c r="E78" s="211" t="str" cm="1">
        <f t="array" ref="E78:I78">(_xlfn.XLOOKUP($D78,'B-1. THKL THEO ID'!$B:$B,('B-1. THKL THEO ID'!C:G),"N/A",0))</f>
        <v>CBS</v>
      </c>
      <c r="F78" s="211" t="str">
        <v>BOQ-018</v>
      </c>
      <c r="G78" s="211">
        <v>0</v>
      </c>
      <c r="H78" s="183" t="str">
        <v>Băng cản nước tường tầng hầm</v>
      </c>
      <c r="I78" s="208" t="str">
        <v>m</v>
      </c>
      <c r="J78" s="174"/>
      <c r="K78" s="174"/>
      <c r="L78" s="174"/>
      <c r="M78" s="176"/>
      <c r="N78" s="174"/>
      <c r="O78" s="177"/>
      <c r="P78" s="177"/>
      <c r="Q78" s="177"/>
      <c r="R78" s="178">
        <f>SUBTOTAL(9,R79:R80)</f>
        <v>0</v>
      </c>
      <c r="S78" s="177"/>
      <c r="T78" s="177"/>
      <c r="U78" s="209">
        <f>SUBTOTAL(9,U79:U80)</f>
        <v>0</v>
      </c>
      <c r="V78" s="177"/>
    </row>
    <row r="79" spans="1:22" s="2" customFormat="1" ht="16" hidden="1" outlineLevel="1">
      <c r="A79" s="6"/>
      <c r="B79" s="179"/>
      <c r="C79" s="180"/>
      <c r="D79" s="239"/>
      <c r="E79" s="213"/>
      <c r="F79" s="212"/>
      <c r="G79" s="212"/>
      <c r="H79" s="184"/>
      <c r="I79" s="179"/>
      <c r="J79" s="179"/>
      <c r="K79" s="179"/>
      <c r="L79" s="179"/>
      <c r="M79" s="179"/>
      <c r="N79" s="179"/>
      <c r="O79" s="179"/>
      <c r="P79" s="179"/>
      <c r="Q79" s="179"/>
      <c r="R79" s="262"/>
      <c r="S79" s="179"/>
      <c r="T79" s="179"/>
      <c r="U79" s="179"/>
      <c r="V79" s="179"/>
    </row>
    <row r="80" spans="1:22" s="2" customFormat="1" ht="16" hidden="1" outlineLevel="1">
      <c r="A80" s="6"/>
      <c r="B80" s="181"/>
      <c r="C80" s="182"/>
      <c r="D80" s="181"/>
      <c r="E80" s="215"/>
      <c r="F80" s="214"/>
      <c r="G80" s="214"/>
      <c r="H80" s="185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</row>
    <row r="81" spans="1:22" s="2" customFormat="1" ht="17" collapsed="1">
      <c r="A81" s="6"/>
      <c r="B81" s="174">
        <v>26</v>
      </c>
      <c r="C81" s="175"/>
      <c r="D81" s="261" t="str">
        <f>VLOOKUP(B81,$C$100:$E$135,2,0)</f>
        <v>ID-037</v>
      </c>
      <c r="E81" s="211" t="str" cm="1">
        <f t="array" ref="E81:I81">(_xlfn.XLOOKUP($D81,'B-1. THKL THEO ID'!$B:$B,('B-1. THKL THEO ID'!C:G),"N/A",0))</f>
        <v>CBS</v>
      </c>
      <c r="F81" s="211" t="str">
        <v>BOQ-058</v>
      </c>
      <c r="G81" s="211">
        <v>0</v>
      </c>
      <c r="H81" s="183" t="str">
        <v xml:space="preserve">Chống thấm nền hầm </v>
      </c>
      <c r="I81" s="208" t="str">
        <v>m2</v>
      </c>
      <c r="J81" s="174"/>
      <c r="K81" s="174"/>
      <c r="L81" s="174"/>
      <c r="M81" s="176"/>
      <c r="N81" s="174"/>
      <c r="O81" s="177"/>
      <c r="P81" s="177"/>
      <c r="Q81" s="177"/>
      <c r="R81" s="178">
        <f>SUBTOTAL(9,R82:R83)</f>
        <v>0</v>
      </c>
      <c r="S81" s="177"/>
      <c r="T81" s="177"/>
      <c r="U81" s="209">
        <f>SUBTOTAL(9,U82:U83)</f>
        <v>0</v>
      </c>
      <c r="V81" s="177"/>
    </row>
    <row r="82" spans="1:22" s="2" customFormat="1" ht="16" hidden="1" outlineLevel="1">
      <c r="A82" s="6"/>
      <c r="B82" s="179"/>
      <c r="C82" s="180"/>
      <c r="D82" s="239"/>
      <c r="E82" s="213"/>
      <c r="F82" s="212"/>
      <c r="G82" s="212"/>
      <c r="H82" s="184"/>
      <c r="I82" s="179"/>
      <c r="J82" s="179"/>
      <c r="K82" s="179"/>
      <c r="L82" s="179"/>
      <c r="M82" s="179"/>
      <c r="N82" s="179"/>
      <c r="O82" s="179"/>
      <c r="P82" s="179"/>
      <c r="Q82" s="179"/>
      <c r="R82" s="262"/>
      <c r="S82" s="179"/>
      <c r="T82" s="179"/>
      <c r="U82" s="179"/>
      <c r="V82" s="179"/>
    </row>
    <row r="83" spans="1:22" s="2" customFormat="1" ht="16" hidden="1" outlineLevel="1">
      <c r="A83" s="6"/>
      <c r="B83" s="181"/>
      <c r="C83" s="182"/>
      <c r="D83" s="181"/>
      <c r="E83" s="215"/>
      <c r="F83" s="214"/>
      <c r="G83" s="214"/>
      <c r="H83" s="185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</row>
    <row r="84" spans="1:22" s="2" customFormat="1" ht="17" collapsed="1">
      <c r="A84" s="6"/>
      <c r="B84" s="174">
        <v>27</v>
      </c>
      <c r="C84" s="175"/>
      <c r="D84" s="261" t="str">
        <f>VLOOKUP(B84,$C$100:$E$135,2,0)</f>
        <v>ID-039</v>
      </c>
      <c r="E84" s="211" t="str" cm="1">
        <f t="array" ref="E84:I84">(_xlfn.XLOOKUP($D84,'B-1. THKL THEO ID'!$B:$B,('B-1. THKL THEO ID'!C:G),"N/A",0))</f>
        <v>CBS</v>
      </c>
      <c r="F84" s="211" t="str">
        <v>BOQ-060</v>
      </c>
      <c r="G84" s="211">
        <v>0</v>
      </c>
      <c r="H84" s="183" t="str">
        <v xml:space="preserve">Chống mối nền hầm </v>
      </c>
      <c r="I84" s="208" t="str">
        <v>m2</v>
      </c>
      <c r="J84" s="174"/>
      <c r="K84" s="174"/>
      <c r="L84" s="174"/>
      <c r="M84" s="176"/>
      <c r="N84" s="174"/>
      <c r="O84" s="177"/>
      <c r="P84" s="177"/>
      <c r="Q84" s="177"/>
      <c r="R84" s="178">
        <f>SUBTOTAL(9,R85:R86)</f>
        <v>0</v>
      </c>
      <c r="S84" s="177"/>
      <c r="T84" s="177"/>
      <c r="U84" s="209">
        <f>SUBTOTAL(9,U85:U86)</f>
        <v>0</v>
      </c>
      <c r="V84" s="177"/>
    </row>
    <row r="85" spans="1:22" s="2" customFormat="1" ht="16" hidden="1" outlineLevel="1">
      <c r="A85" s="6"/>
      <c r="B85" s="179"/>
      <c r="C85" s="180"/>
      <c r="D85" s="239"/>
      <c r="E85" s="213"/>
      <c r="F85" s="212"/>
      <c r="G85" s="212"/>
      <c r="H85" s="184"/>
      <c r="I85" s="179"/>
      <c r="J85" s="179"/>
      <c r="K85" s="179"/>
      <c r="L85" s="179"/>
      <c r="M85" s="179"/>
      <c r="N85" s="179"/>
      <c r="O85" s="179"/>
      <c r="P85" s="179"/>
      <c r="Q85" s="179"/>
      <c r="R85" s="262"/>
      <c r="S85" s="179"/>
      <c r="T85" s="179"/>
      <c r="U85" s="179"/>
      <c r="V85" s="179"/>
    </row>
    <row r="86" spans="1:22" s="2" customFormat="1" ht="16" hidden="1" outlineLevel="1">
      <c r="A86" s="6"/>
      <c r="B86" s="181"/>
      <c r="C86" s="182"/>
      <c r="D86" s="181"/>
      <c r="E86" s="215"/>
      <c r="F86" s="214"/>
      <c r="G86" s="214"/>
      <c r="H86" s="185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181"/>
      <c r="V86" s="181"/>
    </row>
    <row r="87" spans="1:22" s="2" customFormat="1" ht="17" collapsed="1">
      <c r="A87" s="6"/>
      <c r="B87" s="174">
        <v>28</v>
      </c>
      <c r="C87" s="175"/>
      <c r="D87" s="261" t="str">
        <f>VLOOKUP(B87,$C$100:$E$135,2,0)</f>
        <v>ID-041</v>
      </c>
      <c r="E87" s="211" t="str" cm="1">
        <f t="array" ref="E87:I87">(_xlfn.XLOOKUP($D87,'B-1. THKL THEO ID'!$B:$B,('B-1. THKL THEO ID'!C:G),"N/A",0))</f>
        <v>CBS</v>
      </c>
      <c r="F87" s="211" t="str">
        <v>BOQ-062</v>
      </c>
      <c r="G87" s="211">
        <v>0</v>
      </c>
      <c r="H87" s="183" t="str">
        <v>Đập bê tông đầu cọc khoan nhồi</v>
      </c>
      <c r="I87" s="208" t="str">
        <v>m3</v>
      </c>
      <c r="J87" s="174"/>
      <c r="K87" s="174"/>
      <c r="L87" s="174"/>
      <c r="M87" s="176"/>
      <c r="N87" s="174"/>
      <c r="O87" s="177"/>
      <c r="P87" s="177"/>
      <c r="Q87" s="177"/>
      <c r="R87" s="178">
        <f>SUBTOTAL(9,R88:R89)</f>
        <v>0</v>
      </c>
      <c r="S87" s="177"/>
      <c r="T87" s="177"/>
      <c r="U87" s="209">
        <f>SUBTOTAL(9,U88:U89)</f>
        <v>0</v>
      </c>
      <c r="V87" s="177"/>
    </row>
    <row r="88" spans="1:22" s="2" customFormat="1" ht="16" hidden="1" outlineLevel="1">
      <c r="A88" s="6"/>
      <c r="B88" s="179"/>
      <c r="C88" s="180"/>
      <c r="D88" s="239"/>
      <c r="E88" s="213"/>
      <c r="F88" s="212"/>
      <c r="G88" s="212"/>
      <c r="H88" s="184"/>
      <c r="I88" s="179"/>
      <c r="J88" s="179"/>
      <c r="K88" s="179"/>
      <c r="L88" s="179"/>
      <c r="M88" s="179"/>
      <c r="N88" s="179"/>
      <c r="O88" s="179"/>
      <c r="P88" s="179"/>
      <c r="Q88" s="179"/>
      <c r="R88" s="262"/>
      <c r="S88" s="179"/>
      <c r="T88" s="179"/>
      <c r="U88" s="179"/>
      <c r="V88" s="179"/>
    </row>
    <row r="89" spans="1:22" s="2" customFormat="1" ht="16" hidden="1" outlineLevel="1">
      <c r="A89" s="6"/>
      <c r="B89" s="181"/>
      <c r="C89" s="182"/>
      <c r="D89" s="181"/>
      <c r="E89" s="215"/>
      <c r="F89" s="214"/>
      <c r="G89" s="214"/>
      <c r="H89" s="185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</row>
    <row r="90" spans="1:22" s="2" customFormat="1" ht="34" collapsed="1">
      <c r="A90" s="6"/>
      <c r="B90" s="174">
        <v>29</v>
      </c>
      <c r="C90" s="175"/>
      <c r="D90" s="261" t="str">
        <f>VLOOKUP(B90,$C$100:$E$135,2,0)</f>
        <v>ID-042</v>
      </c>
      <c r="E90" s="211" t="str" cm="1">
        <f t="array" ref="E90:I90">(_xlfn.XLOOKUP($D90,'B-1. THKL THEO ID'!$B:$B,('B-1. THKL THEO ID'!C:G),"N/A",0))</f>
        <v>CBS</v>
      </c>
      <c r="F90" s="211" t="str">
        <v>BOQ-063</v>
      </c>
      <c r="G90" s="211">
        <v>0</v>
      </c>
      <c r="H90" s="183" t="str">
        <v>Xử lý liên kết thép đầu cọc và đài móng</v>
      </c>
      <c r="I90" s="208" t="str">
        <v>cọc</v>
      </c>
      <c r="J90" s="174"/>
      <c r="K90" s="174"/>
      <c r="L90" s="174"/>
      <c r="M90" s="176"/>
      <c r="N90" s="174"/>
      <c r="O90" s="177"/>
      <c r="P90" s="177"/>
      <c r="Q90" s="177"/>
      <c r="R90" s="178">
        <f>SUBTOTAL(9,R91:R92)</f>
        <v>0</v>
      </c>
      <c r="S90" s="177"/>
      <c r="T90" s="177"/>
      <c r="U90" s="209">
        <f>SUBTOTAL(9,U91:U92)</f>
        <v>0</v>
      </c>
      <c r="V90" s="177"/>
    </row>
    <row r="91" spans="1:22" s="2" customFormat="1" ht="16" hidden="1" outlineLevel="1">
      <c r="A91" s="6"/>
      <c r="B91" s="179"/>
      <c r="C91" s="180"/>
      <c r="D91" s="239"/>
      <c r="E91" s="213"/>
      <c r="F91" s="212"/>
      <c r="G91" s="212"/>
      <c r="H91" s="184"/>
      <c r="I91" s="179"/>
      <c r="J91" s="179"/>
      <c r="K91" s="179"/>
      <c r="L91" s="179"/>
      <c r="M91" s="179"/>
      <c r="N91" s="179"/>
      <c r="O91" s="179"/>
      <c r="P91" s="179"/>
      <c r="Q91" s="179"/>
      <c r="R91" s="262"/>
      <c r="S91" s="179"/>
      <c r="T91" s="179"/>
      <c r="U91" s="179"/>
      <c r="V91" s="179"/>
    </row>
    <row r="92" spans="1:22" s="2" customFormat="1" ht="16" hidden="1" outlineLevel="1">
      <c r="A92" s="6"/>
      <c r="B92" s="181"/>
      <c r="C92" s="182"/>
      <c r="D92" s="181"/>
      <c r="E92" s="215"/>
      <c r="F92" s="214"/>
      <c r="G92" s="214"/>
      <c r="H92" s="185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</row>
    <row r="93" spans="1:22" s="2" customFormat="1" ht="17" collapsed="1">
      <c r="A93" s="6"/>
      <c r="B93" s="174">
        <v>30</v>
      </c>
      <c r="C93" s="175"/>
      <c r="D93" s="261" t="str">
        <f>VLOOKUP(B93,$C$100:$E$135,2,0)</f>
        <v>ID-044</v>
      </c>
      <c r="E93" s="211" t="str" cm="1">
        <f t="array" ref="E93:I93">(_xlfn.XLOOKUP($D93,'B-1. THKL THEO ID'!$B:$B,('B-1. THKL THEO ID'!C:G),"N/A",0))</f>
        <v>CBS</v>
      </c>
      <c r="F93" s="211" t="str">
        <v>BOQ-065</v>
      </c>
      <c r="G93" s="211">
        <v>0</v>
      </c>
      <c r="H93" s="183" t="str">
        <v>Mài hoàn thiện cột vách dầm sàn</v>
      </c>
      <c r="I93" s="208" t="str">
        <v>m2</v>
      </c>
      <c r="J93" s="174"/>
      <c r="K93" s="174"/>
      <c r="L93" s="174"/>
      <c r="M93" s="176"/>
      <c r="N93" s="174"/>
      <c r="O93" s="177"/>
      <c r="P93" s="177"/>
      <c r="Q93" s="177"/>
      <c r="R93" s="178">
        <f>SUBTOTAL(9,R94:R94)</f>
        <v>0</v>
      </c>
      <c r="S93" s="177"/>
      <c r="T93" s="177"/>
      <c r="U93" s="209">
        <f>SUBTOTAL(9,U94:U94)</f>
        <v>0</v>
      </c>
      <c r="V93" s="177"/>
    </row>
    <row r="94" spans="1:22" s="2" customFormat="1" ht="16" hidden="1" outlineLevel="1">
      <c r="A94" s="6"/>
      <c r="B94" s="179"/>
      <c r="C94" s="180"/>
      <c r="D94" s="239"/>
      <c r="E94" s="213"/>
      <c r="F94" s="212"/>
      <c r="G94" s="212"/>
      <c r="H94" s="184"/>
      <c r="I94" s="179"/>
      <c r="J94" s="179"/>
      <c r="K94" s="179"/>
      <c r="L94" s="179"/>
      <c r="M94" s="179"/>
      <c r="N94" s="179"/>
      <c r="O94" s="179"/>
      <c r="P94" s="179"/>
      <c r="Q94" s="179"/>
      <c r="R94" s="262"/>
      <c r="S94" s="179"/>
      <c r="T94" s="179"/>
      <c r="U94" s="179"/>
      <c r="V94" s="179"/>
    </row>
    <row r="95" spans="1:22" ht="20" customHeight="1">
      <c r="A95" s="2"/>
      <c r="B95" s="50"/>
      <c r="C95" s="51"/>
      <c r="D95" s="52"/>
      <c r="E95" s="53"/>
      <c r="F95" s="52"/>
      <c r="G95" s="52"/>
      <c r="H95" s="54"/>
      <c r="I95" s="52"/>
      <c r="J95" s="52"/>
      <c r="K95" s="52"/>
      <c r="L95" s="52"/>
      <c r="M95" s="52"/>
      <c r="N95" s="52"/>
      <c r="O95" s="52"/>
      <c r="P95" s="52"/>
      <c r="Q95" s="52"/>
      <c r="R95" s="55"/>
      <c r="S95" s="52"/>
      <c r="T95" s="52"/>
      <c r="U95" s="52"/>
      <c r="V95" s="52"/>
    </row>
    <row r="96" spans="1:22" ht="20" customHeight="1">
      <c r="A96" s="2"/>
      <c r="B96" s="27" t="s">
        <v>20</v>
      </c>
      <c r="C96" s="28">
        <v>3</v>
      </c>
      <c r="D96" s="27"/>
      <c r="E96" s="29"/>
      <c r="F96" s="27"/>
      <c r="G96" s="27"/>
      <c r="H96" s="30" t="s">
        <v>29</v>
      </c>
      <c r="I96" s="31"/>
      <c r="J96" s="31"/>
      <c r="K96" s="31"/>
      <c r="L96" s="31"/>
      <c r="M96" s="31"/>
      <c r="N96" s="31"/>
      <c r="O96" s="31"/>
      <c r="P96" s="31"/>
      <c r="Q96" s="31"/>
      <c r="R96" s="32">
        <f>SUBTOTAL(9,R6:R95)</f>
        <v>0</v>
      </c>
      <c r="S96" s="31"/>
      <c r="T96" s="31"/>
      <c r="U96" s="31"/>
      <c r="V96" s="31"/>
    </row>
    <row r="97" spans="3:5" s="2" customFormat="1" ht="20" customHeight="1">
      <c r="E97" s="7"/>
    </row>
    <row r="100" spans="3:5" ht="20" customHeight="1">
      <c r="C100">
        <v>1</v>
      </c>
      <c r="D100" s="239" t="s">
        <v>356</v>
      </c>
    </row>
    <row r="101" spans="3:5" ht="20" customHeight="1">
      <c r="C101">
        <v>2</v>
      </c>
      <c r="D101" s="239" t="s">
        <v>575</v>
      </c>
    </row>
    <row r="102" spans="3:5" ht="20" customHeight="1">
      <c r="C102">
        <v>3</v>
      </c>
      <c r="D102" s="239" t="s">
        <v>562</v>
      </c>
    </row>
    <row r="103" spans="3:5" ht="20" customHeight="1">
      <c r="C103">
        <v>4</v>
      </c>
      <c r="D103" s="239" t="s">
        <v>357</v>
      </c>
    </row>
    <row r="104" spans="3:5" ht="20" customHeight="1">
      <c r="C104">
        <v>5</v>
      </c>
      <c r="D104" s="239" t="s">
        <v>358</v>
      </c>
    </row>
    <row r="105" spans="3:5" ht="20" customHeight="1">
      <c r="C105">
        <v>6</v>
      </c>
      <c r="D105" s="239" t="s">
        <v>576</v>
      </c>
    </row>
    <row r="106" spans="3:5" ht="20" customHeight="1">
      <c r="C106">
        <v>7</v>
      </c>
      <c r="D106" s="239" t="s">
        <v>563</v>
      </c>
    </row>
    <row r="107" spans="3:5" ht="20" customHeight="1">
      <c r="C107">
        <v>8</v>
      </c>
      <c r="D107" s="239" t="s">
        <v>577</v>
      </c>
    </row>
    <row r="108" spans="3:5" ht="20" customHeight="1">
      <c r="C108">
        <v>9</v>
      </c>
      <c r="D108" s="239" t="s">
        <v>564</v>
      </c>
    </row>
    <row r="109" spans="3:5" ht="20" customHeight="1">
      <c r="C109">
        <v>10</v>
      </c>
      <c r="D109" s="239" t="s">
        <v>578</v>
      </c>
    </row>
    <row r="110" spans="3:5" ht="20" customHeight="1">
      <c r="C110">
        <v>11</v>
      </c>
      <c r="D110" s="239" t="s">
        <v>359</v>
      </c>
    </row>
    <row r="111" spans="3:5" ht="20" customHeight="1">
      <c r="C111">
        <v>12</v>
      </c>
      <c r="D111" s="239" t="s">
        <v>360</v>
      </c>
    </row>
    <row r="112" spans="3:5" ht="20" customHeight="1">
      <c r="C112">
        <v>13</v>
      </c>
      <c r="D112" t="s">
        <v>369</v>
      </c>
    </row>
    <row r="113" spans="3:4" ht="20" customHeight="1">
      <c r="C113">
        <v>14</v>
      </c>
      <c r="D113" t="s">
        <v>377</v>
      </c>
    </row>
    <row r="114" spans="3:4" ht="20" customHeight="1">
      <c r="C114">
        <v>15</v>
      </c>
      <c r="D114" t="s">
        <v>584</v>
      </c>
    </row>
    <row r="115" spans="3:4" ht="20" customHeight="1">
      <c r="C115">
        <v>16</v>
      </c>
      <c r="D115" t="s">
        <v>361</v>
      </c>
    </row>
    <row r="116" spans="3:4" ht="20" customHeight="1">
      <c r="C116">
        <v>17</v>
      </c>
      <c r="D116" t="s">
        <v>585</v>
      </c>
    </row>
    <row r="117" spans="3:4" ht="20" customHeight="1">
      <c r="C117">
        <v>18</v>
      </c>
      <c r="D117" t="s">
        <v>362</v>
      </c>
    </row>
    <row r="118" spans="3:4" ht="20" customHeight="1">
      <c r="C118">
        <v>19</v>
      </c>
      <c r="D118" t="s">
        <v>566</v>
      </c>
    </row>
    <row r="119" spans="3:4" ht="20" customHeight="1">
      <c r="C119">
        <v>20</v>
      </c>
      <c r="D119" t="s">
        <v>588</v>
      </c>
    </row>
    <row r="120" spans="3:4" ht="20" customHeight="1">
      <c r="C120">
        <v>21</v>
      </c>
      <c r="D120" t="s">
        <v>567</v>
      </c>
    </row>
    <row r="121" spans="3:4" ht="20" customHeight="1">
      <c r="C121">
        <v>22</v>
      </c>
      <c r="D121" t="s">
        <v>363</v>
      </c>
    </row>
    <row r="122" spans="3:4" ht="20" customHeight="1">
      <c r="C122">
        <v>23</v>
      </c>
      <c r="D122" t="s">
        <v>370</v>
      </c>
    </row>
    <row r="123" spans="3:4" ht="20" customHeight="1">
      <c r="C123">
        <v>24</v>
      </c>
      <c r="D123" t="s">
        <v>568</v>
      </c>
    </row>
    <row r="124" spans="3:4" ht="20" customHeight="1">
      <c r="C124">
        <v>25</v>
      </c>
      <c r="D124" t="s">
        <v>589</v>
      </c>
    </row>
    <row r="125" spans="3:4" ht="20" customHeight="1">
      <c r="C125">
        <v>26</v>
      </c>
      <c r="D125" t="s">
        <v>387</v>
      </c>
    </row>
    <row r="126" spans="3:4" ht="20" customHeight="1">
      <c r="C126">
        <v>27</v>
      </c>
      <c r="D126" t="s">
        <v>389</v>
      </c>
    </row>
    <row r="127" spans="3:4" ht="20" customHeight="1">
      <c r="C127">
        <v>28</v>
      </c>
      <c r="D127" t="s">
        <v>391</v>
      </c>
    </row>
    <row r="128" spans="3:4" ht="20" customHeight="1">
      <c r="C128">
        <v>29</v>
      </c>
      <c r="D128" t="s">
        <v>392</v>
      </c>
    </row>
    <row r="129" spans="3:4" ht="20" customHeight="1">
      <c r="C129">
        <v>30</v>
      </c>
      <c r="D129" t="s">
        <v>394</v>
      </c>
    </row>
    <row r="130" spans="3:4" ht="20" customHeight="1">
      <c r="C130">
        <v>31</v>
      </c>
    </row>
    <row r="131" spans="3:4" ht="20" customHeight="1">
      <c r="C131">
        <v>32</v>
      </c>
    </row>
    <row r="132" spans="3:4" ht="20" customHeight="1">
      <c r="C132">
        <v>33</v>
      </c>
    </row>
    <row r="133" spans="3:4" ht="20" customHeight="1">
      <c r="C133">
        <v>34</v>
      </c>
    </row>
    <row r="134" spans="3:4" ht="20" customHeight="1">
      <c r="C134">
        <v>35</v>
      </c>
    </row>
    <row r="135" spans="3:4" ht="20" customHeight="1">
      <c r="C135">
        <v>36</v>
      </c>
    </row>
  </sheetData>
  <autoFilter ref="B5:V95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97">
    <cfRule type="cellIs" dxfId="163" priority="37" operator="lessThan">
      <formula>0</formula>
    </cfRule>
  </conditionalFormatting>
  <conditionalFormatting sqref="U6">
    <cfRule type="cellIs" dxfId="162" priority="30" operator="lessThan">
      <formula>0</formula>
    </cfRule>
  </conditionalFormatting>
  <conditionalFormatting sqref="U9">
    <cfRule type="cellIs" dxfId="161" priority="29" operator="lessThan">
      <formula>0</formula>
    </cfRule>
  </conditionalFormatting>
  <conditionalFormatting sqref="U12">
    <cfRule type="cellIs" dxfId="160" priority="28" operator="lessThan">
      <formula>0</formula>
    </cfRule>
  </conditionalFormatting>
  <conditionalFormatting sqref="U15">
    <cfRule type="cellIs" dxfId="159" priority="27" operator="lessThan">
      <formula>0</formula>
    </cfRule>
  </conditionalFormatting>
  <conditionalFormatting sqref="U18">
    <cfRule type="cellIs" dxfId="158" priority="26" operator="lessThan">
      <formula>0</formula>
    </cfRule>
  </conditionalFormatting>
  <conditionalFormatting sqref="U21">
    <cfRule type="cellIs" dxfId="157" priority="25" operator="lessThan">
      <formula>0</formula>
    </cfRule>
  </conditionalFormatting>
  <conditionalFormatting sqref="U24">
    <cfRule type="cellIs" dxfId="156" priority="24" operator="lessThan">
      <formula>0</formula>
    </cfRule>
  </conditionalFormatting>
  <conditionalFormatting sqref="U27">
    <cfRule type="cellIs" dxfId="155" priority="23" operator="lessThan">
      <formula>0</formula>
    </cfRule>
  </conditionalFormatting>
  <conditionalFormatting sqref="U30">
    <cfRule type="cellIs" dxfId="154" priority="22" operator="lessThan">
      <formula>0</formula>
    </cfRule>
  </conditionalFormatting>
  <conditionalFormatting sqref="U33">
    <cfRule type="cellIs" dxfId="153" priority="21" operator="lessThan">
      <formula>0</formula>
    </cfRule>
  </conditionalFormatting>
  <conditionalFormatting sqref="U36">
    <cfRule type="cellIs" dxfId="152" priority="20" operator="lessThan">
      <formula>0</formula>
    </cfRule>
  </conditionalFormatting>
  <conditionalFormatting sqref="U39">
    <cfRule type="cellIs" dxfId="151" priority="19" operator="lessThan">
      <formula>0</formula>
    </cfRule>
  </conditionalFormatting>
  <conditionalFormatting sqref="U42">
    <cfRule type="cellIs" dxfId="150" priority="18" operator="lessThan">
      <formula>0</formula>
    </cfRule>
  </conditionalFormatting>
  <conditionalFormatting sqref="U45">
    <cfRule type="cellIs" dxfId="149" priority="17" operator="lessThan">
      <formula>0</formula>
    </cfRule>
  </conditionalFormatting>
  <conditionalFormatting sqref="U48">
    <cfRule type="cellIs" dxfId="148" priority="16" operator="lessThan">
      <formula>0</formula>
    </cfRule>
  </conditionalFormatting>
  <conditionalFormatting sqref="U51">
    <cfRule type="cellIs" dxfId="147" priority="15" operator="lessThan">
      <formula>0</formula>
    </cfRule>
  </conditionalFormatting>
  <conditionalFormatting sqref="U54">
    <cfRule type="cellIs" dxfId="146" priority="14" operator="lessThan">
      <formula>0</formula>
    </cfRule>
  </conditionalFormatting>
  <conditionalFormatting sqref="U57">
    <cfRule type="cellIs" dxfId="145" priority="13" operator="lessThan">
      <formula>0</formula>
    </cfRule>
  </conditionalFormatting>
  <conditionalFormatting sqref="U60">
    <cfRule type="cellIs" dxfId="144" priority="12" operator="lessThan">
      <formula>0</formula>
    </cfRule>
  </conditionalFormatting>
  <conditionalFormatting sqref="U63">
    <cfRule type="cellIs" dxfId="143" priority="11" operator="lessThan">
      <formula>0</formula>
    </cfRule>
  </conditionalFormatting>
  <conditionalFormatting sqref="U66">
    <cfRule type="cellIs" dxfId="142" priority="10" operator="lessThan">
      <formula>0</formula>
    </cfRule>
  </conditionalFormatting>
  <conditionalFormatting sqref="U69">
    <cfRule type="cellIs" dxfId="141" priority="9" operator="lessThan">
      <formula>0</formula>
    </cfRule>
  </conditionalFormatting>
  <conditionalFormatting sqref="U72">
    <cfRule type="cellIs" dxfId="140" priority="8" operator="lessThan">
      <formula>0</formula>
    </cfRule>
  </conditionalFormatting>
  <conditionalFormatting sqref="U75">
    <cfRule type="cellIs" dxfId="139" priority="7" operator="lessThan">
      <formula>0</formula>
    </cfRule>
  </conditionalFormatting>
  <conditionalFormatting sqref="U78">
    <cfRule type="cellIs" dxfId="138" priority="6" operator="lessThan">
      <formula>0</formula>
    </cfRule>
  </conditionalFormatting>
  <conditionalFormatting sqref="U81">
    <cfRule type="cellIs" dxfId="137" priority="5" operator="lessThan">
      <formula>0</formula>
    </cfRule>
  </conditionalFormatting>
  <conditionalFormatting sqref="U84">
    <cfRule type="cellIs" dxfId="136" priority="4" operator="lessThan">
      <formula>0</formula>
    </cfRule>
  </conditionalFormatting>
  <conditionalFormatting sqref="U87">
    <cfRule type="cellIs" dxfId="135" priority="3" operator="lessThan">
      <formula>0</formula>
    </cfRule>
  </conditionalFormatting>
  <conditionalFormatting sqref="U90">
    <cfRule type="cellIs" dxfId="134" priority="2" operator="lessThan">
      <formula>0</formula>
    </cfRule>
  </conditionalFormatting>
  <conditionalFormatting sqref="U93">
    <cfRule type="cellIs" dxfId="133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42466-01E1-454A-91B7-03491C4EBA3D}">
  <sheetPr codeName="Sheet31">
    <tabColor rgb="FF00B050"/>
    <outlinePr summaryBelow="0" summaryRight="0"/>
    <pageSetUpPr fitToPage="1"/>
  </sheetPr>
  <dimension ref="A1:V136"/>
  <sheetViews>
    <sheetView showZeros="0" view="pageBreakPreview" zoomScaleNormal="100" zoomScaleSheetLayoutView="100" workbookViewId="0">
      <pane ySplit="5" topLeftCell="A120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"&amp;UPPER(VLOOKUP($F$3,DM_CKDH!$B$4:$E$20,2,0))&amp;" - Mã CK:"&amp;F3</f>
        <v>BẢNG DIẾN GIẢI KHỐI LƯỢNG CẤU KIỆN ĐIỂN HÌNH  - BỂ PCCC &amp; SH - Mã CK:S33.12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317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51" collapsed="1">
      <c r="A6" s="6"/>
      <c r="B6" s="174">
        <v>1</v>
      </c>
      <c r="C6" s="175"/>
      <c r="D6" s="261" t="str">
        <f>VLOOKUP(B6,$C$101:$E$118,2,0)</f>
        <v>ID-004</v>
      </c>
      <c r="E6" s="211" cm="1">
        <f t="array" ref="E6:I6">(_xlfn.XLOOKUP($D6,'B-1. THKL THEO ID'!$B:$B,('B-1. THKL THEO ID'!C:G),"N/A",0))</f>
        <v>0</v>
      </c>
      <c r="F6" s="211" t="str">
        <v>BOQ-004</v>
      </c>
      <c r="G6" s="211">
        <v>0</v>
      </c>
      <c r="H6" s="183" t="str">
        <v>Ván Khuôn gỗ bê tông lót móng (đài, giằng, sàn, hố bơm, rãnh nước, bê phốt)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VLOOKUP(B9,$C$101:$E$118,2,0)</f>
        <v>ID-004A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gỗ bê tông lót đài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34" collapsed="1">
      <c r="A12" s="6"/>
      <c r="B12" s="174">
        <v>3</v>
      </c>
      <c r="C12" s="175"/>
      <c r="D12" s="261" t="str">
        <f>VLOOKUP(B12,$C$101:$E$118,2,0)</f>
        <v>ID-004B</v>
      </c>
      <c r="E12" s="211" t="str" cm="1">
        <f t="array" ref="E12:I12">(_xlfn.XLOOKUP($D12,'B-1. THKL THEO ID'!$B:$B,('B-1. THKL THEO ID'!C:G),"N/A",0))</f>
        <v>CBS</v>
      </c>
      <c r="F12" s="211">
        <v>0</v>
      </c>
      <c r="G12" s="211">
        <v>0</v>
      </c>
      <c r="H12" s="183" t="str">
        <v>Ván Khuôn gỗ bê tông lót giằng, sàn nền, rãnh nước</v>
      </c>
      <c r="I12" s="208" t="str">
        <v>m2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VLOOKUP(B15,$C$101:$E$118,2,0)</f>
        <v>ID-005</v>
      </c>
      <c r="E15" s="211" t="str" cm="1">
        <f t="array" ref="E15:I15">(_xlfn.XLOOKUP($D15,'B-1. THKL THEO ID'!$B:$B,('B-1. THKL THEO ID'!C:G),"N/A",0))</f>
        <v>CBS</v>
      </c>
      <c r="F15" s="211" t="str">
        <v>BOQ-005</v>
      </c>
      <c r="G15" s="211">
        <v>0</v>
      </c>
      <c r="H15" s="183" t="str">
        <v>Bê tông lót móng M100</v>
      </c>
      <c r="I15" s="208" t="str">
        <v>m3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51" collapsed="1">
      <c r="A18" s="6"/>
      <c r="B18" s="174">
        <v>5</v>
      </c>
      <c r="C18" s="175"/>
      <c r="D18" s="261" t="str">
        <f>VLOOKUP(B18,$C$101:$E$118,2,0)</f>
        <v>ID-006</v>
      </c>
      <c r="E18" s="211" cm="1">
        <f t="array" ref="E18:I18">(_xlfn.XLOOKUP($D18,'B-1. THKL THEO ID'!$B:$B,('B-1. THKL THEO ID'!C:G),"N/A",0))</f>
        <v>0</v>
      </c>
      <c r="F18" s="211" t="str">
        <v>BOQ-006</v>
      </c>
      <c r="G18" s="211">
        <v>0</v>
      </c>
      <c r="H18" s="183" t="str">
        <v>Ván khuôn kim loại bê tông móng (đài, giằng, sàn, hố bơm, rãnh nước, bê phốt)</v>
      </c>
      <c r="I18" s="208" t="str">
        <v>100m2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17" collapsed="1">
      <c r="A21" s="6"/>
      <c r="B21" s="174">
        <v>6</v>
      </c>
      <c r="C21" s="175"/>
      <c r="D21" s="261" t="str">
        <f>VLOOKUP(B21,$C$101:$E$118,2,0)</f>
        <v>ID-006A</v>
      </c>
      <c r="E21" s="211" t="str" cm="1">
        <f t="array" ref="E21:I21">(_xlfn.XLOOKUP($D21,'B-1. THKL THEO ID'!$B:$B,('B-1. THKL THEO ID'!C:G),"N/A",0))</f>
        <v>CBS</v>
      </c>
      <c r="F21" s="211">
        <v>0</v>
      </c>
      <c r="G21" s="211">
        <v>0</v>
      </c>
      <c r="H21" s="183" t="str">
        <v>Ván khuôn gỗ ép bê tông đài móng</v>
      </c>
      <c r="I21" s="208" t="str">
        <v>m2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34" collapsed="1">
      <c r="A24" s="6"/>
      <c r="B24" s="174">
        <v>7</v>
      </c>
      <c r="C24" s="175"/>
      <c r="D24" s="261" t="str">
        <f>VLOOKUP(B24,$C$101:$E$118,2,0)</f>
        <v>ID-006B</v>
      </c>
      <c r="E24" s="211" t="str" cm="1">
        <f t="array" ref="E24:I24">(_xlfn.XLOOKUP($D24,'B-1. THKL THEO ID'!$B:$B,('B-1. THKL THEO ID'!C:G),"N/A",0))</f>
        <v>CBS</v>
      </c>
      <c r="F24" s="211">
        <v>0</v>
      </c>
      <c r="G24" s="211">
        <v>0</v>
      </c>
      <c r="H24" s="183" t="str">
        <v>Ván khuôn gỗ ép bê tông giằng, sàn, rãnh nước</v>
      </c>
      <c r="I24" s="208" t="str">
        <v>m2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17" collapsed="1">
      <c r="A27" s="6"/>
      <c r="B27" s="174">
        <v>8</v>
      </c>
      <c r="C27" s="175"/>
      <c r="D27" s="261" t="str">
        <f>VLOOKUP(B27,$C$101:$E$118,2,0)</f>
        <v>ID-007A</v>
      </c>
      <c r="E27" s="211" cm="1">
        <f t="array" ref="E27:I27">(_xlfn.XLOOKUP($D27,'B-1. THKL THEO ID'!$B:$B,('B-1. THKL THEO ID'!C:G),"N/A",0))</f>
        <v>0</v>
      </c>
      <c r="F27" s="211" t="str">
        <v>BOQ-007</v>
      </c>
      <c r="G27" s="211">
        <v>0</v>
      </c>
      <c r="H27" s="183" t="str">
        <v>Thép móng D&lt;=10</v>
      </c>
      <c r="I27" s="208" t="str">
        <v>tấn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209">
        <f>SUBTOTAL(9,U28:U29)</f>
        <v>0</v>
      </c>
      <c r="V27" s="177"/>
    </row>
    <row r="28" spans="1:22" s="2" customFormat="1" ht="16" hidden="1" outlineLevel="1">
      <c r="A28" s="6"/>
      <c r="B28" s="179"/>
      <c r="C28" s="180"/>
      <c r="D28" s="239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262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1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17" collapsed="1">
      <c r="A30" s="6"/>
      <c r="B30" s="174">
        <v>9</v>
      </c>
      <c r="C30" s="175"/>
      <c r="D30" s="261" t="str">
        <f>VLOOKUP(B30,$C$101:$E$118,2,0)</f>
        <v>ID-007B</v>
      </c>
      <c r="E30" s="211" cm="1">
        <f t="array" ref="E30:I30">(_xlfn.XLOOKUP($D30,'B-1. THKL THEO ID'!$B:$B,('B-1. THKL THEO ID'!C:G),"N/A",0))</f>
        <v>0</v>
      </c>
      <c r="F30" s="211" t="str">
        <v>BOQ-008</v>
      </c>
      <c r="G30" s="211">
        <v>0</v>
      </c>
      <c r="H30" s="183" t="str">
        <v>Thép móng D&lt;=18</v>
      </c>
      <c r="I30" s="208" t="str">
        <v>tấn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7" collapsed="1">
      <c r="A33" s="6"/>
      <c r="B33" s="174">
        <v>10</v>
      </c>
      <c r="C33" s="175"/>
      <c r="D33" s="261" t="str">
        <f>VLOOKUP(B33,$C$101:$E$118,2,0)</f>
        <v>ID-007C</v>
      </c>
      <c r="E33" s="211" cm="1">
        <f t="array" ref="E33:I33">(_xlfn.XLOOKUP($D33,'B-1. THKL THEO ID'!$B:$B,('B-1. THKL THEO ID'!C:G),"N/A",0))</f>
        <v>0</v>
      </c>
      <c r="F33" s="211" t="str">
        <v>BOQ-009</v>
      </c>
      <c r="G33" s="211">
        <v>0</v>
      </c>
      <c r="H33" s="183" t="str">
        <v>Thép móng D&gt;18</v>
      </c>
      <c r="I33" s="208" t="str">
        <v>tấn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209">
        <f>SUBTOTAL(9,U34:U35)</f>
        <v>0</v>
      </c>
      <c r="V33" s="177"/>
    </row>
    <row r="34" spans="1:22" s="2" customFormat="1" ht="16" hidden="1" outlineLevel="1">
      <c r="A34" s="6"/>
      <c r="B34" s="179"/>
      <c r="C34" s="180"/>
      <c r="D34" s="239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262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1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17" collapsed="1">
      <c r="A36" s="6"/>
      <c r="B36" s="174">
        <v>11</v>
      </c>
      <c r="C36" s="175"/>
      <c r="D36" s="261" t="str">
        <f>VLOOKUP(B36,$C$101:$E$118,2,0)</f>
        <v>ID-007</v>
      </c>
      <c r="E36" s="211" t="str" cm="1">
        <f t="array" ref="E36:I36">(_xlfn.XLOOKUP($D36,'B-1. THKL THEO ID'!$B:$B,('B-1. THKL THEO ID'!C:G),"N/A",0))</f>
        <v>CBS</v>
      </c>
      <c r="F36" s="211">
        <v>0</v>
      </c>
      <c r="G36" s="211">
        <v>0</v>
      </c>
      <c r="H36" s="183" t="str">
        <v>Thép móng full ( kg)</v>
      </c>
      <c r="I36" s="208" t="str">
        <v>kg</v>
      </c>
      <c r="J36" s="174"/>
      <c r="K36" s="174"/>
      <c r="L36" s="174"/>
      <c r="M36" s="176"/>
      <c r="N36" s="174"/>
      <c r="O36" s="177"/>
      <c r="P36" s="177"/>
      <c r="Q36" s="177"/>
      <c r="R36" s="178">
        <f>SUBTOTAL(9,R37:R38)</f>
        <v>0</v>
      </c>
      <c r="S36" s="177"/>
      <c r="T36" s="177"/>
      <c r="U36" s="209">
        <f>SUBTOTAL(9,U37:U38)</f>
        <v>0</v>
      </c>
      <c r="V36" s="177"/>
    </row>
    <row r="37" spans="1:22" s="2" customFormat="1" ht="16" hidden="1" outlineLevel="1">
      <c r="A37" s="6"/>
      <c r="B37" s="179"/>
      <c r="C37" s="180"/>
      <c r="D37" s="239"/>
      <c r="E37" s="213"/>
      <c r="F37" s="212"/>
      <c r="G37" s="212"/>
      <c r="H37" s="184"/>
      <c r="I37" s="179"/>
      <c r="J37" s="179"/>
      <c r="K37" s="179"/>
      <c r="L37" s="179"/>
      <c r="M37" s="179"/>
      <c r="N37" s="179"/>
      <c r="O37" s="179"/>
      <c r="P37" s="179"/>
      <c r="Q37" s="179"/>
      <c r="R37" s="262"/>
      <c r="S37" s="179"/>
      <c r="T37" s="179"/>
      <c r="U37" s="179"/>
      <c r="V37" s="179"/>
    </row>
    <row r="38" spans="1:22" s="2" customFormat="1" ht="16" hidden="1" outlineLevel="1">
      <c r="A38" s="6"/>
      <c r="B38" s="181"/>
      <c r="C38" s="182"/>
      <c r="D38" s="181"/>
      <c r="E38" s="215"/>
      <c r="F38" s="214"/>
      <c r="G38" s="214"/>
      <c r="H38" s="185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s="2" customFormat="1" ht="17" collapsed="1">
      <c r="A39" s="6"/>
      <c r="B39" s="174">
        <v>12</v>
      </c>
      <c r="C39" s="175"/>
      <c r="D39" s="261" t="str">
        <f>VLOOKUP(B39,$C$101:$E$118,2,0)</f>
        <v>ID-008</v>
      </c>
      <c r="E39" s="211" t="str" cm="1">
        <f t="array" ref="E39:I39">(_xlfn.XLOOKUP($D39,'B-1. THKL THEO ID'!$B:$B,('B-1. THKL THEO ID'!C:G),"N/A",0))</f>
        <v>CBS</v>
      </c>
      <c r="F39" s="211" t="str">
        <v>BOQ-010</v>
      </c>
      <c r="G39" s="211">
        <v>0</v>
      </c>
      <c r="H39" s="183" t="str">
        <v>Bê tông móng M400</v>
      </c>
      <c r="I39" s="208" t="str">
        <v>m3</v>
      </c>
      <c r="J39" s="174"/>
      <c r="K39" s="174"/>
      <c r="L39" s="174"/>
      <c r="M39" s="176"/>
      <c r="N39" s="174"/>
      <c r="O39" s="177"/>
      <c r="P39" s="177"/>
      <c r="Q39" s="177"/>
      <c r="R39" s="178">
        <f>SUBTOTAL(9,R40:R41)</f>
        <v>0</v>
      </c>
      <c r="S39" s="177"/>
      <c r="T39" s="177"/>
      <c r="U39" s="209">
        <f>SUBTOTAL(9,U40:U41)</f>
        <v>0</v>
      </c>
      <c r="V39" s="177"/>
    </row>
    <row r="40" spans="1:22" s="2" customFormat="1" ht="16" hidden="1" outlineLevel="1">
      <c r="A40" s="6"/>
      <c r="B40" s="179"/>
      <c r="C40" s="180"/>
      <c r="D40" s="239"/>
      <c r="E40" s="213"/>
      <c r="F40" s="212"/>
      <c r="G40" s="212"/>
      <c r="H40" s="184"/>
      <c r="I40" s="179"/>
      <c r="J40" s="179"/>
      <c r="K40" s="179"/>
      <c r="L40" s="179"/>
      <c r="M40" s="179"/>
      <c r="N40" s="179"/>
      <c r="O40" s="179"/>
      <c r="P40" s="179"/>
      <c r="Q40" s="179"/>
      <c r="R40" s="262"/>
      <c r="S40" s="179"/>
      <c r="T40" s="179"/>
      <c r="U40" s="179"/>
      <c r="V40" s="179"/>
    </row>
    <row r="41" spans="1:22" s="2" customFormat="1" ht="16" hidden="1" outlineLevel="1">
      <c r="A41" s="6"/>
      <c r="B41" s="181"/>
      <c r="C41" s="182"/>
      <c r="D41" s="181"/>
      <c r="E41" s="215"/>
      <c r="F41" s="214"/>
      <c r="G41" s="214"/>
      <c r="H41" s="185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</row>
    <row r="42" spans="1:22" s="2" customFormat="1" ht="34" collapsed="1">
      <c r="A42" s="6"/>
      <c r="B42" s="174">
        <v>13</v>
      </c>
      <c r="C42" s="175"/>
      <c r="D42" s="261" t="str">
        <f>VLOOKUP(B42,$C$101:$E$118,2,0)</f>
        <v>ID-009</v>
      </c>
      <c r="E42" s="211" t="str" cm="1">
        <f t="array" ref="E42:I42">(_xlfn.XLOOKUP($D42,'B-1. THKL THEO ID'!$B:$B,('B-1. THKL THEO ID'!C:G),"N/A",0))</f>
        <v>CBS</v>
      </c>
      <c r="F42" s="211" t="str">
        <v>BOQ-011</v>
      </c>
      <c r="G42" s="211">
        <v>0</v>
      </c>
      <c r="H42" s="183" t="str">
        <v>Bê tông lót nền hầm M100 (giằng, sàn, hố bơm, rãnh nước, bê phốt)</v>
      </c>
      <c r="I42" s="208" t="str">
        <v>m3</v>
      </c>
      <c r="J42" s="174"/>
      <c r="K42" s="174"/>
      <c r="L42" s="174"/>
      <c r="M42" s="176"/>
      <c r="N42" s="174"/>
      <c r="O42" s="177"/>
      <c r="P42" s="177"/>
      <c r="Q42" s="177"/>
      <c r="R42" s="178">
        <f>SUBTOTAL(9,R43:R44)</f>
        <v>0</v>
      </c>
      <c r="S42" s="177"/>
      <c r="T42" s="177"/>
      <c r="U42" s="209">
        <f>SUBTOTAL(9,U43:U44)</f>
        <v>0</v>
      </c>
      <c r="V42" s="177"/>
    </row>
    <row r="43" spans="1:22" s="2" customFormat="1" ht="16" hidden="1" outlineLevel="1">
      <c r="A43" s="6"/>
      <c r="B43" s="179"/>
      <c r="C43" s="180"/>
      <c r="D43" s="239"/>
      <c r="E43" s="213"/>
      <c r="F43" s="212"/>
      <c r="G43" s="212"/>
      <c r="H43" s="184"/>
      <c r="I43" s="179"/>
      <c r="J43" s="179"/>
      <c r="K43" s="179"/>
      <c r="L43" s="179"/>
      <c r="M43" s="179"/>
      <c r="N43" s="179"/>
      <c r="O43" s="179"/>
      <c r="P43" s="179"/>
      <c r="Q43" s="179"/>
      <c r="R43" s="262"/>
      <c r="S43" s="179"/>
      <c r="T43" s="179"/>
      <c r="U43" s="179"/>
      <c r="V43" s="179"/>
    </row>
    <row r="44" spans="1:22" s="2" customFormat="1" ht="16" hidden="1" outlineLevel="1">
      <c r="A44" s="6"/>
      <c r="B44" s="181"/>
      <c r="C44" s="182"/>
      <c r="D44" s="181"/>
      <c r="E44" s="215"/>
      <c r="F44" s="214"/>
      <c r="G44" s="214"/>
      <c r="H44" s="185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</row>
    <row r="45" spans="1:22" s="2" customFormat="1" ht="34" collapsed="1">
      <c r="A45" s="6"/>
      <c r="B45" s="174">
        <v>14</v>
      </c>
      <c r="C45" s="175"/>
      <c r="D45" s="261" t="str">
        <f>VLOOKUP(B45,$C$101:$E$118,2,0)</f>
        <v>ID-010</v>
      </c>
      <c r="E45" s="211" cm="1">
        <f t="array" ref="E45:I45">(_xlfn.XLOOKUP($D45,'B-1. THKL THEO ID'!$B:$B,('B-1. THKL THEO ID'!C:G),"N/A",0))</f>
        <v>0</v>
      </c>
      <c r="F45" s="211" t="str">
        <v>BOQ-012</v>
      </c>
      <c r="G45" s="211">
        <v>0</v>
      </c>
      <c r="H45" s="183" t="str">
        <v>Thép nền hầm D&gt;10 (giằng, sàn, hố bơm, rãnh nước, bê phốt)</v>
      </c>
      <c r="I45" s="208" t="str">
        <v>tấn</v>
      </c>
      <c r="J45" s="174"/>
      <c r="K45" s="174"/>
      <c r="L45" s="174"/>
      <c r="M45" s="176"/>
      <c r="N45" s="174"/>
      <c r="O45" s="177"/>
      <c r="P45" s="177"/>
      <c r="Q45" s="177"/>
      <c r="R45" s="178">
        <f>SUBTOTAL(9,R46:R47)</f>
        <v>0</v>
      </c>
      <c r="S45" s="177"/>
      <c r="T45" s="177"/>
      <c r="U45" s="209">
        <f>SUBTOTAL(9,U46:U47)</f>
        <v>0</v>
      </c>
      <c r="V45" s="177"/>
    </row>
    <row r="46" spans="1:22" s="2" customFormat="1" ht="16" hidden="1" outlineLevel="1">
      <c r="A46" s="6"/>
      <c r="B46" s="179"/>
      <c r="C46" s="180"/>
      <c r="D46" s="239"/>
      <c r="E46" s="213"/>
      <c r="F46" s="212"/>
      <c r="G46" s="212"/>
      <c r="H46" s="184"/>
      <c r="I46" s="179"/>
      <c r="J46" s="179"/>
      <c r="K46" s="179"/>
      <c r="L46" s="179"/>
      <c r="M46" s="179"/>
      <c r="N46" s="179"/>
      <c r="O46" s="179"/>
      <c r="P46" s="179"/>
      <c r="Q46" s="179"/>
      <c r="R46" s="262"/>
      <c r="S46" s="179"/>
      <c r="T46" s="179"/>
      <c r="U46" s="179"/>
      <c r="V46" s="179"/>
    </row>
    <row r="47" spans="1:22" s="2" customFormat="1" ht="16" hidden="1" outlineLevel="1">
      <c r="A47" s="6"/>
      <c r="B47" s="181"/>
      <c r="C47" s="182"/>
      <c r="D47" s="181"/>
      <c r="E47" s="215"/>
      <c r="F47" s="214"/>
      <c r="G47" s="214"/>
      <c r="H47" s="185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</row>
    <row r="48" spans="1:22" s="2" customFormat="1" ht="34" collapsed="1">
      <c r="A48" s="6"/>
      <c r="B48" s="174">
        <v>15</v>
      </c>
      <c r="C48" s="175"/>
      <c r="D48" s="261" t="str">
        <f>VLOOKUP(B48,$C$101:$E$118,2,0)</f>
        <v>ID-010A</v>
      </c>
      <c r="E48" s="211" t="str" cm="1">
        <f t="array" ref="E48:I48">(_xlfn.XLOOKUP($D48,'B-1. THKL THEO ID'!$B:$B,('B-1. THKL THEO ID'!C:G),"N/A",0))</f>
        <v>CBS</v>
      </c>
      <c r="F48" s="211">
        <v>0</v>
      </c>
      <c r="G48" s="211">
        <v>0</v>
      </c>
      <c r="H48" s="183" t="str">
        <v>Thép nền hầm full (giằng, sàn, hố bơm, rãnh nước, bê phốt)</v>
      </c>
      <c r="I48" s="208" t="str">
        <v>kg</v>
      </c>
      <c r="J48" s="174"/>
      <c r="K48" s="174"/>
      <c r="L48" s="174"/>
      <c r="M48" s="176"/>
      <c r="N48" s="174"/>
      <c r="O48" s="177"/>
      <c r="P48" s="177"/>
      <c r="Q48" s="177"/>
      <c r="R48" s="178">
        <f>SUBTOTAL(9,R49:R50)</f>
        <v>0</v>
      </c>
      <c r="S48" s="177"/>
      <c r="T48" s="177"/>
      <c r="U48" s="209">
        <f>SUBTOTAL(9,U49:U50)</f>
        <v>0</v>
      </c>
      <c r="V48" s="177"/>
    </row>
    <row r="49" spans="1:22" s="2" customFormat="1" ht="16" hidden="1" outlineLevel="1">
      <c r="A49" s="6"/>
      <c r="B49" s="179"/>
      <c r="C49" s="180"/>
      <c r="D49" s="239"/>
      <c r="E49" s="213"/>
      <c r="F49" s="212"/>
      <c r="G49" s="212"/>
      <c r="H49" s="184"/>
      <c r="I49" s="179"/>
      <c r="J49" s="179"/>
      <c r="K49" s="179"/>
      <c r="L49" s="179"/>
      <c r="M49" s="179"/>
      <c r="N49" s="179"/>
      <c r="O49" s="179"/>
      <c r="P49" s="179"/>
      <c r="Q49" s="179"/>
      <c r="R49" s="262"/>
      <c r="S49" s="179"/>
      <c r="T49" s="179"/>
      <c r="U49" s="179"/>
      <c r="V49" s="179"/>
    </row>
    <row r="50" spans="1:22" s="2" customFormat="1" ht="16" hidden="1" outlineLevel="1">
      <c r="A50" s="6"/>
      <c r="B50" s="181"/>
      <c r="C50" s="182"/>
      <c r="D50" s="181"/>
      <c r="E50" s="215"/>
      <c r="F50" s="214"/>
      <c r="G50" s="214"/>
      <c r="H50" s="185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</row>
    <row r="51" spans="1:22" s="2" customFormat="1" ht="51" collapsed="1">
      <c r="A51" s="6"/>
      <c r="B51" s="174">
        <v>16</v>
      </c>
      <c r="C51" s="175"/>
      <c r="D51" s="261" t="str">
        <f>VLOOKUP(B51,$C$101:$E$118,2,0)</f>
        <v>ID-011</v>
      </c>
      <c r="E51" s="211" cm="1">
        <f t="array" ref="E51:I51">(_xlfn.XLOOKUP($D51,'B-1. THKL THEO ID'!$B:$B,('B-1. THKL THEO ID'!C:G),"N/A",0))</f>
        <v>0</v>
      </c>
      <c r="F51" s="211" t="str">
        <v>BOQ-013</v>
      </c>
      <c r="G51" s="211">
        <v>0</v>
      </c>
      <c r="H51" s="183" t="str">
        <v>Bê tông nền hầm M400 ( Bao gồm: giằng, sàn, rãnh nước- M400 W10; hố bơm, bể phốt M300 W10))</v>
      </c>
      <c r="I51" s="208" t="str">
        <v>m3</v>
      </c>
      <c r="J51" s="174"/>
      <c r="K51" s="174"/>
      <c r="L51" s="174"/>
      <c r="M51" s="176"/>
      <c r="N51" s="174"/>
      <c r="O51" s="177"/>
      <c r="P51" s="177"/>
      <c r="Q51" s="177"/>
      <c r="R51" s="178">
        <f>SUBTOTAL(9,R52:R53)</f>
        <v>0</v>
      </c>
      <c r="S51" s="177"/>
      <c r="T51" s="177"/>
      <c r="U51" s="209">
        <f>SUBTOTAL(9,U52:U53)</f>
        <v>0</v>
      </c>
      <c r="V51" s="177"/>
    </row>
    <row r="52" spans="1:22" s="2" customFormat="1" ht="16" hidden="1" outlineLevel="1">
      <c r="A52" s="6"/>
      <c r="B52" s="179"/>
      <c r="C52" s="180"/>
      <c r="D52" s="239"/>
      <c r="E52" s="213"/>
      <c r="F52" s="212"/>
      <c r="G52" s="212"/>
      <c r="H52" s="184"/>
      <c r="I52" s="179"/>
      <c r="J52" s="179"/>
      <c r="K52" s="179"/>
      <c r="L52" s="179"/>
      <c r="M52" s="179"/>
      <c r="N52" s="179"/>
      <c r="O52" s="179"/>
      <c r="P52" s="179"/>
      <c r="Q52" s="179"/>
      <c r="R52" s="262"/>
      <c r="S52" s="179"/>
      <c r="T52" s="179"/>
      <c r="U52" s="179"/>
      <c r="V52" s="179"/>
    </row>
    <row r="53" spans="1:22" s="2" customFormat="1" ht="16" hidden="1" outlineLevel="1">
      <c r="A53" s="6"/>
      <c r="B53" s="181"/>
      <c r="C53" s="182"/>
      <c r="D53" s="181"/>
      <c r="E53" s="215"/>
      <c r="F53" s="214"/>
      <c r="G53" s="214"/>
      <c r="H53" s="185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</row>
    <row r="54" spans="1:22" s="2" customFormat="1" ht="34" collapsed="1">
      <c r="A54" s="6"/>
      <c r="B54" s="174">
        <v>17</v>
      </c>
      <c r="C54" s="175"/>
      <c r="D54" s="261" t="str">
        <f>VLOOKUP(B54,$C$101:$E$118,2,0)</f>
        <v>ID-011A</v>
      </c>
      <c r="E54" s="211" t="str" cm="1">
        <f t="array" ref="E54:I54">(_xlfn.XLOOKUP($D54,'B-1. THKL THEO ID'!$B:$B,('B-1. THKL THEO ID'!C:G),"N/A",0))</f>
        <v>CBS</v>
      </c>
      <c r="F54" s="211">
        <v>0</v>
      </c>
      <c r="G54" s="211">
        <v>0</v>
      </c>
      <c r="H54" s="183" t="str">
        <v>Bê tông giằng, sàn, rãnh nước hầm M400 cấp chống thấm W10</v>
      </c>
      <c r="I54" s="208" t="str">
        <v>m3</v>
      </c>
      <c r="J54" s="174"/>
      <c r="K54" s="174"/>
      <c r="L54" s="174"/>
      <c r="M54" s="176"/>
      <c r="N54" s="174"/>
      <c r="O54" s="177"/>
      <c r="P54" s="177"/>
      <c r="Q54" s="177"/>
      <c r="R54" s="178">
        <f>SUBTOTAL(9,R55:R56)</f>
        <v>0</v>
      </c>
      <c r="S54" s="177"/>
      <c r="T54" s="177"/>
      <c r="U54" s="209">
        <f>SUBTOTAL(9,U55:U56)</f>
        <v>0</v>
      </c>
      <c r="V54" s="177"/>
    </row>
    <row r="55" spans="1:22" s="2" customFormat="1" ht="16" hidden="1" outlineLevel="1">
      <c r="A55" s="6"/>
      <c r="B55" s="179"/>
      <c r="C55" s="180"/>
      <c r="D55" s="239"/>
      <c r="E55" s="213"/>
      <c r="F55" s="212"/>
      <c r="G55" s="212"/>
      <c r="H55" s="184"/>
      <c r="I55" s="179"/>
      <c r="J55" s="179"/>
      <c r="K55" s="179"/>
      <c r="L55" s="179"/>
      <c r="M55" s="179"/>
      <c r="N55" s="179"/>
      <c r="O55" s="179"/>
      <c r="P55" s="179"/>
      <c r="Q55" s="179"/>
      <c r="R55" s="262"/>
      <c r="S55" s="179"/>
      <c r="T55" s="179"/>
      <c r="U55" s="179"/>
      <c r="V55" s="179"/>
    </row>
    <row r="56" spans="1:22" s="2" customFormat="1" ht="16" hidden="1" outlineLevel="1">
      <c r="A56" s="6"/>
      <c r="B56" s="181"/>
      <c r="C56" s="182"/>
      <c r="D56" s="181"/>
      <c r="E56" s="215"/>
      <c r="F56" s="214"/>
      <c r="G56" s="214"/>
      <c r="H56" s="185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181"/>
    </row>
    <row r="57" spans="1:22" s="2" customFormat="1" ht="34" collapsed="1">
      <c r="A57" s="6"/>
      <c r="B57" s="174">
        <v>18</v>
      </c>
      <c r="C57" s="175"/>
      <c r="D57" s="261" t="str">
        <f>VLOOKUP(B57,$C$101:$E$118,2,0)</f>
        <v>ID-012</v>
      </c>
      <c r="E57" s="211" cm="1">
        <f t="array" ref="E57:I57">(_xlfn.XLOOKUP($D57,'B-1. THKL THEO ID'!$B:$B,('B-1. THKL THEO ID'!C:G),"N/A",0))</f>
        <v>0</v>
      </c>
      <c r="F57" s="211" t="str">
        <v>BOQ-014</v>
      </c>
      <c r="G57" s="211">
        <v>0</v>
      </c>
      <c r="H57" s="183" t="str">
        <v>Ván khuôn tường tầng hầm ( Bao gồm cả vách bể)</v>
      </c>
      <c r="I57" s="208" t="str">
        <v>100m2</v>
      </c>
      <c r="J57" s="174"/>
      <c r="K57" s="174"/>
      <c r="L57" s="174"/>
      <c r="M57" s="176"/>
      <c r="N57" s="174"/>
      <c r="O57" s="177"/>
      <c r="P57" s="177"/>
      <c r="Q57" s="177"/>
      <c r="R57" s="178">
        <f>SUBTOTAL(9,R58:R59)</f>
        <v>0</v>
      </c>
      <c r="S57" s="177"/>
      <c r="T57" s="177"/>
      <c r="U57" s="209">
        <f>SUBTOTAL(9,U58:U59)</f>
        <v>0</v>
      </c>
      <c r="V57" s="177"/>
    </row>
    <row r="58" spans="1:22" s="2" customFormat="1" ht="16" hidden="1" outlineLevel="1">
      <c r="A58" s="6"/>
      <c r="B58" s="179"/>
      <c r="C58" s="180"/>
      <c r="D58" s="239"/>
      <c r="E58" s="213"/>
      <c r="F58" s="212"/>
      <c r="G58" s="212"/>
      <c r="H58" s="184"/>
      <c r="I58" s="179"/>
      <c r="J58" s="179"/>
      <c r="K58" s="179"/>
      <c r="L58" s="179"/>
      <c r="M58" s="179"/>
      <c r="N58" s="179"/>
      <c r="O58" s="179"/>
      <c r="P58" s="179"/>
      <c r="Q58" s="179"/>
      <c r="R58" s="262"/>
      <c r="S58" s="179"/>
      <c r="T58" s="179"/>
      <c r="U58" s="179"/>
      <c r="V58" s="179"/>
    </row>
    <row r="59" spans="1:22" s="2" customFormat="1" ht="16" hidden="1" outlineLevel="1">
      <c r="A59" s="6"/>
      <c r="B59" s="181"/>
      <c r="C59" s="182"/>
      <c r="D59" s="181"/>
      <c r="E59" s="215"/>
      <c r="F59" s="214"/>
      <c r="G59" s="214"/>
      <c r="H59" s="185"/>
      <c r="I59" s="181"/>
      <c r="J59" s="181"/>
      <c r="K59" s="181"/>
      <c r="L59" s="181"/>
      <c r="M59" s="181"/>
      <c r="N59" s="181"/>
      <c r="O59" s="181"/>
      <c r="P59" s="181"/>
      <c r="Q59" s="181"/>
      <c r="R59" s="181"/>
      <c r="S59" s="181"/>
      <c r="T59" s="181"/>
      <c r="U59" s="181"/>
      <c r="V59" s="181"/>
    </row>
    <row r="60" spans="1:22" s="2" customFormat="1" ht="34" collapsed="1">
      <c r="A60" s="6"/>
      <c r="B60" s="174">
        <v>19</v>
      </c>
      <c r="C60" s="175"/>
      <c r="D60" s="261" t="str">
        <f>VLOOKUP(B60,$C$101:$E$136,2,0)</f>
        <v>ID-012B</v>
      </c>
      <c r="E60" s="211" t="str" cm="1">
        <f t="array" ref="E60:I60">(_xlfn.XLOOKUP($D60,'B-1. THKL THEO ID'!$B:$B,('B-1. THKL THEO ID'!C:G),"N/A",0))</f>
        <v>CBS</v>
      </c>
      <c r="F60" s="211">
        <v>0</v>
      </c>
      <c r="G60" s="211">
        <v>0</v>
      </c>
      <c r="H60" s="183" t="str">
        <v xml:space="preserve">Ván khuôn tường trong vách ngăn tầng hầm </v>
      </c>
      <c r="I60" s="208" t="str">
        <v>m2</v>
      </c>
      <c r="J60" s="174"/>
      <c r="K60" s="174"/>
      <c r="L60" s="174"/>
      <c r="M60" s="176"/>
      <c r="N60" s="174"/>
      <c r="O60" s="177"/>
      <c r="P60" s="177"/>
      <c r="Q60" s="177"/>
      <c r="R60" s="178">
        <f>SUBTOTAL(9,R61:R62)</f>
        <v>0</v>
      </c>
      <c r="S60" s="177"/>
      <c r="T60" s="177"/>
      <c r="U60" s="209">
        <f>SUBTOTAL(9,U61:U62)</f>
        <v>0</v>
      </c>
      <c r="V60" s="177"/>
    </row>
    <row r="61" spans="1:22" s="2" customFormat="1" ht="16" hidden="1" outlineLevel="1">
      <c r="A61" s="6"/>
      <c r="B61" s="179"/>
      <c r="C61" s="180"/>
      <c r="D61" s="239"/>
      <c r="E61" s="213"/>
      <c r="F61" s="212"/>
      <c r="G61" s="212"/>
      <c r="H61" s="184"/>
      <c r="I61" s="179"/>
      <c r="J61" s="179"/>
      <c r="K61" s="179"/>
      <c r="L61" s="179"/>
      <c r="M61" s="179"/>
      <c r="N61" s="179"/>
      <c r="O61" s="179"/>
      <c r="P61" s="179"/>
      <c r="Q61" s="179"/>
      <c r="R61" s="262"/>
      <c r="S61" s="179"/>
      <c r="T61" s="179"/>
      <c r="U61" s="179"/>
      <c r="V61" s="179"/>
    </row>
    <row r="62" spans="1:22" s="2" customFormat="1" ht="16" hidden="1" outlineLevel="1">
      <c r="A62" s="6"/>
      <c r="B62" s="181"/>
      <c r="C62" s="182"/>
      <c r="D62" s="181"/>
      <c r="E62" s="215"/>
      <c r="F62" s="214"/>
      <c r="G62" s="214"/>
      <c r="H62" s="185"/>
      <c r="I62" s="181"/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181"/>
      <c r="V62" s="181"/>
    </row>
    <row r="63" spans="1:22" s="2" customFormat="1" ht="17" collapsed="1">
      <c r="A63" s="6"/>
      <c r="B63" s="174">
        <v>20</v>
      </c>
      <c r="C63" s="175"/>
      <c r="D63" s="261" t="str">
        <f>VLOOKUP(B63,$C$101:$E$136,2,0)</f>
        <v>ID-013A</v>
      </c>
      <c r="E63" s="211" cm="1">
        <f t="array" ref="E63:I63">(_xlfn.XLOOKUP($D63,'B-1. THKL THEO ID'!$B:$B,('B-1. THKL THEO ID'!C:G),"N/A",0))</f>
        <v>0</v>
      </c>
      <c r="F63" s="211" t="str">
        <v>BOQ-015</v>
      </c>
      <c r="G63" s="211">
        <v>0</v>
      </c>
      <c r="H63" s="183" t="str">
        <v>Thép tường tầng hầm D&lt;=10</v>
      </c>
      <c r="I63" s="208" t="str">
        <v>tấn</v>
      </c>
      <c r="J63" s="174"/>
      <c r="K63" s="174"/>
      <c r="L63" s="174"/>
      <c r="M63" s="176"/>
      <c r="N63" s="174"/>
      <c r="O63" s="177"/>
      <c r="P63" s="177"/>
      <c r="Q63" s="177"/>
      <c r="R63" s="178">
        <f>SUBTOTAL(9,R64:R65)</f>
        <v>0</v>
      </c>
      <c r="S63" s="177"/>
      <c r="T63" s="177"/>
      <c r="U63" s="209">
        <f>SUBTOTAL(9,U64:U65)</f>
        <v>0</v>
      </c>
      <c r="V63" s="177"/>
    </row>
    <row r="64" spans="1:22" s="2" customFormat="1" ht="16" hidden="1" outlineLevel="1">
      <c r="A64" s="6"/>
      <c r="B64" s="179"/>
      <c r="C64" s="180"/>
      <c r="D64" s="239"/>
      <c r="E64" s="213"/>
      <c r="F64" s="212"/>
      <c r="G64" s="212"/>
      <c r="H64" s="184"/>
      <c r="I64" s="179"/>
      <c r="J64" s="179"/>
      <c r="K64" s="179"/>
      <c r="L64" s="179"/>
      <c r="M64" s="179"/>
      <c r="N64" s="179"/>
      <c r="O64" s="179"/>
      <c r="P64" s="179"/>
      <c r="Q64" s="179"/>
      <c r="R64" s="262"/>
      <c r="S64" s="179"/>
      <c r="T64" s="179"/>
      <c r="U64" s="179"/>
      <c r="V64" s="179"/>
    </row>
    <row r="65" spans="1:22" s="2" customFormat="1" ht="16" hidden="1" outlineLevel="1">
      <c r="A65" s="6"/>
      <c r="B65" s="181"/>
      <c r="C65" s="182"/>
      <c r="D65" s="181"/>
      <c r="E65" s="215"/>
      <c r="F65" s="214"/>
      <c r="G65" s="214"/>
      <c r="H65" s="185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</row>
    <row r="66" spans="1:22" s="2" customFormat="1" ht="17" collapsed="1">
      <c r="A66" s="6"/>
      <c r="B66" s="174">
        <v>21</v>
      </c>
      <c r="C66" s="175"/>
      <c r="D66" s="261" t="str">
        <f>VLOOKUP(B66,$C$101:$E$136,2,0)</f>
        <v>ID-013B</v>
      </c>
      <c r="E66" s="211" cm="1">
        <f t="array" ref="E66:I66">(_xlfn.XLOOKUP($D66,'B-1. THKL THEO ID'!$B:$B,('B-1. THKL THEO ID'!C:G),"N/A",0))</f>
        <v>0</v>
      </c>
      <c r="F66" s="211" t="str">
        <v>BOQ-016</v>
      </c>
      <c r="G66" s="211">
        <v>0</v>
      </c>
      <c r="H66" s="183" t="str">
        <v>Thép tường tầng hầm D&lt;=18</v>
      </c>
      <c r="I66" s="208" t="str">
        <v>tấn</v>
      </c>
      <c r="J66" s="174"/>
      <c r="K66" s="174"/>
      <c r="L66" s="174"/>
      <c r="M66" s="176"/>
      <c r="N66" s="174"/>
      <c r="O66" s="177"/>
      <c r="P66" s="177"/>
      <c r="Q66" s="177"/>
      <c r="R66" s="178">
        <f>SUBTOTAL(9,R67:R68)</f>
        <v>0</v>
      </c>
      <c r="S66" s="177"/>
      <c r="T66" s="177"/>
      <c r="U66" s="209">
        <f>SUBTOTAL(9,U67:U68)</f>
        <v>0</v>
      </c>
      <c r="V66" s="177"/>
    </row>
    <row r="67" spans="1:22" s="2" customFormat="1" ht="16" hidden="1" outlineLevel="1">
      <c r="A67" s="6"/>
      <c r="B67" s="179"/>
      <c r="C67" s="180"/>
      <c r="D67" s="239"/>
      <c r="E67" s="213"/>
      <c r="F67" s="212"/>
      <c r="G67" s="212"/>
      <c r="H67" s="184"/>
      <c r="I67" s="179"/>
      <c r="J67" s="179"/>
      <c r="K67" s="179"/>
      <c r="L67" s="179"/>
      <c r="M67" s="179"/>
      <c r="N67" s="179"/>
      <c r="O67" s="179"/>
      <c r="P67" s="179"/>
      <c r="Q67" s="179"/>
      <c r="R67" s="262"/>
      <c r="S67" s="179"/>
      <c r="T67" s="179"/>
      <c r="U67" s="179"/>
      <c r="V67" s="179"/>
    </row>
    <row r="68" spans="1:22" s="2" customFormat="1" ht="16" hidden="1" outlineLevel="1">
      <c r="A68" s="6"/>
      <c r="B68" s="181"/>
      <c r="C68" s="182"/>
      <c r="D68" s="181"/>
      <c r="E68" s="215"/>
      <c r="F68" s="214"/>
      <c r="G68" s="214"/>
      <c r="H68" s="185"/>
      <c r="I68" s="181"/>
      <c r="J68" s="181"/>
      <c r="K68" s="181"/>
      <c r="L68" s="181"/>
      <c r="M68" s="181"/>
      <c r="N68" s="181"/>
      <c r="O68" s="181"/>
      <c r="P68" s="181"/>
      <c r="Q68" s="181"/>
      <c r="R68" s="181"/>
      <c r="S68" s="181"/>
      <c r="T68" s="181"/>
      <c r="U68" s="181"/>
      <c r="V68" s="181"/>
    </row>
    <row r="69" spans="1:22" s="2" customFormat="1" ht="17" collapsed="1">
      <c r="A69" s="6"/>
      <c r="B69" s="174">
        <v>22</v>
      </c>
      <c r="C69" s="175"/>
      <c r="D69" s="261" t="str">
        <f>VLOOKUP(B69,$C$101:$E$136,2,0)</f>
        <v>ID-013</v>
      </c>
      <c r="E69" s="211" t="str" cm="1">
        <f t="array" ref="E69:I69">(_xlfn.XLOOKUP($D69,'B-1. THKL THEO ID'!$B:$B,('B-1. THKL THEO ID'!C:G),"N/A",0))</f>
        <v>CBS</v>
      </c>
      <c r="F69" s="211">
        <v>0</v>
      </c>
      <c r="G69" s="211">
        <v>0</v>
      </c>
      <c r="H69" s="183" t="str">
        <v>thép tường tầng hầm full (kg)</v>
      </c>
      <c r="I69" s="208" t="str">
        <v>kg</v>
      </c>
      <c r="J69" s="174"/>
      <c r="K69" s="174"/>
      <c r="L69" s="174"/>
      <c r="M69" s="176"/>
      <c r="N69" s="174"/>
      <c r="O69" s="177"/>
      <c r="P69" s="177"/>
      <c r="Q69" s="177"/>
      <c r="R69" s="178">
        <f>SUBTOTAL(9,R70:R71)</f>
        <v>0</v>
      </c>
      <c r="S69" s="177"/>
      <c r="T69" s="177"/>
      <c r="U69" s="209">
        <f>SUBTOTAL(9,U70:U71)</f>
        <v>0</v>
      </c>
      <c r="V69" s="177"/>
    </row>
    <row r="70" spans="1:22" s="2" customFormat="1" ht="16" hidden="1" outlineLevel="1">
      <c r="A70" s="6"/>
      <c r="B70" s="179"/>
      <c r="C70" s="180"/>
      <c r="D70" s="239"/>
      <c r="E70" s="213"/>
      <c r="F70" s="212"/>
      <c r="G70" s="212"/>
      <c r="H70" s="184"/>
      <c r="I70" s="179"/>
      <c r="J70" s="179"/>
      <c r="K70" s="179"/>
      <c r="L70" s="179"/>
      <c r="M70" s="179"/>
      <c r="N70" s="179"/>
      <c r="O70" s="179"/>
      <c r="P70" s="179"/>
      <c r="Q70" s="179"/>
      <c r="R70" s="262"/>
      <c r="S70" s="179"/>
      <c r="T70" s="179"/>
      <c r="U70" s="179"/>
      <c r="V70" s="179"/>
    </row>
    <row r="71" spans="1:22" s="2" customFormat="1" ht="16" hidden="1" outlineLevel="1">
      <c r="A71" s="6"/>
      <c r="B71" s="181"/>
      <c r="C71" s="182"/>
      <c r="D71" s="181"/>
      <c r="E71" s="215"/>
      <c r="F71" s="214"/>
      <c r="G71" s="214"/>
      <c r="H71" s="185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</row>
    <row r="72" spans="1:22" s="2" customFormat="1" ht="51" collapsed="1">
      <c r="A72" s="6"/>
      <c r="B72" s="174">
        <v>23</v>
      </c>
      <c r="C72" s="175"/>
      <c r="D72" s="261" t="str">
        <f>VLOOKUP(B72,$C$101:$E$136,2,0)</f>
        <v>ID-014</v>
      </c>
      <c r="E72" s="211" cm="1">
        <f t="array" ref="E72:I72">(_xlfn.XLOOKUP($D72,'B-1. THKL THEO ID'!$B:$B,('B-1. THKL THEO ID'!C:G),"N/A",0))</f>
        <v>0</v>
      </c>
      <c r="F72" s="211" t="str">
        <v>BOQ-017</v>
      </c>
      <c r="G72" s="211">
        <v>0</v>
      </c>
      <c r="H72" s="183" t="str">
        <v>Bê tông tường tầng hầm M400 (Bao gồm: Vách bao hầm M500 W10; Vách bể M400 W10)</v>
      </c>
      <c r="I72" s="208" t="str">
        <v>m3</v>
      </c>
      <c r="J72" s="174"/>
      <c r="K72" s="174"/>
      <c r="L72" s="174"/>
      <c r="M72" s="176"/>
      <c r="N72" s="174"/>
      <c r="O72" s="177"/>
      <c r="P72" s="177"/>
      <c r="Q72" s="177"/>
      <c r="R72" s="178">
        <f>SUBTOTAL(9,R73:R74)</f>
        <v>0</v>
      </c>
      <c r="S72" s="177"/>
      <c r="T72" s="177"/>
      <c r="U72" s="209">
        <f>SUBTOTAL(9,U73:U74)</f>
        <v>0</v>
      </c>
      <c r="V72" s="177"/>
    </row>
    <row r="73" spans="1:22" s="2" customFormat="1" ht="16" hidden="1" outlineLevel="1">
      <c r="A73" s="6"/>
      <c r="B73" s="179"/>
      <c r="C73" s="180"/>
      <c r="D73" s="239"/>
      <c r="E73" s="213"/>
      <c r="F73" s="212"/>
      <c r="G73" s="212"/>
      <c r="H73" s="184"/>
      <c r="I73" s="179"/>
      <c r="J73" s="179"/>
      <c r="K73" s="179"/>
      <c r="L73" s="179"/>
      <c r="M73" s="179"/>
      <c r="N73" s="179"/>
      <c r="O73" s="179"/>
      <c r="P73" s="179"/>
      <c r="Q73" s="179"/>
      <c r="R73" s="262"/>
      <c r="S73" s="179"/>
      <c r="T73" s="179"/>
      <c r="U73" s="179"/>
      <c r="V73" s="179"/>
    </row>
    <row r="74" spans="1:22" s="2" customFormat="1" ht="16" hidden="1" outlineLevel="1">
      <c r="A74" s="6"/>
      <c r="B74" s="181"/>
      <c r="C74" s="182"/>
      <c r="D74" s="181"/>
      <c r="E74" s="215"/>
      <c r="F74" s="214"/>
      <c r="G74" s="214"/>
      <c r="H74" s="185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181"/>
      <c r="V74" s="181"/>
    </row>
    <row r="75" spans="1:22" s="2" customFormat="1" ht="34" collapsed="1">
      <c r="A75" s="6"/>
      <c r="B75" s="174">
        <v>24</v>
      </c>
      <c r="C75" s="175"/>
      <c r="D75" s="261" t="str">
        <f>VLOOKUP(B75,$C$101:$E$136,2,0)</f>
        <v>ID-014B</v>
      </c>
      <c r="E75" s="211" t="str" cm="1">
        <f t="array" ref="E75:I75">(_xlfn.XLOOKUP($D75,'B-1. THKL THEO ID'!$B:$B,('B-1. THKL THEO ID'!C:G),"N/A",0))</f>
        <v>CBS</v>
      </c>
      <c r="F75" s="211">
        <v>0</v>
      </c>
      <c r="G75" s="211">
        <v>0</v>
      </c>
      <c r="H75" s="183" t="str">
        <v>Bê tông vách bể tầng hầm M400 cấp chống thấm W10</v>
      </c>
      <c r="I75" s="208" t="str">
        <v>m3</v>
      </c>
      <c r="J75" s="174"/>
      <c r="K75" s="174"/>
      <c r="L75" s="174"/>
      <c r="M75" s="176"/>
      <c r="N75" s="174"/>
      <c r="O75" s="177"/>
      <c r="P75" s="177"/>
      <c r="Q75" s="177"/>
      <c r="R75" s="178">
        <f>SUBTOTAL(9,R76:R77)</f>
        <v>0</v>
      </c>
      <c r="S75" s="177"/>
      <c r="T75" s="177"/>
      <c r="U75" s="209">
        <f>SUBTOTAL(9,U76:U77)</f>
        <v>0</v>
      </c>
      <c r="V75" s="177"/>
    </row>
    <row r="76" spans="1:22" s="2" customFormat="1" ht="16" hidden="1" outlineLevel="1">
      <c r="A76" s="6"/>
      <c r="B76" s="179"/>
      <c r="C76" s="180"/>
      <c r="D76" s="239"/>
      <c r="E76" s="213"/>
      <c r="F76" s="212"/>
      <c r="G76" s="212"/>
      <c r="H76" s="184"/>
      <c r="I76" s="179"/>
      <c r="J76" s="179"/>
      <c r="K76" s="179"/>
      <c r="L76" s="179"/>
      <c r="M76" s="179"/>
      <c r="N76" s="179"/>
      <c r="O76" s="179"/>
      <c r="P76" s="179"/>
      <c r="Q76" s="179"/>
      <c r="R76" s="262"/>
      <c r="S76" s="179"/>
      <c r="T76" s="179"/>
      <c r="U76" s="179"/>
      <c r="V76" s="179"/>
    </row>
    <row r="77" spans="1:22" s="2" customFormat="1" ht="16" hidden="1" outlineLevel="1">
      <c r="A77" s="6"/>
      <c r="B77" s="181"/>
      <c r="C77" s="182"/>
      <c r="D77" s="181"/>
      <c r="E77" s="215"/>
      <c r="F77" s="214"/>
      <c r="G77" s="214"/>
      <c r="H77" s="185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</row>
    <row r="78" spans="1:22" s="2" customFormat="1" ht="17" collapsed="1">
      <c r="A78" s="6"/>
      <c r="B78" s="174">
        <v>25</v>
      </c>
      <c r="C78" s="175"/>
      <c r="D78" s="261" t="str">
        <f>VLOOKUP(B78,$C$101:$E$136,2,0)</f>
        <v>ID-X01</v>
      </c>
      <c r="E78" s="211" t="str" cm="1">
        <f t="array" ref="E78:I78">(_xlfn.XLOOKUP($D78,'B-1. THKL THEO ID'!$B:$B,('B-1. THKL THEO ID'!C:G),"N/A",0))</f>
        <v>CBS</v>
      </c>
      <c r="F78" s="211" t="str">
        <v>BOQ-018</v>
      </c>
      <c r="G78" s="211">
        <v>0</v>
      </c>
      <c r="H78" s="183" t="str">
        <v>Băng cản nước tường tầng hầm</v>
      </c>
      <c r="I78" s="208" t="str">
        <v>m</v>
      </c>
      <c r="J78" s="174"/>
      <c r="K78" s="174"/>
      <c r="L78" s="174"/>
      <c r="M78" s="176"/>
      <c r="N78" s="174"/>
      <c r="O78" s="177"/>
      <c r="P78" s="177"/>
      <c r="Q78" s="177"/>
      <c r="R78" s="178">
        <f>SUBTOTAL(9,R79:R80)</f>
        <v>0</v>
      </c>
      <c r="S78" s="177"/>
      <c r="T78" s="177"/>
      <c r="U78" s="209">
        <f>SUBTOTAL(9,U79:U80)</f>
        <v>0</v>
      </c>
      <c r="V78" s="177"/>
    </row>
    <row r="79" spans="1:22" s="2" customFormat="1" ht="16" hidden="1" outlineLevel="1">
      <c r="A79" s="6"/>
      <c r="B79" s="179"/>
      <c r="C79" s="180"/>
      <c r="D79" s="239"/>
      <c r="E79" s="213"/>
      <c r="F79" s="212"/>
      <c r="G79" s="212"/>
      <c r="H79" s="184"/>
      <c r="I79" s="179"/>
      <c r="J79" s="179"/>
      <c r="K79" s="179"/>
      <c r="L79" s="179"/>
      <c r="M79" s="179"/>
      <c r="N79" s="179"/>
      <c r="O79" s="179"/>
      <c r="P79" s="179"/>
      <c r="Q79" s="179"/>
      <c r="R79" s="262"/>
      <c r="S79" s="179"/>
      <c r="T79" s="179"/>
      <c r="U79" s="179"/>
      <c r="V79" s="179"/>
    </row>
    <row r="80" spans="1:22" s="2" customFormat="1" ht="16" hidden="1" outlineLevel="1">
      <c r="A80" s="6"/>
      <c r="B80" s="181"/>
      <c r="C80" s="182"/>
      <c r="D80" s="181"/>
      <c r="E80" s="215"/>
      <c r="F80" s="214"/>
      <c r="G80" s="214"/>
      <c r="H80" s="185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</row>
    <row r="81" spans="1:22" s="2" customFormat="1" ht="17" collapsed="1">
      <c r="A81" s="6"/>
      <c r="B81" s="174">
        <v>26</v>
      </c>
      <c r="C81" s="175"/>
      <c r="D81" s="261" t="str">
        <f>VLOOKUP(B81,$C$101:$E$136,2,0)</f>
        <v>ID-037</v>
      </c>
      <c r="E81" s="211" t="str" cm="1">
        <f t="array" ref="E81:I81">(_xlfn.XLOOKUP($D81,'B-1. THKL THEO ID'!$B:$B,('B-1. THKL THEO ID'!C:G),"N/A",0))</f>
        <v>CBS</v>
      </c>
      <c r="F81" s="211" t="str">
        <v>BOQ-058</v>
      </c>
      <c r="G81" s="211">
        <v>0</v>
      </c>
      <c r="H81" s="183" t="str">
        <v xml:space="preserve">Chống thấm nền hầm </v>
      </c>
      <c r="I81" s="208" t="str">
        <v>m2</v>
      </c>
      <c r="J81" s="174"/>
      <c r="K81" s="174"/>
      <c r="L81" s="174"/>
      <c r="M81" s="176"/>
      <c r="N81" s="174"/>
      <c r="O81" s="177"/>
      <c r="P81" s="177"/>
      <c r="Q81" s="177"/>
      <c r="R81" s="178">
        <f>SUBTOTAL(9,R82:R83)</f>
        <v>0</v>
      </c>
      <c r="S81" s="177"/>
      <c r="T81" s="177"/>
      <c r="U81" s="209">
        <f>SUBTOTAL(9,U82:U83)</f>
        <v>0</v>
      </c>
      <c r="V81" s="177"/>
    </row>
    <row r="82" spans="1:22" s="2" customFormat="1" ht="16" hidden="1" outlineLevel="1">
      <c r="A82" s="6"/>
      <c r="B82" s="179"/>
      <c r="C82" s="180"/>
      <c r="D82" s="239"/>
      <c r="E82" s="213"/>
      <c r="F82" s="212"/>
      <c r="G82" s="212"/>
      <c r="H82" s="184"/>
      <c r="I82" s="179"/>
      <c r="J82" s="179"/>
      <c r="K82" s="179"/>
      <c r="L82" s="179"/>
      <c r="M82" s="179"/>
      <c r="N82" s="179"/>
      <c r="O82" s="179"/>
      <c r="P82" s="179"/>
      <c r="Q82" s="179"/>
      <c r="R82" s="262"/>
      <c r="S82" s="179"/>
      <c r="T82" s="179"/>
      <c r="U82" s="179"/>
      <c r="V82" s="179"/>
    </row>
    <row r="83" spans="1:22" s="2" customFormat="1" ht="16" hidden="1" outlineLevel="1">
      <c r="A83" s="6"/>
      <c r="B83" s="181"/>
      <c r="C83" s="182"/>
      <c r="D83" s="181"/>
      <c r="E83" s="215"/>
      <c r="F83" s="214"/>
      <c r="G83" s="214"/>
      <c r="H83" s="185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</row>
    <row r="84" spans="1:22" s="2" customFormat="1" ht="17" collapsed="1">
      <c r="A84" s="6"/>
      <c r="B84" s="174">
        <v>27</v>
      </c>
      <c r="C84" s="175"/>
      <c r="D84" s="261" t="str">
        <f>VLOOKUP(B84,$C$101:$E$136,2,0)</f>
        <v>ID-039</v>
      </c>
      <c r="E84" s="211" t="str" cm="1">
        <f t="array" ref="E84:I84">(_xlfn.XLOOKUP($D84,'B-1. THKL THEO ID'!$B:$B,('B-1. THKL THEO ID'!C:G),"N/A",0))</f>
        <v>CBS</v>
      </c>
      <c r="F84" s="211" t="str">
        <v>BOQ-060</v>
      </c>
      <c r="G84" s="211">
        <v>0</v>
      </c>
      <c r="H84" s="183" t="str">
        <v xml:space="preserve">Chống mối nền hầm </v>
      </c>
      <c r="I84" s="208" t="str">
        <v>m2</v>
      </c>
      <c r="J84" s="174"/>
      <c r="K84" s="174"/>
      <c r="L84" s="174"/>
      <c r="M84" s="176"/>
      <c r="N84" s="174"/>
      <c r="O84" s="177"/>
      <c r="P84" s="177"/>
      <c r="Q84" s="177"/>
      <c r="R84" s="178">
        <f>SUBTOTAL(9,R85:R86)</f>
        <v>0</v>
      </c>
      <c r="S84" s="177"/>
      <c r="T84" s="177"/>
      <c r="U84" s="209">
        <f>SUBTOTAL(9,U85:U86)</f>
        <v>0</v>
      </c>
      <c r="V84" s="177"/>
    </row>
    <row r="85" spans="1:22" s="2" customFormat="1" ht="16" hidden="1" outlineLevel="1">
      <c r="A85" s="6"/>
      <c r="B85" s="179"/>
      <c r="C85" s="180"/>
      <c r="D85" s="239"/>
      <c r="E85" s="213"/>
      <c r="F85" s="212"/>
      <c r="G85" s="212"/>
      <c r="H85" s="184"/>
      <c r="I85" s="179"/>
      <c r="J85" s="179"/>
      <c r="K85" s="179"/>
      <c r="L85" s="179"/>
      <c r="M85" s="179"/>
      <c r="N85" s="179"/>
      <c r="O85" s="179"/>
      <c r="P85" s="179"/>
      <c r="Q85" s="179"/>
      <c r="R85" s="262"/>
      <c r="S85" s="179"/>
      <c r="T85" s="179"/>
      <c r="U85" s="179"/>
      <c r="V85" s="179"/>
    </row>
    <row r="86" spans="1:22" s="2" customFormat="1" ht="16" hidden="1" outlineLevel="1">
      <c r="A86" s="6"/>
      <c r="B86" s="181"/>
      <c r="C86" s="182"/>
      <c r="D86" s="181"/>
      <c r="E86" s="215"/>
      <c r="F86" s="214"/>
      <c r="G86" s="214"/>
      <c r="H86" s="185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181"/>
      <c r="V86" s="181"/>
    </row>
    <row r="87" spans="1:22" s="2" customFormat="1" ht="17" collapsed="1">
      <c r="A87" s="6"/>
      <c r="B87" s="174">
        <v>28</v>
      </c>
      <c r="C87" s="175"/>
      <c r="D87" s="261" t="str">
        <f>VLOOKUP(B87,$C$101:$E$136,2,0)</f>
        <v>ID-041</v>
      </c>
      <c r="E87" s="211" t="str" cm="1">
        <f t="array" ref="E87:I87">(_xlfn.XLOOKUP($D87,'B-1. THKL THEO ID'!$B:$B,('B-1. THKL THEO ID'!C:G),"N/A",0))</f>
        <v>CBS</v>
      </c>
      <c r="F87" s="211" t="str">
        <v>BOQ-062</v>
      </c>
      <c r="G87" s="211">
        <v>0</v>
      </c>
      <c r="H87" s="183" t="str">
        <v>Đập bê tông đầu cọc khoan nhồi</v>
      </c>
      <c r="I87" s="208" t="str">
        <v>m3</v>
      </c>
      <c r="J87" s="174"/>
      <c r="K87" s="174"/>
      <c r="L87" s="174"/>
      <c r="M87" s="176"/>
      <c r="N87" s="174"/>
      <c r="O87" s="177"/>
      <c r="P87" s="177"/>
      <c r="Q87" s="177"/>
      <c r="R87" s="178">
        <f>SUBTOTAL(9,R88:R89)</f>
        <v>0</v>
      </c>
      <c r="S87" s="177"/>
      <c r="T87" s="177"/>
      <c r="U87" s="209">
        <f>SUBTOTAL(9,U88:U89)</f>
        <v>0</v>
      </c>
      <c r="V87" s="177"/>
    </row>
    <row r="88" spans="1:22" s="2" customFormat="1" ht="16" hidden="1" outlineLevel="1">
      <c r="A88" s="6"/>
      <c r="B88" s="179"/>
      <c r="C88" s="180"/>
      <c r="D88" s="239"/>
      <c r="E88" s="213"/>
      <c r="F88" s="212"/>
      <c r="G88" s="212"/>
      <c r="H88" s="184"/>
      <c r="I88" s="179"/>
      <c r="J88" s="179"/>
      <c r="K88" s="179"/>
      <c r="L88" s="179"/>
      <c r="M88" s="179"/>
      <c r="N88" s="179"/>
      <c r="O88" s="179"/>
      <c r="P88" s="179"/>
      <c r="Q88" s="179"/>
      <c r="R88" s="262"/>
      <c r="S88" s="179"/>
      <c r="T88" s="179"/>
      <c r="U88" s="179"/>
      <c r="V88" s="179"/>
    </row>
    <row r="89" spans="1:22" s="2" customFormat="1" ht="16" hidden="1" outlineLevel="1">
      <c r="A89" s="6"/>
      <c r="B89" s="181"/>
      <c r="C89" s="182"/>
      <c r="D89" s="181"/>
      <c r="E89" s="215"/>
      <c r="F89" s="214"/>
      <c r="G89" s="214"/>
      <c r="H89" s="185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</row>
    <row r="90" spans="1:22" s="2" customFormat="1" ht="34" collapsed="1">
      <c r="A90" s="6"/>
      <c r="B90" s="174">
        <v>29</v>
      </c>
      <c r="C90" s="175"/>
      <c r="D90" s="261" t="str">
        <f>VLOOKUP(B90,$C$101:$E$136,2,0)</f>
        <v>ID-042</v>
      </c>
      <c r="E90" s="211" t="str" cm="1">
        <f t="array" ref="E90:I90">(_xlfn.XLOOKUP($D90,'B-1. THKL THEO ID'!$B:$B,('B-1. THKL THEO ID'!C:G),"N/A",0))</f>
        <v>CBS</v>
      </c>
      <c r="F90" s="211" t="str">
        <v>BOQ-063</v>
      </c>
      <c r="G90" s="211">
        <v>0</v>
      </c>
      <c r="H90" s="183" t="str">
        <v>Xử lý liên kết thép đầu cọc và đài móng</v>
      </c>
      <c r="I90" s="208" t="str">
        <v>cọc</v>
      </c>
      <c r="J90" s="174"/>
      <c r="K90" s="174"/>
      <c r="L90" s="174"/>
      <c r="M90" s="176"/>
      <c r="N90" s="174"/>
      <c r="O90" s="177"/>
      <c r="P90" s="177"/>
      <c r="Q90" s="177"/>
      <c r="R90" s="178">
        <f>SUBTOTAL(9,R91:R92)</f>
        <v>0</v>
      </c>
      <c r="S90" s="177"/>
      <c r="T90" s="177"/>
      <c r="U90" s="209">
        <f>SUBTOTAL(9,U91:U92)</f>
        <v>0</v>
      </c>
      <c r="V90" s="177"/>
    </row>
    <row r="91" spans="1:22" s="2" customFormat="1" ht="16" hidden="1" outlineLevel="1">
      <c r="A91" s="6"/>
      <c r="B91" s="179"/>
      <c r="C91" s="180"/>
      <c r="D91" s="239"/>
      <c r="E91" s="213"/>
      <c r="F91" s="212"/>
      <c r="G91" s="212"/>
      <c r="H91" s="184"/>
      <c r="I91" s="179"/>
      <c r="J91" s="179"/>
      <c r="K91" s="179"/>
      <c r="L91" s="179"/>
      <c r="M91" s="179"/>
      <c r="N91" s="179"/>
      <c r="O91" s="179"/>
      <c r="P91" s="179"/>
      <c r="Q91" s="179"/>
      <c r="R91" s="262"/>
      <c r="S91" s="179"/>
      <c r="T91" s="179"/>
      <c r="U91" s="179"/>
      <c r="V91" s="179"/>
    </row>
    <row r="92" spans="1:22" s="2" customFormat="1" ht="16" hidden="1" outlineLevel="1">
      <c r="A92" s="6"/>
      <c r="B92" s="181"/>
      <c r="C92" s="182"/>
      <c r="D92" s="181"/>
      <c r="E92" s="215"/>
      <c r="F92" s="214"/>
      <c r="G92" s="214"/>
      <c r="H92" s="185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</row>
    <row r="93" spans="1:22" s="2" customFormat="1" ht="17" collapsed="1">
      <c r="A93" s="6"/>
      <c r="B93" s="174">
        <v>30</v>
      </c>
      <c r="C93" s="175"/>
      <c r="D93" s="261" t="str">
        <f>VLOOKUP(B93,$C$101:$E$136,2,0)</f>
        <v>ID-044</v>
      </c>
      <c r="E93" s="211" t="str" cm="1">
        <f t="array" ref="E93:I93">(_xlfn.XLOOKUP($D93,'B-1. THKL THEO ID'!$B:$B,('B-1. THKL THEO ID'!C:G),"N/A",0))</f>
        <v>CBS</v>
      </c>
      <c r="F93" s="211" t="str">
        <v>BOQ-065</v>
      </c>
      <c r="G93" s="211">
        <v>0</v>
      </c>
      <c r="H93" s="183" t="str">
        <v>Mài hoàn thiện cột vách dầm sàn</v>
      </c>
      <c r="I93" s="208" t="str">
        <v>m2</v>
      </c>
      <c r="J93" s="174"/>
      <c r="K93" s="174"/>
      <c r="L93" s="174"/>
      <c r="M93" s="176"/>
      <c r="N93" s="174"/>
      <c r="O93" s="177"/>
      <c r="P93" s="177"/>
      <c r="Q93" s="177"/>
      <c r="R93" s="178">
        <f>SUBTOTAL(9,R94:R95)</f>
        <v>0</v>
      </c>
      <c r="S93" s="177"/>
      <c r="T93" s="177"/>
      <c r="U93" s="209">
        <f>SUBTOTAL(9,U94:U95)</f>
        <v>0</v>
      </c>
      <c r="V93" s="177"/>
    </row>
    <row r="94" spans="1:22" s="2" customFormat="1" ht="16" hidden="1" outlineLevel="1">
      <c r="A94" s="6"/>
      <c r="B94" s="179"/>
      <c r="C94" s="180"/>
      <c r="D94" s="239"/>
      <c r="E94" s="213"/>
      <c r="F94" s="212"/>
      <c r="G94" s="212"/>
      <c r="H94" s="184"/>
      <c r="I94" s="179"/>
      <c r="J94" s="179"/>
      <c r="K94" s="179"/>
      <c r="L94" s="179"/>
      <c r="M94" s="179"/>
      <c r="N94" s="179"/>
      <c r="O94" s="179"/>
      <c r="P94" s="179"/>
      <c r="Q94" s="179"/>
      <c r="R94" s="262"/>
      <c r="S94" s="179"/>
      <c r="T94" s="179"/>
      <c r="U94" s="179"/>
      <c r="V94" s="179"/>
    </row>
    <row r="95" spans="1:22" s="2" customFormat="1" ht="16" hidden="1" outlineLevel="1">
      <c r="A95" s="6"/>
      <c r="B95" s="181"/>
      <c r="C95" s="182"/>
      <c r="D95" s="181"/>
      <c r="E95" s="215"/>
      <c r="F95" s="214"/>
      <c r="G95" s="214"/>
      <c r="H95" s="185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</row>
    <row r="96" spans="1:22" ht="20" customHeight="1">
      <c r="A96" s="2"/>
      <c r="B96" s="50"/>
      <c r="C96" s="51"/>
      <c r="D96" s="52"/>
      <c r="E96" s="53"/>
      <c r="F96" s="52"/>
      <c r="G96" s="52"/>
      <c r="H96" s="54"/>
      <c r="I96" s="52"/>
      <c r="J96" s="52"/>
      <c r="K96" s="52"/>
      <c r="L96" s="52"/>
      <c r="M96" s="52"/>
      <c r="N96" s="52"/>
      <c r="O96" s="52"/>
      <c r="P96" s="52"/>
      <c r="Q96" s="52"/>
      <c r="R96" s="55"/>
      <c r="S96" s="52"/>
      <c r="T96" s="52"/>
      <c r="U96" s="52"/>
      <c r="V96" s="52"/>
    </row>
    <row r="97" spans="1:22" ht="20" customHeight="1">
      <c r="A97" s="2"/>
      <c r="B97" s="27" t="s">
        <v>20</v>
      </c>
      <c r="C97" s="28">
        <v>3</v>
      </c>
      <c r="D97" s="27"/>
      <c r="E97" s="29"/>
      <c r="F97" s="27"/>
      <c r="G97" s="27"/>
      <c r="H97" s="30" t="s">
        <v>29</v>
      </c>
      <c r="I97" s="31"/>
      <c r="J97" s="31"/>
      <c r="K97" s="31"/>
      <c r="L97" s="31"/>
      <c r="M97" s="31"/>
      <c r="N97" s="31"/>
      <c r="O97" s="31"/>
      <c r="P97" s="31"/>
      <c r="Q97" s="31"/>
      <c r="R97" s="32">
        <f>SUBTOTAL(9,R6:R96)</f>
        <v>0</v>
      </c>
      <c r="S97" s="31"/>
      <c r="T97" s="31"/>
      <c r="U97" s="31"/>
      <c r="V97" s="31"/>
    </row>
    <row r="98" spans="1:22" s="2" customFormat="1" ht="20" customHeight="1">
      <c r="E98" s="7"/>
    </row>
    <row r="101" spans="1:22" ht="20" customHeight="1">
      <c r="C101">
        <v>1</v>
      </c>
      <c r="D101" s="239" t="s">
        <v>356</v>
      </c>
    </row>
    <row r="102" spans="1:22" ht="20" customHeight="1">
      <c r="C102">
        <v>2</v>
      </c>
      <c r="D102" s="239" t="s">
        <v>575</v>
      </c>
    </row>
    <row r="103" spans="1:22" ht="20" customHeight="1">
      <c r="C103">
        <v>3</v>
      </c>
      <c r="D103" s="239" t="s">
        <v>562</v>
      </c>
    </row>
    <row r="104" spans="1:22" ht="20" customHeight="1">
      <c r="C104">
        <v>4</v>
      </c>
      <c r="D104" s="239" t="s">
        <v>357</v>
      </c>
    </row>
    <row r="105" spans="1:22" ht="20" customHeight="1">
      <c r="C105">
        <v>5</v>
      </c>
      <c r="D105" s="239" t="s">
        <v>358</v>
      </c>
    </row>
    <row r="106" spans="1:22" ht="20" customHeight="1">
      <c r="C106">
        <v>6</v>
      </c>
      <c r="D106" s="239" t="s">
        <v>576</v>
      </c>
    </row>
    <row r="107" spans="1:22" ht="20" customHeight="1">
      <c r="C107">
        <v>7</v>
      </c>
      <c r="D107" s="239" t="s">
        <v>563</v>
      </c>
    </row>
    <row r="108" spans="1:22" ht="20" customHeight="1">
      <c r="C108">
        <v>8</v>
      </c>
      <c r="D108" s="239" t="s">
        <v>577</v>
      </c>
    </row>
    <row r="109" spans="1:22" ht="20" customHeight="1">
      <c r="C109">
        <v>9</v>
      </c>
      <c r="D109" s="239" t="s">
        <v>564</v>
      </c>
    </row>
    <row r="110" spans="1:22" ht="20" customHeight="1">
      <c r="C110">
        <v>10</v>
      </c>
      <c r="D110" s="239" t="s">
        <v>578</v>
      </c>
    </row>
    <row r="111" spans="1:22" ht="20" customHeight="1">
      <c r="C111">
        <v>11</v>
      </c>
      <c r="D111" s="239" t="s">
        <v>359</v>
      </c>
    </row>
    <row r="112" spans="1:22" ht="20" customHeight="1">
      <c r="C112">
        <v>12</v>
      </c>
      <c r="D112" s="239" t="s">
        <v>360</v>
      </c>
    </row>
    <row r="113" spans="3:4" ht="20" customHeight="1">
      <c r="C113">
        <v>13</v>
      </c>
      <c r="D113" t="s">
        <v>369</v>
      </c>
    </row>
    <row r="114" spans="3:4" ht="20" customHeight="1">
      <c r="C114">
        <v>14</v>
      </c>
      <c r="D114" t="s">
        <v>377</v>
      </c>
    </row>
    <row r="115" spans="3:4" ht="20" customHeight="1">
      <c r="C115">
        <v>15</v>
      </c>
      <c r="D115" t="s">
        <v>584</v>
      </c>
    </row>
    <row r="116" spans="3:4" ht="20" customHeight="1">
      <c r="C116">
        <v>16</v>
      </c>
      <c r="D116" t="s">
        <v>361</v>
      </c>
    </row>
    <row r="117" spans="3:4" ht="20" customHeight="1">
      <c r="C117">
        <v>17</v>
      </c>
      <c r="D117" t="s">
        <v>585</v>
      </c>
    </row>
    <row r="118" spans="3:4" ht="20" customHeight="1">
      <c r="C118">
        <v>18</v>
      </c>
      <c r="D118" t="s">
        <v>362</v>
      </c>
    </row>
    <row r="119" spans="3:4" ht="20" customHeight="1">
      <c r="C119">
        <v>19</v>
      </c>
      <c r="D119" t="s">
        <v>566</v>
      </c>
    </row>
    <row r="120" spans="3:4" ht="20" customHeight="1">
      <c r="C120">
        <v>20</v>
      </c>
      <c r="D120" t="s">
        <v>588</v>
      </c>
    </row>
    <row r="121" spans="3:4" ht="20" customHeight="1">
      <c r="C121">
        <v>21</v>
      </c>
      <c r="D121" t="s">
        <v>567</v>
      </c>
    </row>
    <row r="122" spans="3:4" ht="20" customHeight="1">
      <c r="C122">
        <v>22</v>
      </c>
      <c r="D122" t="s">
        <v>363</v>
      </c>
    </row>
    <row r="123" spans="3:4" ht="20" customHeight="1">
      <c r="C123">
        <v>23</v>
      </c>
      <c r="D123" t="s">
        <v>370</v>
      </c>
    </row>
    <row r="124" spans="3:4" ht="20" customHeight="1">
      <c r="C124">
        <v>24</v>
      </c>
      <c r="D124" t="s">
        <v>568</v>
      </c>
    </row>
    <row r="125" spans="3:4" ht="20" customHeight="1">
      <c r="C125">
        <v>25</v>
      </c>
      <c r="D125" t="s">
        <v>589</v>
      </c>
    </row>
    <row r="126" spans="3:4" ht="20" customHeight="1">
      <c r="C126">
        <v>26</v>
      </c>
      <c r="D126" t="s">
        <v>387</v>
      </c>
    </row>
    <row r="127" spans="3:4" ht="20" customHeight="1">
      <c r="C127">
        <v>27</v>
      </c>
      <c r="D127" t="s">
        <v>389</v>
      </c>
    </row>
    <row r="128" spans="3:4" ht="20" customHeight="1">
      <c r="C128">
        <v>28</v>
      </c>
      <c r="D128" t="s">
        <v>391</v>
      </c>
    </row>
    <row r="129" spans="3:4" ht="20" customHeight="1">
      <c r="C129">
        <v>29</v>
      </c>
      <c r="D129" t="s">
        <v>392</v>
      </c>
    </row>
    <row r="130" spans="3:4" ht="20" customHeight="1">
      <c r="C130">
        <v>30</v>
      </c>
      <c r="D130" t="s">
        <v>394</v>
      </c>
    </row>
    <row r="131" spans="3:4" ht="20" customHeight="1">
      <c r="C131">
        <v>31</v>
      </c>
    </row>
    <row r="132" spans="3:4" ht="20" customHeight="1">
      <c r="C132">
        <v>32</v>
      </c>
    </row>
    <row r="133" spans="3:4" ht="20" customHeight="1">
      <c r="C133">
        <v>33</v>
      </c>
    </row>
    <row r="134" spans="3:4" ht="20" customHeight="1">
      <c r="C134">
        <v>34</v>
      </c>
    </row>
    <row r="135" spans="3:4" ht="20" customHeight="1">
      <c r="C135">
        <v>35</v>
      </c>
    </row>
    <row r="136" spans="3:4" ht="20" customHeight="1">
      <c r="C136">
        <v>36</v>
      </c>
    </row>
  </sheetData>
  <autoFilter ref="B5:V96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98">
    <cfRule type="cellIs" dxfId="132" priority="37" operator="lessThan">
      <formula>0</formula>
    </cfRule>
  </conditionalFormatting>
  <conditionalFormatting sqref="U6">
    <cfRule type="cellIs" dxfId="131" priority="36" operator="lessThan">
      <formula>0</formula>
    </cfRule>
  </conditionalFormatting>
  <conditionalFormatting sqref="U9">
    <cfRule type="cellIs" dxfId="130" priority="35" operator="lessThan">
      <formula>0</formula>
    </cfRule>
  </conditionalFormatting>
  <conditionalFormatting sqref="U12">
    <cfRule type="cellIs" dxfId="129" priority="34" operator="lessThan">
      <formula>0</formula>
    </cfRule>
  </conditionalFormatting>
  <conditionalFormatting sqref="U15">
    <cfRule type="cellIs" dxfId="128" priority="33" operator="lessThan">
      <formula>0</formula>
    </cfRule>
  </conditionalFormatting>
  <conditionalFormatting sqref="U18">
    <cfRule type="cellIs" dxfId="127" priority="32" operator="lessThan">
      <formula>0</formula>
    </cfRule>
  </conditionalFormatting>
  <conditionalFormatting sqref="U21">
    <cfRule type="cellIs" dxfId="126" priority="31" operator="lessThan">
      <formula>0</formula>
    </cfRule>
  </conditionalFormatting>
  <conditionalFormatting sqref="U24">
    <cfRule type="cellIs" dxfId="125" priority="30" operator="lessThan">
      <formula>0</formula>
    </cfRule>
  </conditionalFormatting>
  <conditionalFormatting sqref="U27">
    <cfRule type="cellIs" dxfId="124" priority="29" operator="lessThan">
      <formula>0</formula>
    </cfRule>
  </conditionalFormatting>
  <conditionalFormatting sqref="U30">
    <cfRule type="cellIs" dxfId="123" priority="28" operator="lessThan">
      <formula>0</formula>
    </cfRule>
  </conditionalFormatting>
  <conditionalFormatting sqref="U33">
    <cfRule type="cellIs" dxfId="122" priority="27" operator="lessThan">
      <formula>0</formula>
    </cfRule>
  </conditionalFormatting>
  <conditionalFormatting sqref="U36">
    <cfRule type="cellIs" dxfId="121" priority="26" operator="lessThan">
      <formula>0</formula>
    </cfRule>
  </conditionalFormatting>
  <conditionalFormatting sqref="U39">
    <cfRule type="cellIs" dxfId="120" priority="25" operator="lessThan">
      <formula>0</formula>
    </cfRule>
  </conditionalFormatting>
  <conditionalFormatting sqref="U42">
    <cfRule type="cellIs" dxfId="119" priority="24" operator="lessThan">
      <formula>0</formula>
    </cfRule>
  </conditionalFormatting>
  <conditionalFormatting sqref="U45">
    <cfRule type="cellIs" dxfId="118" priority="23" operator="lessThan">
      <formula>0</formula>
    </cfRule>
  </conditionalFormatting>
  <conditionalFormatting sqref="U48">
    <cfRule type="cellIs" dxfId="117" priority="22" operator="lessThan">
      <formula>0</formula>
    </cfRule>
  </conditionalFormatting>
  <conditionalFormatting sqref="U51">
    <cfRule type="cellIs" dxfId="116" priority="21" operator="lessThan">
      <formula>0</formula>
    </cfRule>
  </conditionalFormatting>
  <conditionalFormatting sqref="U54">
    <cfRule type="cellIs" dxfId="115" priority="20" operator="lessThan">
      <formula>0</formula>
    </cfRule>
  </conditionalFormatting>
  <conditionalFormatting sqref="U57">
    <cfRule type="cellIs" dxfId="114" priority="19" operator="lessThan">
      <formula>0</formula>
    </cfRule>
  </conditionalFormatting>
  <conditionalFormatting sqref="U60">
    <cfRule type="cellIs" dxfId="113" priority="18" operator="lessThan">
      <formula>0</formula>
    </cfRule>
  </conditionalFormatting>
  <conditionalFormatting sqref="U63">
    <cfRule type="cellIs" dxfId="112" priority="17" operator="lessThan">
      <formula>0</formula>
    </cfRule>
  </conditionalFormatting>
  <conditionalFormatting sqref="U66">
    <cfRule type="cellIs" dxfId="111" priority="16" operator="lessThan">
      <formula>0</formula>
    </cfRule>
  </conditionalFormatting>
  <conditionalFormatting sqref="U69">
    <cfRule type="cellIs" dxfId="110" priority="15" operator="lessThan">
      <formula>0</formula>
    </cfRule>
  </conditionalFormatting>
  <conditionalFormatting sqref="U72">
    <cfRule type="cellIs" dxfId="109" priority="14" operator="lessThan">
      <formula>0</formula>
    </cfRule>
  </conditionalFormatting>
  <conditionalFormatting sqref="U75">
    <cfRule type="cellIs" dxfId="108" priority="13" operator="lessThan">
      <formula>0</formula>
    </cfRule>
  </conditionalFormatting>
  <conditionalFormatting sqref="U78">
    <cfRule type="cellIs" dxfId="107" priority="12" operator="lessThan">
      <formula>0</formula>
    </cfRule>
  </conditionalFormatting>
  <conditionalFormatting sqref="U81">
    <cfRule type="cellIs" dxfId="106" priority="11" operator="lessThan">
      <formula>0</formula>
    </cfRule>
  </conditionalFormatting>
  <conditionalFormatting sqref="U84">
    <cfRule type="cellIs" dxfId="105" priority="10" operator="lessThan">
      <formula>0</formula>
    </cfRule>
  </conditionalFormatting>
  <conditionalFormatting sqref="U87">
    <cfRule type="cellIs" dxfId="104" priority="9" operator="lessThan">
      <formula>0</formula>
    </cfRule>
  </conditionalFormatting>
  <conditionalFormatting sqref="U90">
    <cfRule type="cellIs" dxfId="103" priority="8" operator="lessThan">
      <formula>0</formula>
    </cfRule>
  </conditionalFormatting>
  <conditionalFormatting sqref="U93">
    <cfRule type="cellIs" dxfId="102" priority="7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475F7-DDE6-4896-A05C-6A749AB0B212}">
  <sheetPr codeName="Sheet14">
    <tabColor rgb="FF00B0F0"/>
    <outlinePr summaryBelow="0" summaryRight="0"/>
    <pageSetUpPr fitToPage="1"/>
  </sheetPr>
  <dimension ref="A1:V119"/>
  <sheetViews>
    <sheetView showZeros="0" view="pageBreakPreview" zoomScaleNormal="100" zoomScaleSheetLayoutView="100" workbookViewId="0">
      <pane ySplit="5" topLeftCell="A6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7" width="8.83203125" customWidth="1" outlineLevel="1"/>
    <col min="8" max="8" width="34.83203125" customWidth="1"/>
    <col min="9" max="9" width="6.6640625" customWidth="1"/>
    <col min="10" max="10" width="9.1640625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"&amp;UPPER(VLOOKUP($F$3,DM_CKDH!$B$4:$E$42,2,0))&amp;" - Mã CK:"&amp;F3</f>
        <v>BẢNG DIẾN GIẢI KHỐI LƯỢNG CẤU KIỆN ĐIỂN HÌNH  - ĐÀI - KHU BIÊN - Mã CK:S21.21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5.5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82" t="s">
        <v>488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16" collapsed="1">
      <c r="A6" s="6"/>
      <c r="B6" s="174">
        <v>1</v>
      </c>
      <c r="C6" s="175"/>
      <c r="D6" s="261">
        <f>VLOOKUP(B6,$C$102:$E$119,2,0)</f>
        <v>0</v>
      </c>
      <c r="E6" s="211" t="str" cm="1">
        <f t="array" ref="E6">(_xlfn.XLOOKUP($D6,'B-1. THKL THEO ID'!$B:$B,('B-1. THKL THEO ID'!C:G),"N/A",0))</f>
        <v>N/A</v>
      </c>
      <c r="F6" s="211"/>
      <c r="G6" s="211"/>
      <c r="H6" s="183"/>
      <c r="I6" s="208"/>
      <c r="J6" s="174"/>
      <c r="K6" s="174"/>
      <c r="L6" s="174"/>
      <c r="M6" s="176"/>
      <c r="N6" s="174"/>
      <c r="O6" s="177"/>
      <c r="P6" s="177"/>
      <c r="Q6" s="177"/>
      <c r="R6" s="178">
        <f>R9/100</f>
        <v>3.751533213084878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81"/>
      <c r="C7" s="182"/>
      <c r="D7" s="277"/>
      <c r="E7" s="215"/>
      <c r="F7" s="214"/>
      <c r="G7" s="214"/>
      <c r="H7" s="185"/>
      <c r="I7" s="181"/>
      <c r="J7" s="181"/>
      <c r="K7" s="181"/>
      <c r="L7" s="181"/>
      <c r="M7" s="181"/>
      <c r="N7" s="181"/>
      <c r="O7" s="181"/>
      <c r="P7" s="181"/>
      <c r="Q7" s="181"/>
      <c r="R7" s="278"/>
      <c r="S7" s="181"/>
      <c r="T7" s="181"/>
      <c r="U7" s="181"/>
      <c r="V7" s="181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6" collapsed="1">
      <c r="A9" s="6"/>
      <c r="B9" s="174">
        <v>2</v>
      </c>
      <c r="C9" s="175"/>
      <c r="D9" s="261">
        <f>VLOOKUP(B9,$C$102:$E$119,2,0)</f>
        <v>0</v>
      </c>
      <c r="E9" s="211" t="str" cm="1">
        <f t="array" ref="E9">(_xlfn.XLOOKUP($D9,'B-1. THKL THEO ID'!$B:$B,('B-1. THKL THEO ID'!C:G),"N/A",0))</f>
        <v>N/A</v>
      </c>
      <c r="F9" s="211"/>
      <c r="G9" s="211"/>
      <c r="H9" s="183"/>
      <c r="I9" s="208"/>
      <c r="J9" s="174"/>
      <c r="K9" s="174"/>
      <c r="L9" s="174"/>
      <c r="M9" s="176"/>
      <c r="N9" s="174"/>
      <c r="O9" s="177"/>
      <c r="P9" s="177"/>
      <c r="Q9" s="177"/>
      <c r="R9" s="178">
        <f>SUBTOTAL(9,R10:R19)</f>
        <v>375.15332130848782</v>
      </c>
      <c r="S9" s="177"/>
      <c r="T9" s="177"/>
      <c r="U9" s="209">
        <f>SUBTOTAL(9,U10:U19)</f>
        <v>0</v>
      </c>
      <c r="V9" s="177"/>
    </row>
    <row r="10" spans="1:22" s="2" customFormat="1" ht="17" hidden="1" outlineLevel="1">
      <c r="A10" s="6"/>
      <c r="B10" s="179"/>
      <c r="C10" s="180"/>
      <c r="D10" s="239"/>
      <c r="E10" s="213"/>
      <c r="F10" s="212"/>
      <c r="G10" s="212"/>
      <c r="H10" s="184" t="str">
        <f>'Dữ liệu đầu vào'!B31</f>
        <v>PC-1</v>
      </c>
      <c r="I10" s="179"/>
      <c r="J10" s="179">
        <f>VLOOKUP(H10,'Dữ liệu đầu vào'!$B$9:$Z$55,2,0)</f>
        <v>1</v>
      </c>
      <c r="K10" s="179">
        <f>VLOOKUP(H10,'Dữ liệu đầu vào'!$B$9:$Z$55,20,0)</f>
        <v>3.6</v>
      </c>
      <c r="L10" s="179">
        <f>VLOOKUP(H10,'Dữ liệu đầu vào'!$B$9:$Z$55,21,0)</f>
        <v>3.6</v>
      </c>
      <c r="M10" s="179">
        <f>VLOOKUP(H10,'Dữ liệu đầu vào'!$B$9:$Z$55,22,0)</f>
        <v>1.2</v>
      </c>
      <c r="N10" s="179"/>
      <c r="O10" s="179">
        <v>1</v>
      </c>
      <c r="P10" s="179"/>
      <c r="Q10" s="179"/>
      <c r="R10" s="262" cm="1">
        <f t="array" ref="R10">daohotl(J10:Q10)</f>
        <v>28.224000930786133</v>
      </c>
      <c r="S10" s="179"/>
      <c r="T10" s="179"/>
      <c r="U10" s="179"/>
      <c r="V10" s="179"/>
    </row>
    <row r="11" spans="1:22" s="2" customFormat="1" ht="17" hidden="1" outlineLevel="1">
      <c r="A11" s="6"/>
      <c r="B11" s="181"/>
      <c r="C11" s="182"/>
      <c r="D11" s="277"/>
      <c r="E11" s="215"/>
      <c r="F11" s="214"/>
      <c r="G11" s="214"/>
      <c r="H11" s="184" t="str">
        <f>'Dữ liệu đầu vào'!B32</f>
        <v>PC-1A</v>
      </c>
      <c r="I11" s="181"/>
      <c r="J11" s="179">
        <f>VLOOKUP(H11,'Dữ liệu đầu vào'!$B$9:$Z$55,2,0)</f>
        <v>12</v>
      </c>
      <c r="K11" s="179">
        <f>VLOOKUP(H11,'Dữ liệu đầu vào'!$B$9:$Z$55,20,0)</f>
        <v>3.2</v>
      </c>
      <c r="L11" s="179">
        <f>VLOOKUP(H11,'Dữ liệu đầu vào'!$B$9:$Z$55,21,0)</f>
        <v>3.41</v>
      </c>
      <c r="M11" s="179">
        <f>VLOOKUP(H11,'Dữ liệu đầu vào'!$B$9:$Z$55,22,0)</f>
        <v>1.2</v>
      </c>
      <c r="N11" s="181"/>
      <c r="O11" s="179">
        <v>1</v>
      </c>
      <c r="P11" s="181"/>
      <c r="Q11" s="181"/>
      <c r="R11" s="278" cm="1">
        <f t="array" ref="R11">daohotl(J11:P11)</f>
        <v>298.99349975585938</v>
      </c>
      <c r="S11" s="181"/>
      <c r="T11" s="181"/>
      <c r="U11" s="181"/>
      <c r="V11" s="181"/>
    </row>
    <row r="12" spans="1:22" s="2" customFormat="1" ht="17" hidden="1" outlineLevel="1">
      <c r="A12" s="6"/>
      <c r="B12" s="181"/>
      <c r="C12" s="182"/>
      <c r="D12" s="277"/>
      <c r="E12" s="215"/>
      <c r="F12" s="214"/>
      <c r="G12" s="214"/>
      <c r="H12" s="184" t="str">
        <f>'Dữ liệu đầu vào'!B33</f>
        <v>PC-1AB</v>
      </c>
      <c r="I12" s="181"/>
      <c r="J12" s="179">
        <f>VLOOKUP(H12,'Dữ liệu đầu vào'!$B$9:$Z$55,2,0)</f>
        <v>1</v>
      </c>
      <c r="K12" s="179" t="str">
        <f>VLOOKUP(H12,'Dữ liệu đầu vào'!$B$9:$Z$55,20,0)</f>
        <v/>
      </c>
      <c r="L12" s="179" t="str">
        <f>VLOOKUP(H12,'Dữ liệu đầu vào'!$B$9:$Z$55,21,0)</f>
        <v/>
      </c>
      <c r="M12" s="179">
        <f>VLOOKUP(H12,'Dữ liệu đầu vào'!$B$9:$Z$55,22,0)</f>
        <v>1.2</v>
      </c>
      <c r="N12" s="179">
        <f>VLOOKUP(H12,'Dữ liệu đầu vào'!$B$9:$Z$55,24,0)</f>
        <v>14.46</v>
      </c>
      <c r="O12" s="179">
        <v>1</v>
      </c>
      <c r="P12" s="181"/>
      <c r="Q12" s="181"/>
      <c r="R12" s="278">
        <f>(J12*M12/3)*(N12+N13+(N12*N13)^0.5)</f>
        <v>31.627548376552742</v>
      </c>
      <c r="S12" s="181" t="s">
        <v>546</v>
      </c>
      <c r="T12" s="181"/>
      <c r="U12" s="181"/>
      <c r="V12" s="181"/>
    </row>
    <row r="13" spans="1:22" s="2" customFormat="1" ht="16" hidden="1" outlineLevel="1">
      <c r="A13" s="6"/>
      <c r="B13" s="181"/>
      <c r="C13" s="182"/>
      <c r="D13" s="277"/>
      <c r="E13" s="215"/>
      <c r="F13" s="214"/>
      <c r="G13" s="214"/>
      <c r="H13" s="184"/>
      <c r="I13" s="181"/>
      <c r="J13" s="179"/>
      <c r="K13" s="179"/>
      <c r="L13" s="179"/>
      <c r="M13" s="179"/>
      <c r="N13" s="179">
        <f>VLOOKUP(H12,'Dữ liệu đầu vào'!$B$9:$Z$55,25,0)</f>
        <v>40.43</v>
      </c>
      <c r="O13" s="179"/>
      <c r="P13" s="181"/>
      <c r="Q13" s="181"/>
      <c r="R13" s="278"/>
      <c r="S13" s="181" t="s">
        <v>547</v>
      </c>
      <c r="T13" s="181"/>
      <c r="U13" s="181"/>
      <c r="V13" s="181"/>
    </row>
    <row r="14" spans="1:22" s="2" customFormat="1" ht="17" hidden="1" outlineLevel="1">
      <c r="A14" s="6"/>
      <c r="B14" s="181"/>
      <c r="C14" s="182"/>
      <c r="D14" s="277"/>
      <c r="E14" s="215"/>
      <c r="F14" s="214"/>
      <c r="G14" s="214"/>
      <c r="H14" s="184" t="str">
        <f>'Dữ liệu đầu vào'!B34</f>
        <v>PC-1AA</v>
      </c>
      <c r="I14" s="181"/>
      <c r="J14" s="179">
        <f>VLOOKUP(H14,'Dữ liệu đầu vào'!$B$9:$Z$55,2,0)</f>
        <v>1</v>
      </c>
      <c r="K14" s="179" t="str">
        <f>VLOOKUP(H14,'Dữ liệu đầu vào'!$B$9:$Z$55,20,0)</f>
        <v/>
      </c>
      <c r="L14" s="179" t="str">
        <f>VLOOKUP(H14,'Dữ liệu đầu vào'!$B$9:$Z$55,21,0)</f>
        <v/>
      </c>
      <c r="M14" s="179">
        <f>VLOOKUP(H14,'Dữ liệu đầu vào'!$B$9:$Z$55,22,0)</f>
        <v>1.2</v>
      </c>
      <c r="N14" s="179">
        <f>VLOOKUP(H14,'Dữ liệu đầu vào'!$B$9:$Z$55,24,0)</f>
        <v>13.54</v>
      </c>
      <c r="O14" s="179">
        <v>1</v>
      </c>
      <c r="P14" s="181"/>
      <c r="Q14" s="181"/>
      <c r="R14" s="278">
        <f>(J14*M14/3)*(N14+N15+(N14*N15)^0.5)</f>
        <v>29.377297684223088</v>
      </c>
      <c r="S14" s="181" t="s">
        <v>546</v>
      </c>
      <c r="T14" s="181"/>
      <c r="U14" s="181"/>
      <c r="V14" s="181"/>
    </row>
    <row r="15" spans="1:22" s="2" customFormat="1" ht="16" hidden="1" outlineLevel="1">
      <c r="A15" s="6"/>
      <c r="B15" s="181"/>
      <c r="C15" s="182"/>
      <c r="D15" s="277"/>
      <c r="E15" s="215"/>
      <c r="F15" s="214"/>
      <c r="G15" s="214"/>
      <c r="H15" s="185"/>
      <c r="I15" s="181"/>
      <c r="J15" s="181"/>
      <c r="K15" s="179"/>
      <c r="L15" s="181"/>
      <c r="M15" s="179"/>
      <c r="N15" s="179">
        <f>VLOOKUP(H14,'Dữ liệu đầu vào'!$B$9:$Z$55,25,0)</f>
        <v>37.4</v>
      </c>
      <c r="O15" s="181"/>
      <c r="P15" s="181"/>
      <c r="Q15" s="181"/>
      <c r="R15" s="278"/>
      <c r="S15" s="181" t="s">
        <v>547</v>
      </c>
      <c r="T15" s="181"/>
      <c r="U15" s="181"/>
      <c r="V15" s="181"/>
    </row>
    <row r="16" spans="1:22" s="2" customFormat="1" ht="17" hidden="1" outlineLevel="1">
      <c r="A16" s="6"/>
      <c r="B16" s="181"/>
      <c r="C16" s="182"/>
      <c r="D16" s="277"/>
      <c r="E16" s="215"/>
      <c r="F16" s="214"/>
      <c r="G16" s="214"/>
      <c r="H16" s="185" t="s">
        <v>552</v>
      </c>
      <c r="I16" s="181"/>
      <c r="J16" s="181"/>
      <c r="K16" s="181"/>
      <c r="L16" s="181"/>
      <c r="M16" s="181"/>
      <c r="N16" s="181"/>
      <c r="O16" s="181"/>
      <c r="P16" s="181"/>
      <c r="Q16" s="181"/>
      <c r="R16" s="278"/>
      <c r="S16" s="181"/>
      <c r="T16" s="181"/>
      <c r="U16" s="181"/>
      <c r="V16" s="181"/>
    </row>
    <row r="17" spans="1:22" s="2" customFormat="1" ht="17" hidden="1" outlineLevel="1">
      <c r="A17" s="6"/>
      <c r="B17" s="181"/>
      <c r="C17" s="182"/>
      <c r="D17" s="277"/>
      <c r="E17" s="215"/>
      <c r="F17" s="214"/>
      <c r="G17" s="214"/>
      <c r="H17" s="185" t="s">
        <v>543</v>
      </c>
      <c r="I17" s="181"/>
      <c r="J17" s="280">
        <f>U43</f>
        <v>1</v>
      </c>
      <c r="K17" s="181"/>
      <c r="L17" s="181"/>
      <c r="M17" s="181">
        <v>1.6</v>
      </c>
      <c r="N17" s="280">
        <f>N90</f>
        <v>1.1309733552923256</v>
      </c>
      <c r="O17" s="181">
        <v>-1</v>
      </c>
      <c r="P17" s="181"/>
      <c r="Q17" s="181"/>
      <c r="R17" s="262">
        <f t="shared" ref="R17:R18" si="0">PRODUCT(J17:Q17)</f>
        <v>-1.8095573684677211</v>
      </c>
      <c r="S17" s="181"/>
      <c r="T17" s="181"/>
      <c r="U17" s="181"/>
      <c r="V17" s="181"/>
    </row>
    <row r="18" spans="1:22" s="2" customFormat="1" ht="17" hidden="1" outlineLevel="1">
      <c r="A18" s="6"/>
      <c r="B18" s="181"/>
      <c r="C18" s="182"/>
      <c r="D18" s="277"/>
      <c r="E18" s="215"/>
      <c r="F18" s="214"/>
      <c r="G18" s="214"/>
      <c r="H18" s="185" t="s">
        <v>544</v>
      </c>
      <c r="I18" s="181"/>
      <c r="J18" s="280">
        <f>U45</f>
        <v>14</v>
      </c>
      <c r="K18" s="181"/>
      <c r="L18" s="181"/>
      <c r="M18" s="181">
        <v>1.6</v>
      </c>
      <c r="N18" s="280">
        <f>N91</f>
        <v>0.50265482457436694</v>
      </c>
      <c r="O18" s="181">
        <v>-1</v>
      </c>
      <c r="P18" s="181"/>
      <c r="Q18" s="181"/>
      <c r="R18" s="262">
        <f t="shared" si="0"/>
        <v>-11.25946807046582</v>
      </c>
      <c r="S18" s="181"/>
      <c r="T18" s="181"/>
      <c r="U18" s="181"/>
      <c r="V18" s="181"/>
    </row>
    <row r="19" spans="1:22" s="2" customFormat="1" ht="16" hidden="1" outlineLevel="1">
      <c r="A19" s="6"/>
      <c r="B19" s="181"/>
      <c r="C19" s="182"/>
      <c r="D19" s="187"/>
      <c r="E19" s="215"/>
      <c r="F19" s="214"/>
      <c r="G19" s="214"/>
      <c r="H19" s="185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</row>
    <row r="20" spans="1:22" s="2" customFormat="1" ht="16" collapsed="1">
      <c r="A20" s="6"/>
      <c r="B20" s="174">
        <v>3</v>
      </c>
      <c r="C20" s="175"/>
      <c r="D20" s="261">
        <f>VLOOKUP(B20,$C$102:$E$119,2,0)</f>
        <v>0</v>
      </c>
      <c r="E20" s="211" t="str" cm="1">
        <f t="array" ref="E20">(_xlfn.XLOOKUP($D20,'B-1. THKL THEO ID'!$B:$B,('B-1. THKL THEO ID'!C:G),"N/A",0))</f>
        <v>N/A</v>
      </c>
      <c r="F20" s="211"/>
      <c r="G20" s="211"/>
      <c r="H20" s="183"/>
      <c r="I20" s="208"/>
      <c r="J20" s="174"/>
      <c r="K20" s="174"/>
      <c r="L20" s="174"/>
      <c r="M20" s="176"/>
      <c r="N20" s="174"/>
      <c r="O20" s="177"/>
      <c r="P20" s="177"/>
      <c r="Q20" s="177"/>
      <c r="R20" s="178">
        <f>R23/100</f>
        <v>3.1812233539842119</v>
      </c>
      <c r="S20" s="177"/>
      <c r="T20" s="177"/>
      <c r="U20" s="209">
        <f>SUBTOTAL(9,U21:U22)</f>
        <v>0</v>
      </c>
      <c r="V20" s="177"/>
    </row>
    <row r="21" spans="1:22" s="2" customFormat="1" ht="16" hidden="1" outlineLevel="1">
      <c r="A21" s="6"/>
      <c r="B21" s="181"/>
      <c r="C21" s="182"/>
      <c r="D21" s="277"/>
      <c r="E21" s="215"/>
      <c r="F21" s="214"/>
      <c r="G21" s="214"/>
      <c r="H21" s="185"/>
      <c r="I21" s="181"/>
      <c r="J21" s="181"/>
      <c r="K21" s="181"/>
      <c r="L21" s="181"/>
      <c r="M21" s="181"/>
      <c r="N21" s="181"/>
      <c r="O21" s="181"/>
      <c r="P21" s="181"/>
      <c r="Q21" s="181"/>
      <c r="R21" s="278"/>
      <c r="S21" s="181"/>
      <c r="T21" s="181"/>
      <c r="U21" s="181"/>
      <c r="V21" s="181"/>
    </row>
    <row r="22" spans="1:22" s="2" customFormat="1" ht="16" hidden="1" outlineLevel="1">
      <c r="A22" s="6"/>
      <c r="B22" s="181"/>
      <c r="C22" s="182"/>
      <c r="D22" s="181"/>
      <c r="E22" s="215"/>
      <c r="F22" s="214"/>
      <c r="G22" s="214"/>
      <c r="H22" s="185"/>
      <c r="I22" s="181"/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  <c r="U22" s="181"/>
      <c r="V22" s="181"/>
    </row>
    <row r="23" spans="1:22" s="2" customFormat="1" ht="16" collapsed="1">
      <c r="A23" s="6"/>
      <c r="B23" s="174">
        <v>4</v>
      </c>
      <c r="C23" s="175"/>
      <c r="D23" s="261">
        <f>VLOOKUP(B23,$C$102:$E$119,2,0)</f>
        <v>0</v>
      </c>
      <c r="E23" s="211" t="str" cm="1">
        <f t="array" ref="E23">(_xlfn.XLOOKUP($D23,'B-1. THKL THEO ID'!$B:$B,('B-1. THKL THEO ID'!C:G),"N/A",0))</f>
        <v>N/A</v>
      </c>
      <c r="F23" s="211"/>
      <c r="G23" s="211"/>
      <c r="H23" s="183"/>
      <c r="I23" s="208"/>
      <c r="J23" s="174"/>
      <c r="K23" s="174"/>
      <c r="L23" s="174"/>
      <c r="M23" s="176"/>
      <c r="N23" s="174"/>
      <c r="O23" s="177"/>
      <c r="P23" s="177"/>
      <c r="Q23" s="177"/>
      <c r="R23" s="178">
        <f>SUBTOTAL(9,R24:R32)</f>
        <v>318.12233539842117</v>
      </c>
      <c r="S23" s="177"/>
      <c r="T23" s="177"/>
      <c r="U23" s="209">
        <f>SUBTOTAL(9,U24:U32)</f>
        <v>0</v>
      </c>
      <c r="V23" s="177"/>
    </row>
    <row r="24" spans="1:22" s="2" customFormat="1" ht="17" hidden="1" outlineLevel="1">
      <c r="A24" s="6"/>
      <c r="B24" s="179"/>
      <c r="C24" s="180"/>
      <c r="D24" s="239"/>
      <c r="E24" s="213"/>
      <c r="F24" s="212"/>
      <c r="G24" s="212"/>
      <c r="H24" s="184" t="s">
        <v>548</v>
      </c>
      <c r="I24" s="179"/>
      <c r="J24" s="179"/>
      <c r="K24" s="179"/>
      <c r="L24" s="179"/>
      <c r="M24" s="179"/>
      <c r="N24" s="179"/>
      <c r="O24" s="179"/>
      <c r="P24" s="179"/>
      <c r="Q24" s="179"/>
      <c r="R24" s="262">
        <f>R9</f>
        <v>375.15332130848782</v>
      </c>
      <c r="S24" s="179"/>
      <c r="T24" s="179"/>
      <c r="U24" s="179"/>
      <c r="V24" s="179"/>
    </row>
    <row r="25" spans="1:22" s="2" customFormat="1" ht="17" hidden="1" outlineLevel="1">
      <c r="A25" s="6"/>
      <c r="B25" s="181"/>
      <c r="C25" s="182"/>
      <c r="D25" s="277"/>
      <c r="E25" s="215"/>
      <c r="F25" s="214"/>
      <c r="G25" s="214"/>
      <c r="H25" s="185" t="s">
        <v>549</v>
      </c>
      <c r="I25" s="181"/>
      <c r="J25" s="181"/>
      <c r="K25" s="181"/>
      <c r="L25" s="181"/>
      <c r="M25" s="181"/>
      <c r="N25" s="181"/>
      <c r="O25" s="181"/>
      <c r="P25" s="181"/>
      <c r="Q25" s="181"/>
      <c r="R25" s="278">
        <f>-R50</f>
        <v>-5.0427859100666561</v>
      </c>
      <c r="S25" s="181"/>
      <c r="T25" s="181"/>
      <c r="U25" s="181"/>
      <c r="V25" s="181"/>
    </row>
    <row r="26" spans="1:22" s="2" customFormat="1" ht="17" hidden="1" outlineLevel="1">
      <c r="A26" s="6"/>
      <c r="B26" s="181"/>
      <c r="C26" s="182"/>
      <c r="D26" s="277"/>
      <c r="E26" s="215"/>
      <c r="F26" s="214"/>
      <c r="G26" s="214"/>
      <c r="H26" s="185" t="s">
        <v>550</v>
      </c>
      <c r="I26" s="181"/>
      <c r="J26" s="181"/>
      <c r="K26" s="181"/>
      <c r="L26" s="181"/>
      <c r="M26" s="181"/>
      <c r="N26" s="181"/>
      <c r="O26" s="181"/>
      <c r="P26" s="181"/>
      <c r="Q26" s="181"/>
      <c r="R26" s="278"/>
      <c r="S26" s="181"/>
      <c r="T26" s="181"/>
      <c r="U26" s="181"/>
      <c r="V26" s="181"/>
    </row>
    <row r="27" spans="1:22" s="2" customFormat="1" ht="17" hidden="1" outlineLevel="1">
      <c r="A27" s="6"/>
      <c r="B27" s="181"/>
      <c r="C27" s="182"/>
      <c r="D27" s="277"/>
      <c r="E27" s="215"/>
      <c r="F27" s="214"/>
      <c r="G27" s="214"/>
      <c r="H27" s="185" t="str">
        <f>H84</f>
        <v>PC-1</v>
      </c>
      <c r="I27" s="185">
        <f t="shared" ref="I27:N27" si="1">I84</f>
        <v>0</v>
      </c>
      <c r="J27" s="185">
        <f t="shared" si="1"/>
        <v>1</v>
      </c>
      <c r="K27" s="185"/>
      <c r="L27" s="185"/>
      <c r="M27" s="185">
        <f>M84-0.1</f>
        <v>1.0999999999999999</v>
      </c>
      <c r="N27" s="185">
        <f t="shared" si="1"/>
        <v>4</v>
      </c>
      <c r="O27" s="185">
        <v>-1</v>
      </c>
      <c r="P27" s="185"/>
      <c r="Q27" s="185"/>
      <c r="R27" s="262">
        <f t="shared" ref="R27:R30" si="2">PRODUCT(J27:Q27)</f>
        <v>-4.3999999999999995</v>
      </c>
      <c r="S27" s="181"/>
      <c r="T27" s="181"/>
      <c r="U27" s="181"/>
      <c r="V27" s="181"/>
    </row>
    <row r="28" spans="1:22" s="2" customFormat="1" ht="17" hidden="1" outlineLevel="1">
      <c r="A28" s="6"/>
      <c r="B28" s="181"/>
      <c r="C28" s="182"/>
      <c r="D28" s="277"/>
      <c r="E28" s="215"/>
      <c r="F28" s="214"/>
      <c r="G28" s="214"/>
      <c r="H28" s="185" t="str">
        <f t="shared" ref="H28:N30" si="3">H85</f>
        <v>PC-1A</v>
      </c>
      <c r="I28" s="185">
        <f t="shared" si="3"/>
        <v>0</v>
      </c>
      <c r="J28" s="185">
        <f t="shared" si="3"/>
        <v>12</v>
      </c>
      <c r="K28" s="185"/>
      <c r="L28" s="185"/>
      <c r="M28" s="185">
        <f t="shared" ref="M28:M30" si="4">M85-0.1</f>
        <v>1.0999999999999999</v>
      </c>
      <c r="N28" s="185">
        <f t="shared" si="3"/>
        <v>2.8960000000000004</v>
      </c>
      <c r="O28" s="185">
        <v>-1</v>
      </c>
      <c r="P28" s="185"/>
      <c r="Q28" s="185"/>
      <c r="R28" s="262">
        <f t="shared" si="2"/>
        <v>-38.227200000000003</v>
      </c>
      <c r="S28" s="181"/>
      <c r="T28" s="181"/>
      <c r="U28" s="181"/>
      <c r="V28" s="181"/>
    </row>
    <row r="29" spans="1:22" s="2" customFormat="1" ht="17" hidden="1" outlineLevel="1">
      <c r="A29" s="6"/>
      <c r="B29" s="181"/>
      <c r="C29" s="182"/>
      <c r="D29" s="277"/>
      <c r="E29" s="215"/>
      <c r="F29" s="214"/>
      <c r="G29" s="214"/>
      <c r="H29" s="185" t="str">
        <f t="shared" si="3"/>
        <v>PC-1AB</v>
      </c>
      <c r="I29" s="185">
        <f t="shared" si="3"/>
        <v>0</v>
      </c>
      <c r="J29" s="185">
        <f t="shared" si="3"/>
        <v>1</v>
      </c>
      <c r="K29" s="185"/>
      <c r="L29" s="185"/>
      <c r="M29" s="185">
        <f t="shared" si="4"/>
        <v>1.0999999999999999</v>
      </c>
      <c r="N29" s="185">
        <f t="shared" si="3"/>
        <v>4.3499999999999996</v>
      </c>
      <c r="O29" s="185">
        <v>-1</v>
      </c>
      <c r="P29" s="185"/>
      <c r="Q29" s="185"/>
      <c r="R29" s="262">
        <f t="shared" si="2"/>
        <v>-4.7849999999999993</v>
      </c>
      <c r="S29" s="181"/>
      <c r="T29" s="181"/>
      <c r="U29" s="181"/>
      <c r="V29" s="181"/>
    </row>
    <row r="30" spans="1:22" s="2" customFormat="1" ht="17" hidden="1" outlineLevel="1">
      <c r="A30" s="6"/>
      <c r="B30" s="181"/>
      <c r="C30" s="182"/>
      <c r="D30" s="277"/>
      <c r="E30" s="215"/>
      <c r="F30" s="214"/>
      <c r="G30" s="214"/>
      <c r="H30" s="185" t="str">
        <f t="shared" si="3"/>
        <v>PC-1AA</v>
      </c>
      <c r="I30" s="185">
        <f t="shared" si="3"/>
        <v>0</v>
      </c>
      <c r="J30" s="185">
        <f t="shared" si="3"/>
        <v>1</v>
      </c>
      <c r="K30" s="185"/>
      <c r="L30" s="185"/>
      <c r="M30" s="185">
        <f t="shared" si="4"/>
        <v>1.0999999999999999</v>
      </c>
      <c r="N30" s="185">
        <f t="shared" si="3"/>
        <v>4.16</v>
      </c>
      <c r="O30" s="185">
        <v>-1</v>
      </c>
      <c r="P30" s="185"/>
      <c r="Q30" s="185"/>
      <c r="R30" s="262">
        <f t="shared" si="2"/>
        <v>-4.5759999999999996</v>
      </c>
      <c r="S30" s="181"/>
      <c r="T30" s="181"/>
      <c r="U30" s="181"/>
      <c r="V30" s="181"/>
    </row>
    <row r="31" spans="1:22" s="2" customFormat="1" ht="16" hidden="1" outlineLevel="1">
      <c r="A31" s="6"/>
      <c r="B31" s="181"/>
      <c r="C31" s="182"/>
      <c r="D31" s="277"/>
      <c r="E31" s="215"/>
      <c r="F31" s="214"/>
      <c r="G31" s="214"/>
      <c r="H31" s="185"/>
      <c r="I31" s="181"/>
      <c r="J31" s="181"/>
      <c r="K31" s="181"/>
      <c r="L31" s="181"/>
      <c r="M31" s="181"/>
      <c r="N31" s="181"/>
      <c r="O31" s="181"/>
      <c r="P31" s="181"/>
      <c r="Q31" s="181"/>
      <c r="R31" s="278"/>
      <c r="S31" s="181"/>
      <c r="T31" s="181"/>
      <c r="U31" s="181"/>
      <c r="V31" s="181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6" collapsed="1">
      <c r="A33" s="6"/>
      <c r="B33" s="174">
        <v>5</v>
      </c>
      <c r="C33" s="175"/>
      <c r="D33" s="261">
        <f>VLOOKUP(B33,$C$102:$E$119,2,0)</f>
        <v>0</v>
      </c>
      <c r="E33" s="211" t="str" cm="1">
        <f t="array" ref="E33">(_xlfn.XLOOKUP($D33,'B-1. THKL THEO ID'!$B:$B,('B-1. THKL THEO ID'!C:G),"N/A",0))</f>
        <v>N/A</v>
      </c>
      <c r="F33" s="211"/>
      <c r="G33" s="211"/>
      <c r="H33" s="183"/>
      <c r="I33" s="208"/>
      <c r="J33" s="174"/>
      <c r="K33" s="174"/>
      <c r="L33" s="174"/>
      <c r="M33" s="176"/>
      <c r="N33" s="174"/>
      <c r="O33" s="177"/>
      <c r="P33" s="177"/>
      <c r="Q33" s="177"/>
      <c r="R33" s="178">
        <f>R36/100</f>
        <v>0.57030985910066645</v>
      </c>
      <c r="S33" s="177"/>
      <c r="T33" s="177"/>
      <c r="U33" s="178">
        <f>SUBTOTAL(9,U34:U34)</f>
        <v>0</v>
      </c>
      <c r="V33" s="177"/>
    </row>
    <row r="34" spans="1:22" s="2" customFormat="1" ht="16" hidden="1" outlineLevel="1">
      <c r="A34" s="6"/>
      <c r="B34" s="179"/>
      <c r="C34" s="180"/>
      <c r="D34" s="186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7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16" collapsed="1">
      <c r="A36" s="6"/>
      <c r="B36" s="174">
        <v>6</v>
      </c>
      <c r="C36" s="175"/>
      <c r="D36" s="261">
        <f>VLOOKUP(B36,$C$102:$E$119,2,0)</f>
        <v>0</v>
      </c>
      <c r="E36" s="211" t="str" cm="1">
        <f t="array" ref="E36">(_xlfn.XLOOKUP($D36,'B-1. THKL THEO ID'!$B:$B,('B-1. THKL THEO ID'!C:G),"N/A",0))</f>
        <v>N/A</v>
      </c>
      <c r="F36" s="211"/>
      <c r="G36" s="211"/>
      <c r="H36" s="183"/>
      <c r="I36" s="208"/>
      <c r="J36" s="174"/>
      <c r="K36" s="174"/>
      <c r="L36" s="174"/>
      <c r="M36" s="176"/>
      <c r="N36" s="174"/>
      <c r="O36" s="177"/>
      <c r="P36" s="177"/>
      <c r="Q36" s="177"/>
      <c r="R36" s="178">
        <f>SUBTOTAL(9,R37:R39)</f>
        <v>57.030985910066647</v>
      </c>
      <c r="S36" s="177"/>
      <c r="T36" s="177"/>
      <c r="U36" s="209">
        <f>SUBTOTAL(9,U37:U39)</f>
        <v>0</v>
      </c>
      <c r="V36" s="177"/>
    </row>
    <row r="37" spans="1:22" s="2" customFormat="1" ht="17" hidden="1" outlineLevel="1">
      <c r="A37" s="6"/>
      <c r="B37" s="179"/>
      <c r="C37" s="180"/>
      <c r="D37" s="239"/>
      <c r="E37" s="213"/>
      <c r="F37" s="212"/>
      <c r="G37" s="212"/>
      <c r="H37" s="184" t="s">
        <v>548</v>
      </c>
      <c r="I37" s="179"/>
      <c r="J37" s="179"/>
      <c r="K37" s="179"/>
      <c r="L37" s="179"/>
      <c r="M37" s="179"/>
      <c r="N37" s="179"/>
      <c r="O37" s="179"/>
      <c r="P37" s="179"/>
      <c r="Q37" s="179"/>
      <c r="R37" s="262">
        <f>R9</f>
        <v>375.15332130848782</v>
      </c>
      <c r="S37" s="179"/>
      <c r="T37" s="179"/>
      <c r="U37" s="179"/>
      <c r="V37" s="179"/>
    </row>
    <row r="38" spans="1:22" s="2" customFormat="1" ht="17" hidden="1" outlineLevel="1">
      <c r="A38" s="6"/>
      <c r="B38" s="181"/>
      <c r="C38" s="182"/>
      <c r="D38" s="277"/>
      <c r="E38" s="215"/>
      <c r="F38" s="214"/>
      <c r="G38" s="214"/>
      <c r="H38" s="185" t="s">
        <v>551</v>
      </c>
      <c r="I38" s="181"/>
      <c r="J38" s="181"/>
      <c r="K38" s="181"/>
      <c r="L38" s="181"/>
      <c r="M38" s="181"/>
      <c r="N38" s="181"/>
      <c r="O38" s="181"/>
      <c r="P38" s="181"/>
      <c r="Q38" s="181"/>
      <c r="R38" s="278">
        <f>-R23</f>
        <v>-318.12233539842117</v>
      </c>
      <c r="S38" s="181"/>
      <c r="T38" s="181"/>
      <c r="U38" s="181"/>
      <c r="V38" s="181"/>
    </row>
    <row r="39" spans="1:22" s="2" customFormat="1" ht="16" hidden="1" outlineLevel="1">
      <c r="A39" s="6"/>
      <c r="B39" s="181"/>
      <c r="C39" s="182"/>
      <c r="D39" s="181"/>
      <c r="E39" s="215"/>
      <c r="F39" s="214"/>
      <c r="G39" s="214"/>
      <c r="H39" s="185"/>
      <c r="I39" s="181"/>
      <c r="J39" s="181"/>
      <c r="K39" s="181"/>
      <c r="L39" s="181"/>
      <c r="M39" s="181"/>
      <c r="N39" s="181"/>
      <c r="O39" s="181"/>
      <c r="P39" s="181"/>
      <c r="Q39" s="181"/>
      <c r="R39" s="181"/>
      <c r="S39" s="181"/>
      <c r="T39" s="181"/>
      <c r="U39" s="181"/>
      <c r="V39" s="181"/>
    </row>
    <row r="40" spans="1:22" s="2" customFormat="1" ht="51" collapsed="1">
      <c r="A40" s="6"/>
      <c r="B40" s="174">
        <v>7</v>
      </c>
      <c r="C40" s="175"/>
      <c r="D40" s="261" t="str">
        <f>VLOOKUP(B40,$C$102:$E$119,2,0)</f>
        <v>ID-004</v>
      </c>
      <c r="E40" s="211" cm="1">
        <f t="array" ref="E40:I40">(_xlfn.XLOOKUP($D40,'B-1. THKL THEO ID'!$B:$B,('B-1. THKL THEO ID'!C:G),"N/A",0))</f>
        <v>0</v>
      </c>
      <c r="F40" s="211" t="str">
        <v>BOQ-004</v>
      </c>
      <c r="G40" s="211">
        <v>0</v>
      </c>
      <c r="H40" s="183" t="str">
        <v>Ván Khuôn gỗ bê tông lót móng (đài, giằng, sàn, hố bơm, rãnh nước, bê phốt)</v>
      </c>
      <c r="I40" s="208" t="str">
        <v>100m2</v>
      </c>
      <c r="J40" s="174"/>
      <c r="K40" s="174"/>
      <c r="L40" s="174"/>
      <c r="M40" s="176"/>
      <c r="N40" s="174"/>
      <c r="O40" s="177"/>
      <c r="P40" s="177"/>
      <c r="Q40" s="177"/>
      <c r="R40" s="178">
        <f>R43/100</f>
        <v>0.11946000000000001</v>
      </c>
      <c r="S40" s="177"/>
      <c r="T40" s="177"/>
      <c r="U40" s="209"/>
      <c r="V40" s="177"/>
    </row>
    <row r="41" spans="1:22" s="2" customFormat="1" ht="16" hidden="1" outlineLevel="1">
      <c r="A41" s="6"/>
      <c r="B41" s="181"/>
      <c r="C41" s="182"/>
      <c r="D41" s="277"/>
      <c r="E41" s="215"/>
      <c r="F41" s="214"/>
      <c r="G41" s="214"/>
      <c r="H41" s="184"/>
      <c r="I41" s="181"/>
      <c r="J41" s="179"/>
      <c r="K41" s="179"/>
      <c r="L41" s="181"/>
      <c r="M41" s="179"/>
      <c r="N41" s="181"/>
      <c r="O41" s="181"/>
      <c r="P41" s="181"/>
      <c r="Q41" s="181"/>
      <c r="R41" s="262"/>
      <c r="S41" s="181"/>
      <c r="T41" s="181"/>
      <c r="U41" s="179"/>
      <c r="V41" s="181"/>
    </row>
    <row r="42" spans="1:22" s="2" customFormat="1" ht="16" hidden="1" outlineLevel="1">
      <c r="A42" s="6"/>
      <c r="B42" s="181"/>
      <c r="C42" s="182"/>
      <c r="D42" s="181"/>
      <c r="E42" s="215"/>
      <c r="F42" s="214"/>
      <c r="G42" s="214"/>
      <c r="H42" s="185"/>
      <c r="I42" s="181"/>
      <c r="J42" s="181"/>
      <c r="K42" s="181"/>
      <c r="L42" s="181"/>
      <c r="M42" s="181"/>
      <c r="N42" s="181"/>
      <c r="O42" s="181"/>
      <c r="P42" s="181"/>
      <c r="Q42" s="181"/>
      <c r="R42" s="181"/>
      <c r="S42" s="181"/>
      <c r="T42" s="181"/>
      <c r="U42" s="181"/>
      <c r="V42" s="181"/>
    </row>
    <row r="43" spans="1:22" s="2" customFormat="1" ht="17" collapsed="1">
      <c r="A43" s="6"/>
      <c r="B43" s="174">
        <v>8</v>
      </c>
      <c r="C43" s="175"/>
      <c r="D43" s="261" t="str">
        <f>VLOOKUP(B43,$C$102:$E$119,2,0)</f>
        <v>ID-004A</v>
      </c>
      <c r="E43" s="211" t="str" cm="1">
        <f t="array" ref="E43:I43">(_xlfn.XLOOKUP($D43,'B-1. THKL THEO ID'!$B:$B,('B-1. THKL THEO ID'!C:G),"N/A",0))</f>
        <v>CBS</v>
      </c>
      <c r="F43" s="211">
        <v>0</v>
      </c>
      <c r="G43" s="211">
        <v>0</v>
      </c>
      <c r="H43" s="183" t="str">
        <v>Ván Khuôn gỗ bê tông lót đài</v>
      </c>
      <c r="I43" s="208" t="str">
        <v>m2</v>
      </c>
      <c r="J43" s="174"/>
      <c r="K43" s="174"/>
      <c r="L43" s="174"/>
      <c r="M43" s="176"/>
      <c r="N43" s="174"/>
      <c r="O43" s="177"/>
      <c r="P43" s="177"/>
      <c r="Q43" s="177"/>
      <c r="R43" s="178">
        <f>SUBTOTAL(9,R44:R49)</f>
        <v>11.946000000000002</v>
      </c>
      <c r="S43" s="177"/>
      <c r="T43" s="177"/>
      <c r="U43" s="209">
        <f>SUBTOTAL(9,U44)</f>
        <v>1</v>
      </c>
      <c r="V43" s="177" t="s">
        <v>539</v>
      </c>
    </row>
    <row r="44" spans="1:22" s="2" customFormat="1" ht="17" hidden="1" outlineLevel="1">
      <c r="A44" s="6"/>
      <c r="B44" s="179"/>
      <c r="C44" s="180"/>
      <c r="D44" s="239"/>
      <c r="E44" s="213"/>
      <c r="F44" s="212"/>
      <c r="G44" s="212"/>
      <c r="H44" s="184" t="str">
        <f>'Dữ liệu đầu vào'!B31</f>
        <v>PC-1</v>
      </c>
      <c r="I44" s="179"/>
      <c r="J44" s="179">
        <f>VLOOKUP(H44,'Dữ liệu đầu vào'!$B$9:$Z$55,2,0)</f>
        <v>1</v>
      </c>
      <c r="K44" s="179">
        <f>VLOOKUP(H44,'Dữ liệu đầu vào'!$B$9:$Z$55,13,0)</f>
        <v>8.8000000000000007</v>
      </c>
      <c r="L44" s="179"/>
      <c r="M44" s="179">
        <f>VLOOKUP(H44,'Dữ liệu đầu vào'!$B$9:$Z$55,12,0)</f>
        <v>0.1</v>
      </c>
      <c r="N44" s="179"/>
      <c r="O44" s="179"/>
      <c r="P44" s="179"/>
      <c r="Q44" s="179"/>
      <c r="R44" s="262">
        <f>PRODUCT(J44:Q44)</f>
        <v>0.88000000000000012</v>
      </c>
      <c r="S44" s="179"/>
      <c r="T44" s="179"/>
      <c r="U44" s="181">
        <f>VLOOKUP(H44,'Dữ liệu đầu vào'!$B$9:$Z$55,3,0)</f>
        <v>1</v>
      </c>
      <c r="V44" s="179"/>
    </row>
    <row r="45" spans="1:22" s="2" customFormat="1" ht="16" hidden="1" outlineLevel="1">
      <c r="A45" s="6"/>
      <c r="B45" s="181"/>
      <c r="C45" s="182"/>
      <c r="D45" s="277"/>
      <c r="E45" s="215"/>
      <c r="F45" s="214"/>
      <c r="G45" s="214"/>
      <c r="H45" s="184"/>
      <c r="I45" s="181"/>
      <c r="J45" s="179"/>
      <c r="K45" s="179"/>
      <c r="L45" s="181"/>
      <c r="M45" s="179"/>
      <c r="N45" s="181"/>
      <c r="O45" s="181"/>
      <c r="P45" s="181"/>
      <c r="Q45" s="181"/>
      <c r="R45" s="262"/>
      <c r="S45" s="181"/>
      <c r="T45" s="325"/>
      <c r="U45" s="327">
        <f>SUBTOTAL(9,U46:U48)</f>
        <v>14</v>
      </c>
      <c r="V45" s="326" t="s">
        <v>540</v>
      </c>
    </row>
    <row r="46" spans="1:22" s="2" customFormat="1" ht="17" hidden="1" outlineLevel="1">
      <c r="A46" s="6"/>
      <c r="B46" s="181"/>
      <c r="C46" s="182"/>
      <c r="D46" s="277"/>
      <c r="E46" s="215"/>
      <c r="F46" s="214"/>
      <c r="G46" s="214"/>
      <c r="H46" s="184" t="str">
        <f>'Dữ liệu đầu vào'!B32</f>
        <v>PC-1A</v>
      </c>
      <c r="I46" s="181"/>
      <c r="J46" s="179">
        <f>VLOOKUP(H46,'Dữ liệu đầu vào'!$B$9:$Z$55,2,0)</f>
        <v>12</v>
      </c>
      <c r="K46" s="179">
        <f>VLOOKUP(H46,'Dữ liệu đầu vào'!$B$9:$Z$55,13,0)</f>
        <v>7.620000000000001</v>
      </c>
      <c r="L46" s="181"/>
      <c r="M46" s="179">
        <f>VLOOKUP(H46,'Dữ liệu đầu vào'!$B$9:$Z$55,12,0)</f>
        <v>0.1</v>
      </c>
      <c r="N46" s="181"/>
      <c r="O46" s="181"/>
      <c r="P46" s="181"/>
      <c r="Q46" s="181"/>
      <c r="R46" s="262">
        <f t="shared" ref="R46:R48" si="5">PRODUCT(J46:Q46)</f>
        <v>9.1440000000000019</v>
      </c>
      <c r="S46" s="181"/>
      <c r="T46" s="181"/>
      <c r="U46" s="320">
        <f>VLOOKUP(H46,'Dữ liệu đầu vào'!$B$9:$Z$55,4,0)*J46</f>
        <v>12</v>
      </c>
      <c r="V46" s="181"/>
    </row>
    <row r="47" spans="1:22" s="2" customFormat="1" ht="17" hidden="1" outlineLevel="1">
      <c r="A47" s="6"/>
      <c r="B47" s="181"/>
      <c r="C47" s="182"/>
      <c r="D47" s="277"/>
      <c r="E47" s="215"/>
      <c r="F47" s="214"/>
      <c r="G47" s="214"/>
      <c r="H47" s="184" t="str">
        <f>'Dữ liệu đầu vào'!B33</f>
        <v>PC-1AB</v>
      </c>
      <c r="I47" s="181"/>
      <c r="J47" s="179">
        <f>VLOOKUP(H47,'Dữ liệu đầu vào'!$B$9:$Z$55,2,0)</f>
        <v>1</v>
      </c>
      <c r="K47" s="179">
        <f>VLOOKUP(H47,'Dữ liệu đầu vào'!$B$9:$Z$55,13,0)</f>
        <v>9.94</v>
      </c>
      <c r="L47" s="181"/>
      <c r="M47" s="179">
        <f>VLOOKUP(H47,'Dữ liệu đầu vào'!$B$9:$Z$55,12,0)</f>
        <v>0.1</v>
      </c>
      <c r="N47" s="181"/>
      <c r="O47" s="181"/>
      <c r="P47" s="181"/>
      <c r="Q47" s="181"/>
      <c r="R47" s="262">
        <f t="shared" si="5"/>
        <v>0.99399999999999999</v>
      </c>
      <c r="S47" s="181"/>
      <c r="T47" s="181"/>
      <c r="U47" s="179">
        <f>VLOOKUP(H47,'Dữ liệu đầu vào'!$B$9:$Z$55,4,0)*J47</f>
        <v>1</v>
      </c>
      <c r="V47" s="181"/>
    </row>
    <row r="48" spans="1:22" s="2" customFormat="1" ht="17" hidden="1" outlineLevel="1">
      <c r="A48" s="6"/>
      <c r="B48" s="181"/>
      <c r="C48" s="182"/>
      <c r="D48" s="277"/>
      <c r="E48" s="215"/>
      <c r="F48" s="214"/>
      <c r="G48" s="214"/>
      <c r="H48" s="184" t="str">
        <f>'Dữ liệu đầu vào'!B34</f>
        <v>PC-1AA</v>
      </c>
      <c r="I48" s="181"/>
      <c r="J48" s="179">
        <f>VLOOKUP(H48,'Dữ liệu đầu vào'!$B$9:$Z$55,2,0)</f>
        <v>1</v>
      </c>
      <c r="K48" s="179">
        <f>VLOOKUP(H48,'Dữ liệu đầu vào'!$B$9:$Z$55,13,0)</f>
        <v>9.2799999999999994</v>
      </c>
      <c r="L48" s="181"/>
      <c r="M48" s="179">
        <f>VLOOKUP(H48,'Dữ liệu đầu vào'!$B$9:$Z$55,12,0)</f>
        <v>0.1</v>
      </c>
      <c r="N48" s="181"/>
      <c r="O48" s="181"/>
      <c r="P48" s="181"/>
      <c r="Q48" s="181"/>
      <c r="R48" s="262">
        <f t="shared" si="5"/>
        <v>0.92799999999999994</v>
      </c>
      <c r="S48" s="181"/>
      <c r="T48" s="181"/>
      <c r="U48" s="179">
        <f>VLOOKUP(H48,'Dữ liệu đầu vào'!$B$9:$Z$55,4,0)*J48</f>
        <v>1</v>
      </c>
      <c r="V48" s="181"/>
    </row>
    <row r="49" spans="1:22" s="2" customFormat="1" ht="16" hidden="1" outlineLevel="1">
      <c r="A49" s="6"/>
      <c r="B49" s="181"/>
      <c r="C49" s="182"/>
      <c r="D49" s="187"/>
      <c r="E49" s="215"/>
      <c r="F49" s="214"/>
      <c r="G49" s="214"/>
      <c r="H49" s="185"/>
      <c r="I49" s="181"/>
      <c r="J49" s="181"/>
      <c r="K49" s="181"/>
      <c r="L49" s="181"/>
      <c r="M49" s="181"/>
      <c r="N49" s="181"/>
      <c r="O49" s="181"/>
      <c r="P49" s="181"/>
      <c r="Q49" s="181"/>
      <c r="R49" s="181"/>
      <c r="S49" s="181"/>
      <c r="T49" s="181"/>
      <c r="U49" s="181"/>
      <c r="V49" s="181"/>
    </row>
    <row r="50" spans="1:22" s="2" customFormat="1" ht="17" collapsed="1">
      <c r="A50" s="6"/>
      <c r="B50" s="174">
        <v>9</v>
      </c>
      <c r="C50" s="175"/>
      <c r="D50" s="261" t="str">
        <f>VLOOKUP(B50,$C$102:$E$119,2,0)</f>
        <v>ID-005</v>
      </c>
      <c r="E50" s="211" t="str" cm="1">
        <f t="array" ref="E50:I50">(_xlfn.XLOOKUP($D50,'B-1. THKL THEO ID'!$B:$B,('B-1. THKL THEO ID'!C:G),"N/A",0))</f>
        <v>CBS</v>
      </c>
      <c r="F50" s="211" t="str">
        <v>BOQ-005</v>
      </c>
      <c r="G50" s="211">
        <v>0</v>
      </c>
      <c r="H50" s="183" t="str">
        <v>Bê tông lót móng M100</v>
      </c>
      <c r="I50" s="208" t="str">
        <v>m3</v>
      </c>
      <c r="J50" s="174"/>
      <c r="K50" s="174"/>
      <c r="L50" s="174"/>
      <c r="M50" s="176"/>
      <c r="N50" s="174"/>
      <c r="O50" s="177"/>
      <c r="P50" s="177"/>
      <c r="Q50" s="177"/>
      <c r="R50" s="178">
        <f>SUBTOTAL(9,R51:R57)</f>
        <v>5.0427859100666561</v>
      </c>
      <c r="S50" s="177"/>
      <c r="T50" s="177"/>
      <c r="U50" s="209">
        <f>SUBTOTAL(9,U51:U57)</f>
        <v>0</v>
      </c>
      <c r="V50" s="177"/>
    </row>
    <row r="51" spans="1:22" s="2" customFormat="1" ht="17" hidden="1" outlineLevel="1">
      <c r="A51" s="6"/>
      <c r="B51" s="179"/>
      <c r="C51" s="180"/>
      <c r="D51" s="239"/>
      <c r="E51" s="213"/>
      <c r="F51" s="212"/>
      <c r="G51" s="212"/>
      <c r="H51" s="184" t="str">
        <f>'Dữ liệu đầu vào'!B31</f>
        <v>PC-1</v>
      </c>
      <c r="I51" s="179"/>
      <c r="J51" s="179">
        <f>VLOOKUP(H51,'Dữ liệu đầu vào'!$B$9:$Z$55,2,0)</f>
        <v>1</v>
      </c>
      <c r="K51" s="179"/>
      <c r="L51" s="179"/>
      <c r="M51" s="179">
        <f>VLOOKUP(H51,'Dữ liệu đầu vào'!$B$9:$Z$55,12,0)</f>
        <v>0.1</v>
      </c>
      <c r="N51" s="179">
        <f>VLOOKUP(H51,'Dữ liệu đầu vào'!$B$9:$Z$55,14,0)</f>
        <v>4.8400000000000007</v>
      </c>
      <c r="O51" s="179"/>
      <c r="P51" s="179"/>
      <c r="Q51" s="179"/>
      <c r="R51" s="262">
        <f>PRODUCT(J51:Q51)</f>
        <v>0.4840000000000001</v>
      </c>
      <c r="S51" s="179"/>
      <c r="T51" s="179"/>
      <c r="U51" s="179"/>
      <c r="V51" s="179"/>
    </row>
    <row r="52" spans="1:22" s="2" customFormat="1" ht="17" hidden="1" outlineLevel="1">
      <c r="A52" s="6"/>
      <c r="B52" s="181"/>
      <c r="C52" s="182"/>
      <c r="D52" s="277"/>
      <c r="E52" s="215"/>
      <c r="F52" s="214"/>
      <c r="G52" s="214"/>
      <c r="H52" s="184" t="str">
        <f>'Dữ liệu đầu vào'!B32</f>
        <v>PC-1A</v>
      </c>
      <c r="I52" s="181"/>
      <c r="J52" s="179">
        <f>VLOOKUP(H52,'Dữ liệu đầu vào'!$B$9:$Z$55,2,0)</f>
        <v>12</v>
      </c>
      <c r="K52" s="179"/>
      <c r="L52" s="179"/>
      <c r="M52" s="179">
        <f>VLOOKUP(H52,'Dữ liệu đầu vào'!$B$9:$Z$55,12,0)</f>
        <v>0.1</v>
      </c>
      <c r="N52" s="179">
        <f>VLOOKUP(H52,'Dữ liệu đầu vào'!$B$9:$Z$55,14,0)</f>
        <v>3.6180000000000003</v>
      </c>
      <c r="O52" s="179"/>
      <c r="P52" s="179"/>
      <c r="Q52" s="179"/>
      <c r="R52" s="262">
        <f>PRODUCT(J52:Q52)</f>
        <v>4.3416000000000015</v>
      </c>
      <c r="S52" s="181"/>
      <c r="T52" s="181"/>
      <c r="U52" s="181"/>
      <c r="V52" s="181"/>
    </row>
    <row r="53" spans="1:22" s="2" customFormat="1" ht="17" hidden="1" outlineLevel="1">
      <c r="A53" s="6"/>
      <c r="B53" s="181"/>
      <c r="C53" s="182"/>
      <c r="D53" s="277"/>
      <c r="E53" s="215"/>
      <c r="F53" s="214"/>
      <c r="G53" s="214"/>
      <c r="H53" s="184" t="str">
        <f>'Dữ liệu đầu vào'!B33</f>
        <v>PC-1AB</v>
      </c>
      <c r="I53" s="181"/>
      <c r="J53" s="179">
        <f>VLOOKUP(H53,'Dữ liệu đầu vào'!$B$9:$Z$55,2,0)</f>
        <v>1</v>
      </c>
      <c r="K53" s="179"/>
      <c r="L53" s="181"/>
      <c r="M53" s="179">
        <f>VLOOKUP(H53,'Dữ liệu đầu vào'!$B$9:$Z$55,12,0)</f>
        <v>0.1</v>
      </c>
      <c r="N53" s="179">
        <f>VLOOKUP(H53,'Dữ liệu đầu vào'!$B$9:$Z$55,14,0)</f>
        <v>5.3</v>
      </c>
      <c r="O53" s="181"/>
      <c r="P53" s="181"/>
      <c r="Q53" s="181"/>
      <c r="R53" s="262">
        <f t="shared" ref="R53:R55" si="6">PRODUCT(J53:Q53)</f>
        <v>0.53</v>
      </c>
      <c r="S53" s="181"/>
      <c r="T53" s="181"/>
      <c r="U53" s="181"/>
      <c r="V53" s="181"/>
    </row>
    <row r="54" spans="1:22" s="2" customFormat="1" ht="17" hidden="1" outlineLevel="1">
      <c r="A54" s="6"/>
      <c r="B54" s="181"/>
      <c r="C54" s="182"/>
      <c r="D54" s="277"/>
      <c r="E54" s="215"/>
      <c r="F54" s="214"/>
      <c r="G54" s="214"/>
      <c r="H54" s="184" t="str">
        <f>'Dữ liệu đầu vào'!B34</f>
        <v>PC-1AA</v>
      </c>
      <c r="I54" s="181"/>
      <c r="J54" s="179">
        <f>VLOOKUP(H54,'Dữ liệu đầu vào'!$B$9:$Z$55,2,0)</f>
        <v>1</v>
      </c>
      <c r="K54" s="179"/>
      <c r="L54" s="181"/>
      <c r="M54" s="179">
        <f>VLOOKUP(H54,'Dữ liệu đầu vào'!$B$9:$Z$55,12,0)</f>
        <v>0.1</v>
      </c>
      <c r="N54" s="179">
        <f>VLOOKUP(H54,'Dữ liệu đầu vào'!$B$9:$Z$55,14,0)</f>
        <v>5.04</v>
      </c>
      <c r="O54" s="181"/>
      <c r="P54" s="181"/>
      <c r="Q54" s="181"/>
      <c r="R54" s="262">
        <f t="shared" si="6"/>
        <v>0.504</v>
      </c>
      <c r="S54" s="181"/>
      <c r="T54" s="181"/>
      <c r="U54" s="181"/>
      <c r="V54" s="181"/>
    </row>
    <row r="55" spans="1:22" s="2" customFormat="1" ht="17" hidden="1" outlineLevel="1">
      <c r="A55" s="6"/>
      <c r="B55" s="181"/>
      <c r="C55" s="182"/>
      <c r="D55" s="277"/>
      <c r="E55" s="215"/>
      <c r="F55" s="214"/>
      <c r="G55" s="214"/>
      <c r="H55" s="185" t="s">
        <v>541</v>
      </c>
      <c r="I55" s="181"/>
      <c r="J55" s="279">
        <f>U43</f>
        <v>1</v>
      </c>
      <c r="K55" s="179"/>
      <c r="L55" s="181"/>
      <c r="M55" s="179">
        <v>0.1</v>
      </c>
      <c r="N55" s="278">
        <f>PI()*0.6^2</f>
        <v>1.1309733552923256</v>
      </c>
      <c r="O55" s="181">
        <v>-1</v>
      </c>
      <c r="P55" s="181"/>
      <c r="Q55" s="181"/>
      <c r="R55" s="262">
        <f t="shared" si="6"/>
        <v>-0.11309733552923257</v>
      </c>
      <c r="S55" s="181"/>
      <c r="T55" s="181"/>
      <c r="U55" s="181"/>
      <c r="V55" s="181"/>
    </row>
    <row r="56" spans="1:22" s="2" customFormat="1" ht="17" hidden="1" outlineLevel="1">
      <c r="A56" s="6"/>
      <c r="B56" s="181"/>
      <c r="C56" s="182"/>
      <c r="D56" s="277"/>
      <c r="E56" s="215"/>
      <c r="F56" s="214"/>
      <c r="G56" s="214"/>
      <c r="H56" s="185" t="s">
        <v>541</v>
      </c>
      <c r="I56" s="181"/>
      <c r="J56" s="279">
        <f>U45</f>
        <v>14</v>
      </c>
      <c r="K56" s="179"/>
      <c r="L56" s="181"/>
      <c r="M56" s="179">
        <v>0.1</v>
      </c>
      <c r="N56" s="278">
        <f>PI()*0.4^2</f>
        <v>0.50265482457436694</v>
      </c>
      <c r="O56" s="181">
        <v>-1</v>
      </c>
      <c r="P56" s="181"/>
      <c r="Q56" s="181"/>
      <c r="R56" s="262">
        <f t="shared" ref="R56" si="7">PRODUCT(J56:Q56)</f>
        <v>-0.70371675440411374</v>
      </c>
      <c r="S56" s="181"/>
      <c r="T56" s="181"/>
      <c r="U56" s="181"/>
      <c r="V56" s="181"/>
    </row>
    <row r="57" spans="1:22" s="2" customFormat="1" ht="16" hidden="1" outlineLevel="1">
      <c r="A57" s="6"/>
      <c r="B57" s="181"/>
      <c r="C57" s="182"/>
      <c r="D57" s="181"/>
      <c r="E57" s="215"/>
      <c r="F57" s="214"/>
      <c r="G57" s="214"/>
      <c r="H57" s="185"/>
      <c r="I57" s="181"/>
      <c r="J57" s="181"/>
      <c r="K57" s="181"/>
      <c r="L57" s="181"/>
      <c r="M57" s="181"/>
      <c r="N57" s="181"/>
      <c r="O57" s="181"/>
      <c r="P57" s="181"/>
      <c r="Q57" s="181"/>
      <c r="R57" s="181"/>
      <c r="S57" s="181"/>
      <c r="T57" s="181"/>
      <c r="U57" s="181"/>
      <c r="V57" s="181"/>
    </row>
    <row r="58" spans="1:22" s="2" customFormat="1" ht="51" collapsed="1">
      <c r="A58" s="6"/>
      <c r="B58" s="174">
        <v>10</v>
      </c>
      <c r="C58" s="175"/>
      <c r="D58" s="261" t="str">
        <f>VLOOKUP(B58,$C$102:$E$119,2,0)</f>
        <v>ID-006</v>
      </c>
      <c r="E58" s="211" cm="1">
        <f t="array" ref="E58:I58">(_xlfn.XLOOKUP($D58,'B-1. THKL THEO ID'!$B:$B,('B-1. THKL THEO ID'!C:G),"N/A",0))</f>
        <v>0</v>
      </c>
      <c r="F58" s="211" t="str">
        <v>BOQ-006</v>
      </c>
      <c r="G58" s="211">
        <v>0</v>
      </c>
      <c r="H58" s="183" t="str">
        <v>Ván khuôn kim loại bê tông móng (đài, giằng, sàn, hố bơm, rãnh nước, bê phốt)</v>
      </c>
      <c r="I58" s="208" t="str">
        <v>100m2</v>
      </c>
      <c r="J58" s="174"/>
      <c r="K58" s="174"/>
      <c r="L58" s="174"/>
      <c r="M58" s="176"/>
      <c r="N58" s="174"/>
      <c r="O58" s="177"/>
      <c r="P58" s="177"/>
      <c r="Q58" s="177"/>
      <c r="R58" s="178">
        <f>R61/100</f>
        <v>1.1792799999999999</v>
      </c>
      <c r="S58" s="177"/>
      <c r="T58" s="177"/>
      <c r="U58" s="209">
        <f>SUBTOTAL(9,U59:U60)</f>
        <v>0</v>
      </c>
      <c r="V58" s="177"/>
    </row>
    <row r="59" spans="1:22" s="2" customFormat="1" ht="16" hidden="1" outlineLevel="1">
      <c r="A59" s="6"/>
      <c r="B59" s="181"/>
      <c r="C59" s="182"/>
      <c r="D59" s="277"/>
      <c r="E59" s="215"/>
      <c r="F59" s="214"/>
      <c r="G59" s="214"/>
      <c r="H59" s="185"/>
      <c r="I59" s="181"/>
      <c r="J59" s="181"/>
      <c r="K59" s="181"/>
      <c r="L59" s="181"/>
      <c r="M59" s="181"/>
      <c r="N59" s="181"/>
      <c r="O59" s="181"/>
      <c r="P59" s="181"/>
      <c r="Q59" s="181"/>
      <c r="R59" s="278"/>
      <c r="S59" s="181"/>
      <c r="T59" s="181"/>
      <c r="U59" s="181"/>
      <c r="V59" s="181"/>
    </row>
    <row r="60" spans="1:22" s="2" customFormat="1" ht="16" hidden="1" outlineLevel="1">
      <c r="A60" s="6"/>
      <c r="B60" s="181"/>
      <c r="C60" s="182"/>
      <c r="D60" s="181"/>
      <c r="E60" s="215"/>
      <c r="F60" s="214"/>
      <c r="G60" s="214"/>
      <c r="H60" s="185"/>
      <c r="I60" s="181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181"/>
      <c r="V60" s="181"/>
    </row>
    <row r="61" spans="1:22" s="2" customFormat="1" ht="17" collapsed="1">
      <c r="A61" s="6"/>
      <c r="B61" s="174">
        <v>11</v>
      </c>
      <c r="C61" s="175"/>
      <c r="D61" s="261" t="str">
        <f>VLOOKUP(B61,$C$102:$E$119,2,0)</f>
        <v>ID-006A</v>
      </c>
      <c r="E61" s="211" t="str" cm="1">
        <f t="array" ref="E61:I61">(_xlfn.XLOOKUP($D61,'B-1. THKL THEO ID'!$B:$B,('B-1. THKL THEO ID'!C:G),"N/A",0))</f>
        <v>CBS</v>
      </c>
      <c r="F61" s="211">
        <v>0</v>
      </c>
      <c r="G61" s="211">
        <v>0</v>
      </c>
      <c r="H61" s="183" t="str">
        <v>Ván khuôn gỗ ép bê tông đài móng</v>
      </c>
      <c r="I61" s="208" t="str">
        <v>m2</v>
      </c>
      <c r="J61" s="174"/>
      <c r="K61" s="174"/>
      <c r="L61" s="174"/>
      <c r="M61" s="176"/>
      <c r="N61" s="174"/>
      <c r="O61" s="177"/>
      <c r="P61" s="177"/>
      <c r="Q61" s="177"/>
      <c r="R61" s="178">
        <f>SUBTOTAL(9,R62:R70)</f>
        <v>117.92799999999998</v>
      </c>
      <c r="S61" s="177"/>
      <c r="T61" s="177"/>
      <c r="U61" s="178">
        <f>SUBTOTAL(9,U62:U62)</f>
        <v>0</v>
      </c>
      <c r="V61" s="177"/>
    </row>
    <row r="62" spans="1:22" s="2" customFormat="1" ht="17" hidden="1" outlineLevel="1">
      <c r="A62" s="6"/>
      <c r="B62" s="179"/>
      <c r="C62" s="180"/>
      <c r="D62" s="186"/>
      <c r="E62" s="213"/>
      <c r="F62" s="212"/>
      <c r="G62" s="212"/>
      <c r="H62" s="184" t="str">
        <f>'Dữ liệu đầu vào'!B31</f>
        <v>PC-1</v>
      </c>
      <c r="I62" s="179"/>
      <c r="J62" s="179">
        <f>VLOOKUP(H62,'Dữ liệu đầu vào'!$B$9:$Z$55,2,0)</f>
        <v>1</v>
      </c>
      <c r="K62" s="179">
        <f>VLOOKUP(H62,'Dữ liệu đầu vào'!$B$9:$Z$55,18,0)</f>
        <v>8</v>
      </c>
      <c r="L62" s="179"/>
      <c r="M62" s="179">
        <f>VLOOKUP(H62,'Dữ liệu đầu vào'!$B$9:$Z$55,17,0)</f>
        <v>1.2</v>
      </c>
      <c r="N62" s="179"/>
      <c r="O62" s="179"/>
      <c r="P62" s="179"/>
      <c r="Q62" s="179"/>
      <c r="R62" s="262">
        <f>PRODUCT(J62:Q62)</f>
        <v>9.6</v>
      </c>
      <c r="S62" s="179"/>
      <c r="T62" s="179"/>
      <c r="U62" s="179"/>
      <c r="V62" s="179"/>
    </row>
    <row r="63" spans="1:22" s="2" customFormat="1" ht="17" hidden="1" outlineLevel="1">
      <c r="A63" s="6"/>
      <c r="B63" s="181"/>
      <c r="C63" s="182"/>
      <c r="D63" s="187"/>
      <c r="E63" s="215"/>
      <c r="F63" s="214"/>
      <c r="G63" s="214"/>
      <c r="H63" s="184" t="str">
        <f>'Dữ liệu đầu vào'!B32</f>
        <v>PC-1A</v>
      </c>
      <c r="I63" s="181"/>
      <c r="J63" s="179">
        <f>VLOOKUP(H63,'Dữ liệu đầu vào'!$B$9:$Z$55,2,0)</f>
        <v>12</v>
      </c>
      <c r="K63" s="179">
        <f>VLOOKUP(H63,'Dữ liệu đầu vào'!$B$9:$Z$55,18,0)</f>
        <v>6.82</v>
      </c>
      <c r="L63" s="179"/>
      <c r="M63" s="179">
        <f>VLOOKUP(H63,'Dữ liệu đầu vào'!$B$9:$Z$55,17,0)</f>
        <v>1.2</v>
      </c>
      <c r="N63" s="179"/>
      <c r="O63" s="181"/>
      <c r="P63" s="181"/>
      <c r="Q63" s="181"/>
      <c r="R63" s="262">
        <f>PRODUCT(J63:Q63)</f>
        <v>98.207999999999998</v>
      </c>
      <c r="S63" s="181"/>
      <c r="T63" s="181"/>
      <c r="U63" s="181"/>
      <c r="V63" s="181"/>
    </row>
    <row r="64" spans="1:22" s="2" customFormat="1" ht="17" hidden="1" outlineLevel="1">
      <c r="A64" s="6"/>
      <c r="B64" s="181"/>
      <c r="C64" s="182"/>
      <c r="D64" s="187"/>
      <c r="E64" s="215"/>
      <c r="F64" s="214"/>
      <c r="G64" s="214"/>
      <c r="H64" s="184" t="str">
        <f>'Dữ liệu đầu vào'!B33</f>
        <v>PC-1AB</v>
      </c>
      <c r="I64" s="181"/>
      <c r="J64" s="179">
        <f>VLOOKUP(H64,'Dữ liệu đầu vào'!$B$9:$Z$55,2,0)</f>
        <v>1</v>
      </c>
      <c r="K64" s="179">
        <f>VLOOKUP(H64,'Dữ liệu đầu vào'!$B$9:$Z$55,18,0)</f>
        <v>9.36</v>
      </c>
      <c r="L64" s="181"/>
      <c r="M64" s="179">
        <f>VLOOKUP(H64,'Dữ liệu đầu vào'!$B$9:$Z$55,17,0)</f>
        <v>1.2</v>
      </c>
      <c r="N64" s="179"/>
      <c r="O64" s="181"/>
      <c r="P64" s="181"/>
      <c r="Q64" s="181"/>
      <c r="R64" s="262">
        <f t="shared" ref="R64:R67" si="8">PRODUCT(J64:Q64)</f>
        <v>11.231999999999999</v>
      </c>
      <c r="S64" s="181"/>
      <c r="T64" s="181"/>
      <c r="U64" s="181"/>
      <c r="V64" s="181"/>
    </row>
    <row r="65" spans="1:22" s="2" customFormat="1" ht="17" hidden="1" outlineLevel="1">
      <c r="A65" s="6"/>
      <c r="B65" s="181"/>
      <c r="C65" s="182"/>
      <c r="D65" s="187"/>
      <c r="E65" s="215"/>
      <c r="F65" s="214"/>
      <c r="G65" s="214"/>
      <c r="H65" s="184" t="str">
        <f>'Dữ liệu đầu vào'!B34</f>
        <v>PC-1AA</v>
      </c>
      <c r="I65" s="181"/>
      <c r="J65" s="179">
        <f>VLOOKUP(H65,'Dữ liệu đầu vào'!$B$9:$Z$55,2,0)</f>
        <v>1</v>
      </c>
      <c r="K65" s="179">
        <f>VLOOKUP(H65,'Dữ liệu đầu vào'!$B$9:$Z$55,18,0)</f>
        <v>8.4600000000000009</v>
      </c>
      <c r="L65" s="181"/>
      <c r="M65" s="179">
        <f>VLOOKUP(H65,'Dữ liệu đầu vào'!$B$9:$Z$55,17,0)</f>
        <v>1.2</v>
      </c>
      <c r="N65" s="179"/>
      <c r="O65" s="181"/>
      <c r="P65" s="181"/>
      <c r="Q65" s="181"/>
      <c r="R65" s="262">
        <f t="shared" si="8"/>
        <v>10.152000000000001</v>
      </c>
      <c r="S65" s="181"/>
      <c r="T65" s="181"/>
      <c r="U65" s="181"/>
      <c r="V65" s="181"/>
    </row>
    <row r="66" spans="1:22" s="2" customFormat="1" ht="17" hidden="1" outlineLevel="1">
      <c r="A66" s="6"/>
      <c r="B66" s="181"/>
      <c r="C66" s="181"/>
      <c r="D66" s="187"/>
      <c r="E66" s="215"/>
      <c r="F66" s="214"/>
      <c r="G66" s="214"/>
      <c r="H66" s="185" t="s">
        <v>542</v>
      </c>
      <c r="I66" s="181"/>
      <c r="J66" s="181">
        <v>1</v>
      </c>
      <c r="K66" s="181">
        <v>23.9</v>
      </c>
      <c r="L66" s="181"/>
      <c r="M66" s="181">
        <v>0.3</v>
      </c>
      <c r="N66" s="181"/>
      <c r="O66" s="181"/>
      <c r="P66" s="181"/>
      <c r="Q66" s="181"/>
      <c r="R66" s="328">
        <f t="shared" si="8"/>
        <v>7.169999999999999</v>
      </c>
      <c r="S66" s="181"/>
      <c r="T66" s="181"/>
      <c r="U66" s="181"/>
      <c r="V66" s="181"/>
    </row>
    <row r="67" spans="1:22" s="2" customFormat="1" ht="17" hidden="1" outlineLevel="1">
      <c r="A67" s="6"/>
      <c r="B67" s="181"/>
      <c r="C67" s="181"/>
      <c r="D67" s="187"/>
      <c r="E67" s="215"/>
      <c r="F67" s="214"/>
      <c r="G67" s="214"/>
      <c r="H67" s="185" t="s">
        <v>558</v>
      </c>
      <c r="I67" s="181"/>
      <c r="J67" s="181">
        <v>1</v>
      </c>
      <c r="K67" s="181">
        <v>1</v>
      </c>
      <c r="L67" s="181"/>
      <c r="M67" s="181">
        <v>1.3</v>
      </c>
      <c r="N67" s="181"/>
      <c r="O67" s="181">
        <v>-1</v>
      </c>
      <c r="P67" s="181"/>
      <c r="Q67" s="181"/>
      <c r="R67" s="328">
        <f t="shared" si="8"/>
        <v>-1.3</v>
      </c>
      <c r="S67" s="181"/>
      <c r="T67" s="181"/>
      <c r="U67" s="181"/>
      <c r="V67" s="181"/>
    </row>
    <row r="68" spans="1:22" s="2" customFormat="1" ht="17" hidden="1" outlineLevel="1">
      <c r="A68" s="6"/>
      <c r="B68" s="181"/>
      <c r="C68" s="181"/>
      <c r="D68" s="187"/>
      <c r="E68" s="215"/>
      <c r="F68" s="214"/>
      <c r="G68" s="214"/>
      <c r="H68" s="185" t="s">
        <v>559</v>
      </c>
      <c r="I68" s="181"/>
      <c r="J68" s="181">
        <v>1</v>
      </c>
      <c r="K68" s="181">
        <v>17.62</v>
      </c>
      <c r="L68" s="181"/>
      <c r="M68" s="181">
        <v>0.7</v>
      </c>
      <c r="N68" s="181"/>
      <c r="O68" s="181">
        <v>-1</v>
      </c>
      <c r="P68" s="181"/>
      <c r="Q68" s="181"/>
      <c r="R68" s="328">
        <f t="shared" ref="R68:R69" si="9">PRODUCT(J68:Q68)</f>
        <v>-12.334</v>
      </c>
      <c r="S68" s="181"/>
      <c r="T68" s="181"/>
      <c r="U68" s="181"/>
      <c r="V68" s="181"/>
    </row>
    <row r="69" spans="1:22" s="2" customFormat="1" ht="17" hidden="1" outlineLevel="1">
      <c r="A69" s="6"/>
      <c r="B69" s="181"/>
      <c r="C69" s="181"/>
      <c r="D69" s="187"/>
      <c r="E69" s="215"/>
      <c r="F69" s="214"/>
      <c r="G69" s="214"/>
      <c r="H69" s="185" t="s">
        <v>560</v>
      </c>
      <c r="I69" s="181"/>
      <c r="J69" s="181">
        <v>1</v>
      </c>
      <c r="K69" s="181">
        <v>9.6</v>
      </c>
      <c r="L69" s="181"/>
      <c r="M69" s="181">
        <v>0.5</v>
      </c>
      <c r="N69" s="181"/>
      <c r="O69" s="181">
        <v>-1</v>
      </c>
      <c r="P69" s="181"/>
      <c r="Q69" s="181"/>
      <c r="R69" s="328">
        <f t="shared" si="9"/>
        <v>-4.8</v>
      </c>
      <c r="S69" s="181"/>
      <c r="T69" s="181"/>
      <c r="U69" s="181"/>
      <c r="V69" s="181"/>
    </row>
    <row r="70" spans="1:22" s="2" customFormat="1" ht="16" hidden="1" outlineLevel="1">
      <c r="A70" s="6"/>
      <c r="B70" s="181"/>
      <c r="C70" s="182"/>
      <c r="D70" s="187"/>
      <c r="E70" s="215"/>
      <c r="F70" s="214"/>
      <c r="G70" s="214"/>
      <c r="H70" s="185"/>
      <c r="I70" s="181"/>
      <c r="J70" s="181"/>
      <c r="K70" s="181"/>
      <c r="L70" s="181"/>
      <c r="M70" s="181"/>
      <c r="N70" s="181"/>
      <c r="O70" s="181"/>
      <c r="P70" s="181"/>
      <c r="Q70" s="181"/>
      <c r="R70" s="181"/>
      <c r="S70" s="181"/>
      <c r="T70" s="181"/>
      <c r="U70" s="181"/>
      <c r="V70" s="181"/>
    </row>
    <row r="71" spans="1:22" s="2" customFormat="1" ht="17" collapsed="1">
      <c r="A71" s="6"/>
      <c r="B71" s="174">
        <v>12</v>
      </c>
      <c r="C71" s="175"/>
      <c r="D71" s="261" t="str">
        <f>VLOOKUP(B71,$C$102:$E$119,2,0)</f>
        <v>ID-007A</v>
      </c>
      <c r="E71" s="211" cm="1">
        <f t="array" ref="E71:I71">(_xlfn.XLOOKUP($D71,'B-1. THKL THEO ID'!$B:$B,('B-1. THKL THEO ID'!C:G),"N/A",0))</f>
        <v>0</v>
      </c>
      <c r="F71" s="211" t="str">
        <v>BOQ-007</v>
      </c>
      <c r="G71" s="211">
        <v>0</v>
      </c>
      <c r="H71" s="183" t="str">
        <v>Thép móng D&lt;=10</v>
      </c>
      <c r="I71" s="208" t="str">
        <v>tấn</v>
      </c>
      <c r="J71" s="174"/>
      <c r="K71" s="174"/>
      <c r="L71" s="174"/>
      <c r="M71" s="176"/>
      <c r="N71" s="174"/>
      <c r="O71" s="177"/>
      <c r="P71" s="177"/>
      <c r="Q71" s="177"/>
      <c r="R71" s="178">
        <f>SUBTOTAL(9,R72:R73)</f>
        <v>0</v>
      </c>
      <c r="S71" s="177"/>
      <c r="T71" s="177"/>
      <c r="U71" s="209">
        <f>SUBTOTAL(9,U72:U73)</f>
        <v>0</v>
      </c>
      <c r="V71" s="177"/>
    </row>
    <row r="72" spans="1:22" s="2" customFormat="1" ht="16" hidden="1" outlineLevel="1">
      <c r="A72" s="6"/>
      <c r="B72" s="179"/>
      <c r="C72" s="180"/>
      <c r="D72" s="239"/>
      <c r="E72" s="213"/>
      <c r="F72" s="212"/>
      <c r="G72" s="212"/>
      <c r="H72" s="184"/>
      <c r="I72" s="179"/>
      <c r="J72" s="179"/>
      <c r="K72" s="179"/>
      <c r="L72" s="179"/>
      <c r="M72" s="179"/>
      <c r="N72" s="179"/>
      <c r="O72" s="179"/>
      <c r="P72" s="179"/>
      <c r="Q72" s="179"/>
      <c r="R72" s="262"/>
      <c r="S72" s="179"/>
      <c r="T72" s="179"/>
      <c r="U72" s="179"/>
      <c r="V72" s="179"/>
    </row>
    <row r="73" spans="1:22" s="2" customFormat="1" ht="16" hidden="1" outlineLevel="1">
      <c r="A73" s="6"/>
      <c r="B73" s="181"/>
      <c r="C73" s="182"/>
      <c r="D73" s="181"/>
      <c r="E73" s="215"/>
      <c r="F73" s="214"/>
      <c r="G73" s="214"/>
      <c r="H73" s="185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</row>
    <row r="74" spans="1:22" s="2" customFormat="1" ht="17" collapsed="1">
      <c r="A74" s="6"/>
      <c r="B74" s="174">
        <v>13</v>
      </c>
      <c r="C74" s="175"/>
      <c r="D74" s="261" t="str">
        <f>VLOOKUP(B74,$C$102:$E$119,2,0)</f>
        <v>ID-007B</v>
      </c>
      <c r="E74" s="211" cm="1">
        <f t="array" ref="E74:I74">(_xlfn.XLOOKUP($D74,'B-1. THKL THEO ID'!$B:$B,('B-1. THKL THEO ID'!C:G),"N/A",0))</f>
        <v>0</v>
      </c>
      <c r="F74" s="211" t="str">
        <v>BOQ-008</v>
      </c>
      <c r="G74" s="211">
        <v>0</v>
      </c>
      <c r="H74" s="183" t="str">
        <v>Thép móng D&lt;=18</v>
      </c>
      <c r="I74" s="208" t="str">
        <v>tấn</v>
      </c>
      <c r="J74" s="174"/>
      <c r="K74" s="174"/>
      <c r="L74" s="174"/>
      <c r="M74" s="176"/>
      <c r="N74" s="174"/>
      <c r="O74" s="177"/>
      <c r="P74" s="177"/>
      <c r="Q74" s="177"/>
      <c r="R74" s="178">
        <f>SUBTOTAL(9,R75:R76)</f>
        <v>0</v>
      </c>
      <c r="S74" s="177"/>
      <c r="T74" s="177"/>
      <c r="U74" s="209">
        <f>SUBTOTAL(9,U75:U76)</f>
        <v>0</v>
      </c>
      <c r="V74" s="177"/>
    </row>
    <row r="75" spans="1:22" s="2" customFormat="1" ht="16" hidden="1" outlineLevel="1">
      <c r="A75" s="6"/>
      <c r="B75" s="179"/>
      <c r="C75" s="180"/>
      <c r="D75" s="239"/>
      <c r="E75" s="213"/>
      <c r="F75" s="212"/>
      <c r="G75" s="212"/>
      <c r="H75" s="184"/>
      <c r="I75" s="179"/>
      <c r="J75" s="179"/>
      <c r="K75" s="179"/>
      <c r="L75" s="179"/>
      <c r="M75" s="179"/>
      <c r="N75" s="179"/>
      <c r="O75" s="179"/>
      <c r="P75" s="179"/>
      <c r="Q75" s="179"/>
      <c r="R75" s="262"/>
      <c r="S75" s="179"/>
      <c r="T75" s="179"/>
      <c r="U75" s="179"/>
      <c r="V75" s="179"/>
    </row>
    <row r="76" spans="1:22" s="2" customFormat="1" ht="16" hidden="1" outlineLevel="1">
      <c r="A76" s="6"/>
      <c r="B76" s="181"/>
      <c r="C76" s="182"/>
      <c r="D76" s="181"/>
      <c r="E76" s="215"/>
      <c r="F76" s="214"/>
      <c r="G76" s="214"/>
      <c r="H76" s="185"/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181"/>
      <c r="V76" s="181"/>
    </row>
    <row r="77" spans="1:22" s="2" customFormat="1" ht="17" collapsed="1">
      <c r="A77" s="6"/>
      <c r="B77" s="174">
        <v>14</v>
      </c>
      <c r="C77" s="175"/>
      <c r="D77" s="261" t="str">
        <f>VLOOKUP(B77,$C$102:$E$119,2,0)</f>
        <v>ID-007C</v>
      </c>
      <c r="E77" s="211" cm="1">
        <f t="array" ref="E77:I77">(_xlfn.XLOOKUP($D77,'B-1. THKL THEO ID'!$B:$B,('B-1. THKL THEO ID'!C:G),"N/A",0))</f>
        <v>0</v>
      </c>
      <c r="F77" s="211" t="str">
        <v>BOQ-009</v>
      </c>
      <c r="G77" s="211">
        <v>0</v>
      </c>
      <c r="H77" s="183" t="str">
        <v>Thép móng D&gt;18</v>
      </c>
      <c r="I77" s="208" t="str">
        <v>tấn</v>
      </c>
      <c r="J77" s="174"/>
      <c r="K77" s="174"/>
      <c r="L77" s="174"/>
      <c r="M77" s="176"/>
      <c r="N77" s="174"/>
      <c r="O77" s="177"/>
      <c r="P77" s="177"/>
      <c r="Q77" s="177"/>
      <c r="R77" s="178">
        <f>SUBTOTAL(9,R78:R79)</f>
        <v>0</v>
      </c>
      <c r="S77" s="177"/>
      <c r="T77" s="177"/>
      <c r="U77" s="178">
        <f>SUBTOTAL(9,U78:U78)</f>
        <v>0</v>
      </c>
      <c r="V77" s="177"/>
    </row>
    <row r="78" spans="1:22" s="2" customFormat="1" ht="16" hidden="1" outlineLevel="1">
      <c r="A78" s="6"/>
      <c r="B78" s="179"/>
      <c r="C78" s="180"/>
      <c r="D78" s="186"/>
      <c r="E78" s="213"/>
      <c r="F78" s="212"/>
      <c r="G78" s="212"/>
      <c r="H78" s="184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</row>
    <row r="79" spans="1:22" s="2" customFormat="1" ht="16" hidden="1" outlineLevel="1">
      <c r="A79" s="6"/>
      <c r="B79" s="181"/>
      <c r="C79" s="182"/>
      <c r="D79" s="187"/>
      <c r="E79" s="215"/>
      <c r="F79" s="214"/>
      <c r="G79" s="214"/>
      <c r="H79" s="185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181"/>
      <c r="T79" s="181"/>
      <c r="U79" s="181"/>
      <c r="V79" s="181"/>
    </row>
    <row r="80" spans="1:22" s="2" customFormat="1" ht="17" collapsed="1">
      <c r="A80" s="6"/>
      <c r="B80" s="174">
        <v>15</v>
      </c>
      <c r="C80" s="175"/>
      <c r="D80" s="261" t="str">
        <f>VLOOKUP(B80,$C$102:$E$119,2,0)</f>
        <v>ID-007</v>
      </c>
      <c r="E80" s="211" t="str" cm="1">
        <f t="array" ref="E80:I80">(_xlfn.XLOOKUP($D80,'B-1. THKL THEO ID'!$B:$B,('B-1. THKL THEO ID'!C:G),"N/A",0))</f>
        <v>CBS</v>
      </c>
      <c r="F80" s="211">
        <v>0</v>
      </c>
      <c r="G80" s="211">
        <v>0</v>
      </c>
      <c r="H80" s="183" t="str">
        <v>Thép móng full ( kg)</v>
      </c>
      <c r="I80" s="208" t="str">
        <v>kg</v>
      </c>
      <c r="J80" s="174"/>
      <c r="K80" s="174"/>
      <c r="L80" s="174"/>
      <c r="M80" s="176"/>
      <c r="N80" s="174"/>
      <c r="O80" s="177"/>
      <c r="P80" s="177"/>
      <c r="Q80" s="177"/>
      <c r="R80" s="178">
        <f>SUBTOTAL(9,R81:R82)</f>
        <v>0</v>
      </c>
      <c r="S80" s="177"/>
      <c r="T80" s="177"/>
      <c r="U80" s="209">
        <f>SUBTOTAL(9,U81:U82)</f>
        <v>0</v>
      </c>
      <c r="V80" s="177"/>
    </row>
    <row r="81" spans="1:22" s="2" customFormat="1" ht="16" hidden="1" outlineLevel="1">
      <c r="A81" s="6"/>
      <c r="B81" s="179"/>
      <c r="C81" s="180"/>
      <c r="D81" s="239"/>
      <c r="E81" s="213"/>
      <c r="F81" s="212"/>
      <c r="G81" s="212"/>
      <c r="H81" s="184"/>
      <c r="I81" s="179"/>
      <c r="J81" s="179"/>
      <c r="K81" s="179"/>
      <c r="L81" s="179"/>
      <c r="M81" s="179"/>
      <c r="N81" s="179"/>
      <c r="O81" s="179"/>
      <c r="P81" s="179"/>
      <c r="Q81" s="179"/>
      <c r="R81" s="262"/>
      <c r="S81" s="179"/>
      <c r="T81" s="179"/>
      <c r="U81" s="179"/>
      <c r="V81" s="179"/>
    </row>
    <row r="82" spans="1:22" s="2" customFormat="1" ht="16" hidden="1" outlineLevel="1">
      <c r="A82" s="6"/>
      <c r="B82" s="181"/>
      <c r="C82" s="182"/>
      <c r="D82" s="181"/>
      <c r="E82" s="215"/>
      <c r="F82" s="214"/>
      <c r="G82" s="214"/>
      <c r="H82" s="185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181"/>
      <c r="V82" s="181"/>
    </row>
    <row r="83" spans="1:22" s="2" customFormat="1" ht="17" collapsed="1">
      <c r="A83" s="6"/>
      <c r="B83" s="174">
        <v>16</v>
      </c>
      <c r="C83" s="175"/>
      <c r="D83" s="261" t="str">
        <f>VLOOKUP(B83,$C$102:$E$119,2,0)</f>
        <v>ID-008</v>
      </c>
      <c r="E83" s="211" t="str" cm="1">
        <f t="array" ref="E83:I83">(_xlfn.XLOOKUP($D83,'B-1. THKL THEO ID'!$B:$B,('B-1. THKL THEO ID'!C:G),"N/A",0))</f>
        <v>CBS</v>
      </c>
      <c r="F83" s="211" t="str">
        <v>BOQ-010</v>
      </c>
      <c r="G83" s="211">
        <v>0</v>
      </c>
      <c r="H83" s="183" t="str">
        <v>Bê tông móng M400</v>
      </c>
      <c r="I83" s="208" t="str">
        <v>m3</v>
      </c>
      <c r="J83" s="174"/>
      <c r="K83" s="174"/>
      <c r="L83" s="174"/>
      <c r="M83" s="176"/>
      <c r="N83" s="174"/>
      <c r="O83" s="177"/>
      <c r="P83" s="177"/>
      <c r="Q83" s="177"/>
      <c r="R83" s="178">
        <f>SUBTOTAL(9,R84:R88)</f>
        <v>56.714399999999998</v>
      </c>
      <c r="S83" s="177"/>
      <c r="T83" s="177"/>
      <c r="U83" s="209">
        <f>SUBTOTAL(9,U84:U88)</f>
        <v>0</v>
      </c>
      <c r="V83" s="177"/>
    </row>
    <row r="84" spans="1:22" s="2" customFormat="1" ht="17" hidden="1" outlineLevel="1">
      <c r="A84" s="6"/>
      <c r="B84" s="179"/>
      <c r="C84" s="180"/>
      <c r="D84" s="239"/>
      <c r="E84" s="213"/>
      <c r="F84" s="212"/>
      <c r="G84" s="212"/>
      <c r="H84" s="184" t="str">
        <f>'Dữ liệu đầu vào'!B31</f>
        <v>PC-1</v>
      </c>
      <c r="I84" s="179"/>
      <c r="J84" s="179">
        <f>VLOOKUP(H84,'Dữ liệu đầu vào'!$B$9:$Z$55,2,0)</f>
        <v>1</v>
      </c>
      <c r="K84" s="179"/>
      <c r="L84" s="179"/>
      <c r="M84" s="179">
        <f>VLOOKUP(H84,'Dữ liệu đầu vào'!$B$9:$Z$55,17,0)</f>
        <v>1.2</v>
      </c>
      <c r="N84" s="179">
        <f>VLOOKUP(H84,'Dữ liệu đầu vào'!$B$9:$Z$55,19,0)</f>
        <v>4</v>
      </c>
      <c r="O84" s="179"/>
      <c r="P84" s="179"/>
      <c r="Q84" s="179"/>
      <c r="R84" s="262">
        <f>PRODUCT(J84:Q84)</f>
        <v>4.8</v>
      </c>
      <c r="S84" s="179"/>
      <c r="T84" s="179"/>
      <c r="U84" s="179"/>
      <c r="V84" s="179"/>
    </row>
    <row r="85" spans="1:22" s="2" customFormat="1" ht="17" hidden="1" outlineLevel="1">
      <c r="A85" s="6"/>
      <c r="B85" s="181"/>
      <c r="C85" s="182"/>
      <c r="D85" s="277"/>
      <c r="E85" s="215"/>
      <c r="F85" s="214"/>
      <c r="G85" s="214"/>
      <c r="H85" s="184" t="str">
        <f>'Dữ liệu đầu vào'!B32</f>
        <v>PC-1A</v>
      </c>
      <c r="I85" s="181"/>
      <c r="J85" s="179">
        <f>VLOOKUP(H85,'Dữ liệu đầu vào'!$B$9:$Z$55,2,0)</f>
        <v>12</v>
      </c>
      <c r="K85" s="179"/>
      <c r="L85" s="179"/>
      <c r="M85" s="179">
        <f>VLOOKUP(H85,'Dữ liệu đầu vào'!$B$9:$Z$55,17,0)</f>
        <v>1.2</v>
      </c>
      <c r="N85" s="179">
        <f>VLOOKUP(H85,'Dữ liệu đầu vào'!$B$9:$Z$55,19,0)</f>
        <v>2.8960000000000004</v>
      </c>
      <c r="O85" s="181"/>
      <c r="P85" s="181"/>
      <c r="Q85" s="181"/>
      <c r="R85" s="262">
        <f>PRODUCT(J85:Q85)</f>
        <v>41.702400000000004</v>
      </c>
      <c r="S85" s="181"/>
      <c r="T85" s="181"/>
      <c r="U85" s="181"/>
      <c r="V85" s="181"/>
    </row>
    <row r="86" spans="1:22" s="2" customFormat="1" ht="17" hidden="1" outlineLevel="1">
      <c r="A86" s="6"/>
      <c r="B86" s="181"/>
      <c r="C86" s="182"/>
      <c r="D86" s="277"/>
      <c r="E86" s="215"/>
      <c r="F86" s="214"/>
      <c r="G86" s="214"/>
      <c r="H86" s="184" t="str">
        <f>'Dữ liệu đầu vào'!B33</f>
        <v>PC-1AB</v>
      </c>
      <c r="I86" s="181"/>
      <c r="J86" s="179">
        <f>VLOOKUP(H86,'Dữ liệu đầu vào'!$B$9:$Z$55,2,0)</f>
        <v>1</v>
      </c>
      <c r="K86" s="179"/>
      <c r="L86" s="181"/>
      <c r="M86" s="179">
        <f>VLOOKUP(H86,'Dữ liệu đầu vào'!$B$9:$Z$55,17,0)</f>
        <v>1.2</v>
      </c>
      <c r="N86" s="179">
        <f>VLOOKUP(H86,'Dữ liệu đầu vào'!$B$9:$Z$55,19,0)</f>
        <v>4.3499999999999996</v>
      </c>
      <c r="O86" s="181"/>
      <c r="P86" s="181"/>
      <c r="Q86" s="181"/>
      <c r="R86" s="262">
        <f t="shared" ref="R86:R87" si="10">PRODUCT(J86:Q86)</f>
        <v>5.22</v>
      </c>
      <c r="S86" s="181"/>
      <c r="T86" s="181"/>
      <c r="U86" s="181"/>
      <c r="V86" s="181"/>
    </row>
    <row r="87" spans="1:22" s="2" customFormat="1" ht="17" hidden="1" outlineLevel="1">
      <c r="A87" s="6"/>
      <c r="B87" s="181"/>
      <c r="C87" s="182"/>
      <c r="D87" s="277"/>
      <c r="E87" s="215"/>
      <c r="F87" s="214"/>
      <c r="G87" s="214"/>
      <c r="H87" s="184" t="str">
        <f>'Dữ liệu đầu vào'!B34</f>
        <v>PC-1AA</v>
      </c>
      <c r="I87" s="181"/>
      <c r="J87" s="179">
        <f>VLOOKUP(H87,'Dữ liệu đầu vào'!$B$9:$Z$55,2,0)</f>
        <v>1</v>
      </c>
      <c r="K87" s="179"/>
      <c r="L87" s="181"/>
      <c r="M87" s="179">
        <f>VLOOKUP(H87,'Dữ liệu đầu vào'!$B$9:$Z$55,17,0)</f>
        <v>1.2</v>
      </c>
      <c r="N87" s="179">
        <f>VLOOKUP(H87,'Dữ liệu đầu vào'!$B$9:$Z$55,19,0)</f>
        <v>4.16</v>
      </c>
      <c r="O87" s="181"/>
      <c r="P87" s="181"/>
      <c r="Q87" s="181"/>
      <c r="R87" s="262">
        <f t="shared" si="10"/>
        <v>4.992</v>
      </c>
      <c r="S87" s="181"/>
      <c r="T87" s="181"/>
      <c r="U87" s="181"/>
      <c r="V87" s="181"/>
    </row>
    <row r="88" spans="1:22" s="2" customFormat="1" ht="16" hidden="1" outlineLevel="1">
      <c r="A88" s="6"/>
      <c r="B88" s="181"/>
      <c r="C88" s="182"/>
      <c r="D88" s="181"/>
      <c r="E88" s="215"/>
      <c r="F88" s="214"/>
      <c r="G88" s="214"/>
      <c r="H88" s="185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181"/>
      <c r="V88" s="181"/>
    </row>
    <row r="89" spans="1:22" s="2" customFormat="1" ht="17" collapsed="1">
      <c r="A89" s="6"/>
      <c r="B89" s="174">
        <v>17</v>
      </c>
      <c r="C89" s="175"/>
      <c r="D89" s="261" t="str">
        <f>VLOOKUP(B89,$C$102:$E$119,2,0)</f>
        <v>ID-041</v>
      </c>
      <c r="E89" s="211" t="str" cm="1">
        <f t="array" ref="E89:I89">(_xlfn.XLOOKUP($D89,'B-1. THKL THEO ID'!$B:$B,('B-1. THKL THEO ID'!C:G),"N/A",0))</f>
        <v>CBS</v>
      </c>
      <c r="F89" s="211" t="str">
        <v>BOQ-062</v>
      </c>
      <c r="G89" s="211">
        <v>0</v>
      </c>
      <c r="H89" s="183" t="str">
        <v>Đập bê tông đầu cọc khoan nhồi</v>
      </c>
      <c r="I89" s="208" t="str">
        <v>m3</v>
      </c>
      <c r="J89" s="174"/>
      <c r="K89" s="174"/>
      <c r="L89" s="174"/>
      <c r="M89" s="176"/>
      <c r="N89" s="174"/>
      <c r="O89" s="177"/>
      <c r="P89" s="177"/>
      <c r="Q89" s="177"/>
      <c r="R89" s="178">
        <f>SUBTOTAL(9,R90:R92)</f>
        <v>11.435397259066846</v>
      </c>
      <c r="S89" s="177"/>
      <c r="T89" s="177"/>
      <c r="U89" s="178">
        <f>SUBTOTAL(9,U90:U90)</f>
        <v>0</v>
      </c>
      <c r="V89" s="177"/>
    </row>
    <row r="90" spans="1:22" s="2" customFormat="1" ht="68" hidden="1" outlineLevel="1">
      <c r="A90" s="6"/>
      <c r="B90" s="179"/>
      <c r="C90" s="180"/>
      <c r="D90" s="186"/>
      <c r="E90" s="213"/>
      <c r="F90" s="212"/>
      <c r="G90" s="212"/>
      <c r="H90" s="184" t="s">
        <v>543</v>
      </c>
      <c r="I90" s="179"/>
      <c r="J90" s="279">
        <f>U43</f>
        <v>1</v>
      </c>
      <c r="K90" s="179"/>
      <c r="L90" s="179"/>
      <c r="M90" s="179">
        <v>1.4</v>
      </c>
      <c r="N90" s="278">
        <f>PI()*0.6^2</f>
        <v>1.1309733552923256</v>
      </c>
      <c r="O90" s="179"/>
      <c r="P90" s="179"/>
      <c r="Q90" s="179"/>
      <c r="R90" s="262">
        <f t="shared" ref="R90:R91" si="11">PRODUCT(J90:Q90)</f>
        <v>1.5833626974092556</v>
      </c>
      <c r="S90" s="184" t="s">
        <v>545</v>
      </c>
      <c r="T90" s="179"/>
      <c r="U90" s="179"/>
      <c r="V90" s="179"/>
    </row>
    <row r="91" spans="1:22" s="2" customFormat="1" ht="68" hidden="1" outlineLevel="1">
      <c r="A91" s="6"/>
      <c r="B91" s="181"/>
      <c r="C91" s="182"/>
      <c r="D91" s="187"/>
      <c r="E91" s="215"/>
      <c r="F91" s="214"/>
      <c r="G91" s="214"/>
      <c r="H91" s="184" t="s">
        <v>544</v>
      </c>
      <c r="I91" s="179"/>
      <c r="J91" s="279">
        <f>U45</f>
        <v>14</v>
      </c>
      <c r="K91" s="181"/>
      <c r="L91" s="181"/>
      <c r="M91" s="179">
        <v>1.4</v>
      </c>
      <c r="N91" s="278">
        <f>PI()*0.4^2</f>
        <v>0.50265482457436694</v>
      </c>
      <c r="O91" s="181"/>
      <c r="P91" s="181"/>
      <c r="Q91" s="181"/>
      <c r="R91" s="262">
        <f t="shared" si="11"/>
        <v>9.8520345616575913</v>
      </c>
      <c r="S91" s="184" t="s">
        <v>545</v>
      </c>
      <c r="T91" s="181"/>
      <c r="U91" s="181"/>
      <c r="V91" s="181"/>
    </row>
    <row r="92" spans="1:22" s="2" customFormat="1" ht="16" hidden="1" outlineLevel="1">
      <c r="A92" s="6"/>
      <c r="B92" s="181"/>
      <c r="C92" s="182"/>
      <c r="D92" s="187"/>
      <c r="E92" s="215"/>
      <c r="F92" s="214"/>
      <c r="G92" s="214"/>
      <c r="H92" s="185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</row>
    <row r="93" spans="1:22" s="2" customFormat="1" ht="34" collapsed="1">
      <c r="A93" s="6"/>
      <c r="B93" s="174">
        <v>18</v>
      </c>
      <c r="C93" s="175"/>
      <c r="D93" s="261" t="str">
        <f>VLOOKUP(B93,$C$102:$E$119,2,0)</f>
        <v>ID-042</v>
      </c>
      <c r="E93" s="211" t="str" cm="1">
        <f t="array" ref="E93:I93">(_xlfn.XLOOKUP($D93,'B-1. THKL THEO ID'!$B:$B,('B-1. THKL THEO ID'!C:G),"N/A",0))</f>
        <v>CBS</v>
      </c>
      <c r="F93" s="211" t="str">
        <v>BOQ-063</v>
      </c>
      <c r="G93" s="211">
        <v>0</v>
      </c>
      <c r="H93" s="183" t="str">
        <v>Xử lý liên kết thép đầu cọc và đài móng</v>
      </c>
      <c r="I93" s="208" t="str">
        <v>cọc</v>
      </c>
      <c r="J93" s="174"/>
      <c r="K93" s="174"/>
      <c r="L93" s="174"/>
      <c r="M93" s="176"/>
      <c r="N93" s="174"/>
      <c r="O93" s="177"/>
      <c r="P93" s="177"/>
      <c r="Q93" s="177"/>
      <c r="R93" s="178">
        <f>SUBTOTAL(9,R94:R96)</f>
        <v>15</v>
      </c>
      <c r="S93" s="177"/>
      <c r="T93" s="177"/>
      <c r="U93" s="209">
        <f>SUBTOTAL(9,U94:U96)</f>
        <v>0</v>
      </c>
      <c r="V93" s="177"/>
    </row>
    <row r="94" spans="1:22" s="2" customFormat="1" ht="17" hidden="1" outlineLevel="1">
      <c r="A94" s="6"/>
      <c r="B94" s="179"/>
      <c r="C94" s="180"/>
      <c r="D94" s="239"/>
      <c r="E94" s="213"/>
      <c r="F94" s="212"/>
      <c r="G94" s="212"/>
      <c r="H94" s="184" t="s">
        <v>543</v>
      </c>
      <c r="I94" s="179"/>
      <c r="J94" s="279">
        <f>U43</f>
        <v>1</v>
      </c>
      <c r="K94" s="179"/>
      <c r="L94" s="179"/>
      <c r="M94" s="179"/>
      <c r="N94" s="179"/>
      <c r="O94" s="179"/>
      <c r="P94" s="179"/>
      <c r="Q94" s="179"/>
      <c r="R94" s="262">
        <f t="shared" ref="R94:R95" si="12">PRODUCT(J94:Q94)</f>
        <v>1</v>
      </c>
      <c r="S94" s="179"/>
      <c r="T94" s="179"/>
      <c r="U94" s="179"/>
      <c r="V94" s="179"/>
    </row>
    <row r="95" spans="1:22" s="2" customFormat="1" ht="17" hidden="1" outlineLevel="1">
      <c r="A95" s="6"/>
      <c r="B95" s="181"/>
      <c r="C95" s="182"/>
      <c r="D95" s="277"/>
      <c r="E95" s="215"/>
      <c r="F95" s="214"/>
      <c r="G95" s="214"/>
      <c r="H95" s="184" t="s">
        <v>544</v>
      </c>
      <c r="I95" s="181"/>
      <c r="J95" s="279">
        <f>U45</f>
        <v>14</v>
      </c>
      <c r="K95" s="181"/>
      <c r="L95" s="181"/>
      <c r="M95" s="181"/>
      <c r="N95" s="181"/>
      <c r="O95" s="181"/>
      <c r="P95" s="181"/>
      <c r="Q95" s="181"/>
      <c r="R95" s="262">
        <f t="shared" si="12"/>
        <v>14</v>
      </c>
      <c r="S95" s="181"/>
      <c r="T95" s="181"/>
      <c r="U95" s="181"/>
      <c r="V95" s="181"/>
    </row>
    <row r="96" spans="1:22" s="2" customFormat="1" ht="16" hidden="1" outlineLevel="1">
      <c r="A96" s="6"/>
      <c r="B96" s="181"/>
      <c r="C96" s="182"/>
      <c r="D96" s="181"/>
      <c r="E96" s="215"/>
      <c r="F96" s="214"/>
      <c r="G96" s="214"/>
      <c r="H96" s="185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</row>
    <row r="97" spans="1:22" ht="20" customHeight="1">
      <c r="A97" s="2"/>
      <c r="B97" s="50"/>
      <c r="C97" s="51"/>
      <c r="D97" s="52"/>
      <c r="E97" s="53"/>
      <c r="F97" s="52"/>
      <c r="G97" s="52"/>
      <c r="H97" s="54"/>
      <c r="I97" s="52"/>
      <c r="J97" s="52"/>
      <c r="K97" s="52"/>
      <c r="L97" s="52"/>
      <c r="M97" s="52"/>
      <c r="N97" s="52"/>
      <c r="O97" s="52"/>
      <c r="P97" s="52"/>
      <c r="Q97" s="52"/>
      <c r="R97" s="55"/>
      <c r="S97" s="52"/>
      <c r="T97" s="52"/>
      <c r="U97" s="52"/>
      <c r="V97" s="52"/>
    </row>
    <row r="98" spans="1:22" ht="20" customHeight="1">
      <c r="A98" s="2"/>
      <c r="B98" s="27" t="s">
        <v>20</v>
      </c>
      <c r="C98" s="28">
        <v>3</v>
      </c>
      <c r="D98" s="27"/>
      <c r="E98" s="29"/>
      <c r="F98" s="27"/>
      <c r="G98" s="27"/>
      <c r="H98" s="30" t="s">
        <v>29</v>
      </c>
      <c r="I98" s="31"/>
      <c r="J98" s="31"/>
      <c r="K98" s="31"/>
      <c r="L98" s="31"/>
      <c r="M98" s="31"/>
      <c r="N98" s="31"/>
      <c r="O98" s="31"/>
      <c r="P98" s="31"/>
      <c r="Q98" s="31"/>
      <c r="R98" s="32">
        <f>SUBTOTAL(9,R6:R97)</f>
        <v>977.17503221227889</v>
      </c>
      <c r="S98" s="31"/>
      <c r="T98" s="31"/>
      <c r="U98" s="31"/>
      <c r="V98" s="31"/>
    </row>
    <row r="99" spans="1:22" s="2" customFormat="1" ht="20" customHeight="1">
      <c r="E99" s="7"/>
    </row>
    <row r="102" spans="1:22" ht="20" customHeight="1">
      <c r="C102">
        <v>1</v>
      </c>
      <c r="D102" s="239"/>
    </row>
    <row r="103" spans="1:22" ht="20" customHeight="1">
      <c r="C103">
        <v>2</v>
      </c>
      <c r="D103" s="239"/>
    </row>
    <row r="104" spans="1:22" ht="20" customHeight="1">
      <c r="C104">
        <v>3</v>
      </c>
      <c r="D104" s="239"/>
    </row>
    <row r="105" spans="1:22" ht="20" customHeight="1">
      <c r="C105">
        <v>4</v>
      </c>
      <c r="D105" s="239"/>
    </row>
    <row r="106" spans="1:22" ht="20" customHeight="1">
      <c r="C106">
        <v>5</v>
      </c>
      <c r="D106" s="239"/>
    </row>
    <row r="107" spans="1:22" ht="20" customHeight="1">
      <c r="C107">
        <v>6</v>
      </c>
      <c r="D107" s="239"/>
    </row>
    <row r="108" spans="1:22" ht="20" customHeight="1">
      <c r="C108">
        <v>7</v>
      </c>
      <c r="D108" s="239" t="s">
        <v>356</v>
      </c>
    </row>
    <row r="109" spans="1:22" ht="20" customHeight="1">
      <c r="C109">
        <v>8</v>
      </c>
      <c r="D109" s="239" t="s">
        <v>575</v>
      </c>
    </row>
    <row r="110" spans="1:22" ht="20" customHeight="1">
      <c r="C110">
        <v>9</v>
      </c>
      <c r="D110" s="239" t="s">
        <v>357</v>
      </c>
    </row>
    <row r="111" spans="1:22" ht="20" customHeight="1">
      <c r="C111">
        <v>10</v>
      </c>
      <c r="D111" s="239" t="s">
        <v>358</v>
      </c>
    </row>
    <row r="112" spans="1:22" ht="20" customHeight="1">
      <c r="C112">
        <v>11</v>
      </c>
      <c r="D112" s="239" t="s">
        <v>576</v>
      </c>
    </row>
    <row r="113" spans="3:4" ht="20" customHeight="1">
      <c r="C113">
        <v>12</v>
      </c>
      <c r="D113" s="239" t="s">
        <v>577</v>
      </c>
    </row>
    <row r="114" spans="3:4" ht="20" customHeight="1">
      <c r="C114">
        <v>13</v>
      </c>
      <c r="D114" s="239" t="s">
        <v>564</v>
      </c>
    </row>
    <row r="115" spans="3:4" ht="20" customHeight="1">
      <c r="C115">
        <v>14</v>
      </c>
      <c r="D115" s="239" t="s">
        <v>578</v>
      </c>
    </row>
    <row r="116" spans="3:4" ht="20" customHeight="1">
      <c r="C116">
        <v>15</v>
      </c>
      <c r="D116" s="239" t="s">
        <v>359</v>
      </c>
    </row>
    <row r="117" spans="3:4" ht="20" customHeight="1">
      <c r="C117">
        <v>16</v>
      </c>
      <c r="D117" s="239" t="s">
        <v>360</v>
      </c>
    </row>
    <row r="118" spans="3:4" ht="20" customHeight="1">
      <c r="C118">
        <v>17</v>
      </c>
      <c r="D118" s="239" t="s">
        <v>391</v>
      </c>
    </row>
    <row r="119" spans="3:4" ht="20" customHeight="1">
      <c r="C119">
        <v>18</v>
      </c>
      <c r="D119" s="239" t="s">
        <v>392</v>
      </c>
    </row>
  </sheetData>
  <autoFilter ref="B5:V97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99">
    <cfRule type="cellIs" dxfId="101" priority="24" operator="lessThan">
      <formula>0</formula>
    </cfRule>
  </conditionalFormatting>
  <conditionalFormatting sqref="U6">
    <cfRule type="cellIs" dxfId="100" priority="23" operator="lessThan">
      <formula>0</formula>
    </cfRule>
  </conditionalFormatting>
  <conditionalFormatting sqref="U20">
    <cfRule type="cellIs" dxfId="99" priority="21" operator="lessThan">
      <formula>0</formula>
    </cfRule>
  </conditionalFormatting>
  <conditionalFormatting sqref="U23">
    <cfRule type="cellIs" dxfId="98" priority="20" operator="lessThan">
      <formula>0</formula>
    </cfRule>
  </conditionalFormatting>
  <conditionalFormatting sqref="U33">
    <cfRule type="cellIs" dxfId="97" priority="19" operator="lessThan">
      <formula>0</formula>
    </cfRule>
  </conditionalFormatting>
  <conditionalFormatting sqref="U36">
    <cfRule type="cellIs" dxfId="96" priority="18" operator="lessThan">
      <formula>0</formula>
    </cfRule>
  </conditionalFormatting>
  <conditionalFormatting sqref="U40">
    <cfRule type="cellIs" dxfId="95" priority="17" operator="lessThan">
      <formula>0</formula>
    </cfRule>
  </conditionalFormatting>
  <conditionalFormatting sqref="U50">
    <cfRule type="cellIs" dxfId="94" priority="15" operator="lessThan">
      <formula>0</formula>
    </cfRule>
  </conditionalFormatting>
  <conditionalFormatting sqref="U58">
    <cfRule type="cellIs" dxfId="93" priority="14" operator="lessThan">
      <formula>0</formula>
    </cfRule>
  </conditionalFormatting>
  <conditionalFormatting sqref="U61">
    <cfRule type="cellIs" dxfId="92" priority="13" operator="lessThan">
      <formula>0</formula>
    </cfRule>
  </conditionalFormatting>
  <conditionalFormatting sqref="U71">
    <cfRule type="cellIs" dxfId="91" priority="12" operator="lessThan">
      <formula>0</formula>
    </cfRule>
  </conditionalFormatting>
  <conditionalFormatting sqref="U74">
    <cfRule type="cellIs" dxfId="90" priority="11" operator="lessThan">
      <formula>0</formula>
    </cfRule>
  </conditionalFormatting>
  <conditionalFormatting sqref="U77">
    <cfRule type="cellIs" dxfId="89" priority="10" operator="lessThan">
      <formula>0</formula>
    </cfRule>
  </conditionalFormatting>
  <conditionalFormatting sqref="U80">
    <cfRule type="cellIs" dxfId="88" priority="9" operator="lessThan">
      <formula>0</formula>
    </cfRule>
  </conditionalFormatting>
  <conditionalFormatting sqref="U83">
    <cfRule type="cellIs" dxfId="87" priority="8" operator="lessThan">
      <formula>0</formula>
    </cfRule>
  </conditionalFormatting>
  <conditionalFormatting sqref="U89">
    <cfRule type="cellIs" dxfId="86" priority="7" operator="lessThan">
      <formula>0</formula>
    </cfRule>
  </conditionalFormatting>
  <conditionalFormatting sqref="U93">
    <cfRule type="cellIs" dxfId="85" priority="6" operator="lessThan">
      <formula>0</formula>
    </cfRule>
  </conditionalFormatting>
  <conditionalFormatting sqref="U45">
    <cfRule type="cellIs" dxfId="84" priority="3" operator="lessThan">
      <formula>0</formula>
    </cfRule>
  </conditionalFormatting>
  <conditionalFormatting sqref="U43">
    <cfRule type="cellIs" dxfId="83" priority="2" operator="lessThan">
      <formula>0</formula>
    </cfRule>
  </conditionalFormatting>
  <conditionalFormatting sqref="U9">
    <cfRule type="cellIs" dxfId="82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AC6B3-8FA1-4659-851D-6E2A562EB880}">
  <sheetPr codeName="Sheet32">
    <tabColor rgb="FF00B0F0"/>
    <outlinePr summaryBelow="0" summaryRight="0"/>
    <pageSetUpPr fitToPage="1"/>
  </sheetPr>
  <dimension ref="A1:V61"/>
  <sheetViews>
    <sheetView showZeros="0" view="pageBreakPreview" topLeftCell="B1" zoomScaleNormal="100" zoomScaleSheetLayoutView="100" workbookViewId="0">
      <pane ySplit="5" topLeftCell="A6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"&amp;UPPER(VLOOKUP($F$3,DM_CKDH!$B$4:$E$54,2,0))&amp;" - Mã CK:"&amp;F3</f>
        <v>BẢNG DIẾN GIẢI KHỐI LƯỢNG CẤU KIỆN ĐIỂN HÌNH  - GIẰNG, SÀN - KHU BIÊN - Mã CK:S22.21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489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51" collapsed="1">
      <c r="A6" s="6"/>
      <c r="B6" s="174">
        <v>1</v>
      </c>
      <c r="C6" s="175"/>
      <c r="D6" s="261" t="str">
        <f>VLOOKUP(B6,$C$44:$E$61,2,0)</f>
        <v>ID-004</v>
      </c>
      <c r="E6" s="211" cm="1">
        <f t="array" ref="E6:I6">(_xlfn.XLOOKUP($D6,'B-1. THKL THEO ID'!$B:$B,('B-1. THKL THEO ID'!C:G),"N/A",0))</f>
        <v>0</v>
      </c>
      <c r="F6" s="211" t="str">
        <v>BOQ-004</v>
      </c>
      <c r="G6" s="211">
        <v>0</v>
      </c>
      <c r="H6" s="183" t="str">
        <v>Ván Khuôn gỗ bê tông lót móng (đài, giằng, sàn, hố bơm, rãnh nước, bê phốt)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34" collapsed="1">
      <c r="A9" s="6"/>
      <c r="B9" s="174">
        <v>2</v>
      </c>
      <c r="C9" s="175"/>
      <c r="D9" s="261" t="str">
        <f>VLOOKUP(B9,$C$44:$E$61,2,0)</f>
        <v>ID-004B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gỗ bê tông lót giằng, sàn nền, rãnh nước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51" collapsed="1">
      <c r="A12" s="6"/>
      <c r="B12" s="174">
        <v>3</v>
      </c>
      <c r="C12" s="175"/>
      <c r="D12" s="261" t="str">
        <f>VLOOKUP(B12,$C$44:$E$61,2,0)</f>
        <v>ID-006</v>
      </c>
      <c r="E12" s="211" cm="1">
        <f t="array" ref="E12:I12">(_xlfn.XLOOKUP($D12,'B-1. THKL THEO ID'!$B:$B,('B-1. THKL THEO ID'!C:G),"N/A",0))</f>
        <v>0</v>
      </c>
      <c r="F12" s="211" t="str">
        <v>BOQ-006</v>
      </c>
      <c r="G12" s="211">
        <v>0</v>
      </c>
      <c r="H12" s="183" t="str">
        <v>Ván khuôn kim loại bê tông móng (đài, giằng, sàn, hố bơm, rãnh nước, bê phốt)</v>
      </c>
      <c r="I12" s="208" t="str">
        <v>100m2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34" collapsed="1">
      <c r="A15" s="6"/>
      <c r="B15" s="174">
        <v>4</v>
      </c>
      <c r="C15" s="175"/>
      <c r="D15" s="261" t="str">
        <f>VLOOKUP(B15,$C$44:$E$61,2,0)</f>
        <v>ID-006B</v>
      </c>
      <c r="E15" s="211" t="str" cm="1">
        <f t="array" ref="E15:I15">(_xlfn.XLOOKUP($D15,'B-1. THKL THEO ID'!$B:$B,('B-1. THKL THEO ID'!C:G),"N/A",0))</f>
        <v>CBS</v>
      </c>
      <c r="F15" s="211">
        <v>0</v>
      </c>
      <c r="G15" s="211">
        <v>0</v>
      </c>
      <c r="H15" s="183" t="str">
        <v>Ván khuôn gỗ ép bê tông giằng, sàn, rãnh nước</v>
      </c>
      <c r="I15" s="208" t="str">
        <v>m2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34" collapsed="1">
      <c r="A18" s="6"/>
      <c r="B18" s="174">
        <v>5</v>
      </c>
      <c r="C18" s="175"/>
      <c r="D18" s="261" t="str">
        <f>VLOOKUP(B18,$C$44:$E$61,2,0)</f>
        <v>ID-009</v>
      </c>
      <c r="E18" s="211" t="str" cm="1">
        <f t="array" ref="E18:I18">(_xlfn.XLOOKUP($D18,'B-1. THKL THEO ID'!$B:$B,('B-1. THKL THEO ID'!C:G),"N/A",0))</f>
        <v>CBS</v>
      </c>
      <c r="F18" s="211" t="str">
        <v>BOQ-011</v>
      </c>
      <c r="G18" s="211">
        <v>0</v>
      </c>
      <c r="H18" s="183" t="str">
        <v>Bê tông lót nền hầm M100 (giằng, sàn, hố bơm, rãnh nước, bê phốt)</v>
      </c>
      <c r="I18" s="208" t="str">
        <v>m3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34" collapsed="1">
      <c r="A21" s="6"/>
      <c r="B21" s="174">
        <v>6</v>
      </c>
      <c r="C21" s="175"/>
      <c r="D21" s="261" t="str">
        <f>VLOOKUP(B21,$C$44:$E$61,2,0)</f>
        <v>ID-010</v>
      </c>
      <c r="E21" s="211" cm="1">
        <f t="array" ref="E21:I21">(_xlfn.XLOOKUP($D21,'B-1. THKL THEO ID'!$B:$B,('B-1. THKL THEO ID'!C:G),"N/A",0))</f>
        <v>0</v>
      </c>
      <c r="F21" s="211" t="str">
        <v>BOQ-012</v>
      </c>
      <c r="G21" s="211">
        <v>0</v>
      </c>
      <c r="H21" s="183" t="str">
        <v>Thép nền hầm D&gt;10 (giằng, sàn, hố bơm, rãnh nước, bê phốt)</v>
      </c>
      <c r="I21" s="208" t="str">
        <v>tấn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34" collapsed="1">
      <c r="A24" s="6"/>
      <c r="B24" s="174">
        <v>7</v>
      </c>
      <c r="C24" s="175"/>
      <c r="D24" s="261" t="str">
        <f>VLOOKUP(B24,$C$44:$E$61,2,0)</f>
        <v>ID-010A</v>
      </c>
      <c r="E24" s="211" t="str" cm="1">
        <f t="array" ref="E24:I24">(_xlfn.XLOOKUP($D24,'B-1. THKL THEO ID'!$B:$B,('B-1. THKL THEO ID'!C:G),"N/A",0))</f>
        <v>CBS</v>
      </c>
      <c r="F24" s="211">
        <v>0</v>
      </c>
      <c r="G24" s="211">
        <v>0</v>
      </c>
      <c r="H24" s="183" t="str">
        <v>Thép nền hầm full (giằng, sàn, hố bơm, rãnh nước, bê phốt)</v>
      </c>
      <c r="I24" s="208" t="str">
        <v>kg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51" collapsed="1">
      <c r="A27" s="6"/>
      <c r="B27" s="174">
        <v>8</v>
      </c>
      <c r="C27" s="175"/>
      <c r="D27" s="261" t="str">
        <f>VLOOKUP(B27,$C$44:$E$61,2,0)</f>
        <v>ID-011</v>
      </c>
      <c r="E27" s="211" cm="1">
        <f t="array" ref="E27:I27">(_xlfn.XLOOKUP($D27,'B-1. THKL THEO ID'!$B:$B,('B-1. THKL THEO ID'!C:G),"N/A",0))</f>
        <v>0</v>
      </c>
      <c r="F27" s="211" t="str">
        <v>BOQ-013</v>
      </c>
      <c r="G27" s="211">
        <v>0</v>
      </c>
      <c r="H27" s="183" t="str">
        <v>Bê tông nền hầm M400 ( Bao gồm: giằng, sàn, rãnh nước- M400 W10; hố bơm, bể phốt M300 W10))</v>
      </c>
      <c r="I27" s="208" t="str">
        <v>m3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178">
        <f>SUBTOTAL(9,U28:U28)</f>
        <v>0</v>
      </c>
      <c r="V27" s="177"/>
    </row>
    <row r="28" spans="1:22" s="2" customFormat="1" ht="16" hidden="1" outlineLevel="1">
      <c r="A28" s="6"/>
      <c r="B28" s="179"/>
      <c r="C28" s="180"/>
      <c r="D28" s="186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7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34" collapsed="1">
      <c r="A30" s="6"/>
      <c r="B30" s="174">
        <v>9</v>
      </c>
      <c r="C30" s="175"/>
      <c r="D30" s="261" t="str">
        <f>VLOOKUP(B30,$C$44:$E$61,2,0)</f>
        <v>ID-011A</v>
      </c>
      <c r="E30" s="211" t="str" cm="1">
        <f t="array" ref="E30:I30">(_xlfn.XLOOKUP($D30,'B-1. THKL THEO ID'!$B:$B,('B-1. THKL THEO ID'!C:G),"N/A",0))</f>
        <v>CBS</v>
      </c>
      <c r="F30" s="211">
        <v>0</v>
      </c>
      <c r="G30" s="211">
        <v>0</v>
      </c>
      <c r="H30" s="183" t="str">
        <v>Bê tông giằng, sàn, rãnh nước hầm M400 cấp chống thấm W10</v>
      </c>
      <c r="I30" s="208" t="str">
        <v>m3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7" collapsed="1">
      <c r="A33" s="6"/>
      <c r="B33" s="174">
        <v>10</v>
      </c>
      <c r="C33" s="175"/>
      <c r="D33" s="261" t="str">
        <f>VLOOKUP(B33,$C$44:$E$61,2,0)</f>
        <v>ID-037</v>
      </c>
      <c r="E33" s="211" t="str" cm="1">
        <f t="array" ref="E33:I33">(_xlfn.XLOOKUP($D33,'B-1. THKL THEO ID'!$B:$B,('B-1. THKL THEO ID'!C:G),"N/A",0))</f>
        <v>CBS</v>
      </c>
      <c r="F33" s="211" t="str">
        <v>BOQ-058</v>
      </c>
      <c r="G33" s="211">
        <v>0</v>
      </c>
      <c r="H33" s="183" t="str">
        <v xml:space="preserve">Chống thấm nền hầm </v>
      </c>
      <c r="I33" s="208" t="str">
        <v>m2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209">
        <f>SUBTOTAL(9,U34:U35)</f>
        <v>0</v>
      </c>
      <c r="V33" s="177"/>
    </row>
    <row r="34" spans="1:22" s="2" customFormat="1" ht="16" hidden="1" outlineLevel="1">
      <c r="A34" s="6"/>
      <c r="B34" s="179"/>
      <c r="C34" s="180"/>
      <c r="D34" s="239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262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1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17" collapsed="1">
      <c r="A36" s="6"/>
      <c r="B36" s="174">
        <v>11</v>
      </c>
      <c r="C36" s="175"/>
      <c r="D36" s="261" t="str">
        <f>VLOOKUP(B36,$C$44:$E$61,2,0)</f>
        <v>ID-039</v>
      </c>
      <c r="E36" s="211" t="str" cm="1">
        <f t="array" ref="E36:I36">(_xlfn.XLOOKUP($D36,'B-1. THKL THEO ID'!$B:$B,('B-1. THKL THEO ID'!C:G),"N/A",0))</f>
        <v>CBS</v>
      </c>
      <c r="F36" s="211" t="str">
        <v>BOQ-060</v>
      </c>
      <c r="G36" s="211">
        <v>0</v>
      </c>
      <c r="H36" s="183" t="str">
        <v xml:space="preserve">Chống mối nền hầm </v>
      </c>
      <c r="I36" s="208" t="str">
        <v>m2</v>
      </c>
      <c r="J36" s="174"/>
      <c r="K36" s="174"/>
      <c r="L36" s="174"/>
      <c r="M36" s="176"/>
      <c r="N36" s="174"/>
      <c r="O36" s="177"/>
      <c r="P36" s="177"/>
      <c r="Q36" s="177"/>
      <c r="R36" s="178">
        <f>SUBTOTAL(9,R37:R38)</f>
        <v>0</v>
      </c>
      <c r="S36" s="177"/>
      <c r="T36" s="177"/>
      <c r="U36" s="178">
        <f>SUBTOTAL(9,U37:U37)</f>
        <v>0</v>
      </c>
      <c r="V36" s="177"/>
    </row>
    <row r="37" spans="1:22" s="2" customFormat="1" ht="16" hidden="1" outlineLevel="1">
      <c r="A37" s="6"/>
      <c r="B37" s="179"/>
      <c r="C37" s="180"/>
      <c r="D37" s="186"/>
      <c r="E37" s="213"/>
      <c r="F37" s="212"/>
      <c r="G37" s="212"/>
      <c r="H37" s="184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</row>
    <row r="38" spans="1:22" s="2" customFormat="1" ht="16" hidden="1" outlineLevel="1">
      <c r="A38" s="6"/>
      <c r="B38" s="181"/>
      <c r="C38" s="182"/>
      <c r="D38" s="187"/>
      <c r="E38" s="215"/>
      <c r="F38" s="214"/>
      <c r="G38" s="214"/>
      <c r="H38" s="185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ht="20" customHeight="1">
      <c r="A39" s="2"/>
      <c r="B39" s="50"/>
      <c r="C39" s="51"/>
      <c r="D39" s="52"/>
      <c r="E39" s="53"/>
      <c r="F39" s="52"/>
      <c r="G39" s="52"/>
      <c r="H39" s="54"/>
      <c r="I39" s="52"/>
      <c r="J39" s="52"/>
      <c r="K39" s="52"/>
      <c r="L39" s="52"/>
      <c r="M39" s="52"/>
      <c r="N39" s="52"/>
      <c r="O39" s="52"/>
      <c r="P39" s="52"/>
      <c r="Q39" s="52"/>
      <c r="R39" s="55"/>
      <c r="S39" s="52"/>
      <c r="T39" s="52"/>
      <c r="U39" s="52"/>
      <c r="V39" s="52"/>
    </row>
    <row r="40" spans="1:22" ht="20" customHeight="1">
      <c r="A40" s="2"/>
      <c r="B40" s="27" t="s">
        <v>20</v>
      </c>
      <c r="C40" s="28">
        <v>3</v>
      </c>
      <c r="D40" s="27"/>
      <c r="E40" s="29"/>
      <c r="F40" s="27"/>
      <c r="G40" s="27"/>
      <c r="H40" s="30" t="s">
        <v>29</v>
      </c>
      <c r="I40" s="31"/>
      <c r="J40" s="31"/>
      <c r="K40" s="31"/>
      <c r="L40" s="31"/>
      <c r="M40" s="31"/>
      <c r="N40" s="31"/>
      <c r="O40" s="31"/>
      <c r="P40" s="31"/>
      <c r="Q40" s="31"/>
      <c r="R40" s="32">
        <f>SUBTOTAL(9,R6:R39)</f>
        <v>0</v>
      </c>
      <c r="S40" s="31"/>
      <c r="T40" s="31"/>
      <c r="U40" s="31"/>
      <c r="V40" s="31"/>
    </row>
    <row r="41" spans="1:22" s="2" customFormat="1" ht="20" customHeight="1">
      <c r="E41" s="7"/>
    </row>
    <row r="44" spans="1:22" ht="20" customHeight="1">
      <c r="C44">
        <v>1</v>
      </c>
      <c r="D44" s="239" t="s">
        <v>356</v>
      </c>
    </row>
    <row r="45" spans="1:22" ht="20" customHeight="1">
      <c r="C45">
        <v>2</v>
      </c>
      <c r="D45" s="239" t="s">
        <v>562</v>
      </c>
    </row>
    <row r="46" spans="1:22" ht="20" customHeight="1">
      <c r="C46">
        <v>3</v>
      </c>
      <c r="D46" s="239" t="s">
        <v>358</v>
      </c>
    </row>
    <row r="47" spans="1:22" ht="20" customHeight="1">
      <c r="C47">
        <v>4</v>
      </c>
      <c r="D47" s="239" t="s">
        <v>563</v>
      </c>
    </row>
    <row r="48" spans="1:22" ht="20" customHeight="1">
      <c r="C48">
        <v>5</v>
      </c>
      <c r="D48" s="239" t="s">
        <v>369</v>
      </c>
    </row>
    <row r="49" spans="3:4" ht="20" customHeight="1">
      <c r="C49">
        <v>6</v>
      </c>
      <c r="D49" s="239" t="s">
        <v>377</v>
      </c>
    </row>
    <row r="50" spans="3:4" ht="20" customHeight="1">
      <c r="C50">
        <v>7</v>
      </c>
      <c r="D50" s="239" t="s">
        <v>584</v>
      </c>
    </row>
    <row r="51" spans="3:4" ht="20" customHeight="1">
      <c r="C51">
        <v>8</v>
      </c>
      <c r="D51" s="239" t="s">
        <v>361</v>
      </c>
    </row>
    <row r="52" spans="3:4" ht="20" customHeight="1">
      <c r="C52">
        <v>9</v>
      </c>
      <c r="D52" s="239" t="s">
        <v>585</v>
      </c>
    </row>
    <row r="53" spans="3:4" ht="20" customHeight="1">
      <c r="C53">
        <v>10</v>
      </c>
      <c r="D53" s="239" t="s">
        <v>387</v>
      </c>
    </row>
    <row r="54" spans="3:4" ht="20" customHeight="1">
      <c r="C54">
        <v>11</v>
      </c>
      <c r="D54" s="239" t="s">
        <v>389</v>
      </c>
    </row>
    <row r="55" spans="3:4" ht="20" customHeight="1">
      <c r="C55">
        <v>12</v>
      </c>
    </row>
    <row r="56" spans="3:4" ht="20" customHeight="1">
      <c r="C56">
        <v>13</v>
      </c>
    </row>
    <row r="57" spans="3:4" ht="20" customHeight="1">
      <c r="C57">
        <v>14</v>
      </c>
    </row>
    <row r="58" spans="3:4" ht="20" customHeight="1">
      <c r="C58">
        <v>15</v>
      </c>
    </row>
    <row r="59" spans="3:4" ht="20" customHeight="1">
      <c r="C59">
        <v>16</v>
      </c>
    </row>
    <row r="60" spans="3:4" ht="20" customHeight="1">
      <c r="C60">
        <v>17</v>
      </c>
    </row>
    <row r="61" spans="3:4" ht="20" customHeight="1">
      <c r="C61">
        <v>18</v>
      </c>
      <c r="D61" s="239"/>
    </row>
  </sheetData>
  <autoFilter ref="B5:V39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41">
    <cfRule type="cellIs" dxfId="81" priority="18" operator="lessThan">
      <formula>0</formula>
    </cfRule>
  </conditionalFormatting>
  <conditionalFormatting sqref="U6">
    <cfRule type="cellIs" dxfId="80" priority="11" operator="lessThan">
      <formula>0</formula>
    </cfRule>
  </conditionalFormatting>
  <conditionalFormatting sqref="U9">
    <cfRule type="cellIs" dxfId="79" priority="10" operator="lessThan">
      <formula>0</formula>
    </cfRule>
  </conditionalFormatting>
  <conditionalFormatting sqref="U12">
    <cfRule type="cellIs" dxfId="78" priority="9" operator="lessThan">
      <formula>0</formula>
    </cfRule>
  </conditionalFormatting>
  <conditionalFormatting sqref="U15">
    <cfRule type="cellIs" dxfId="77" priority="8" operator="lessThan">
      <formula>0</formula>
    </cfRule>
  </conditionalFormatting>
  <conditionalFormatting sqref="U18">
    <cfRule type="cellIs" dxfId="76" priority="7" operator="lessThan">
      <formula>0</formula>
    </cfRule>
  </conditionalFormatting>
  <conditionalFormatting sqref="U21">
    <cfRule type="cellIs" dxfId="75" priority="6" operator="lessThan">
      <formula>0</formula>
    </cfRule>
  </conditionalFormatting>
  <conditionalFormatting sqref="U24">
    <cfRule type="cellIs" dxfId="74" priority="5" operator="lessThan">
      <formula>0</formula>
    </cfRule>
  </conditionalFormatting>
  <conditionalFormatting sqref="U27">
    <cfRule type="cellIs" dxfId="73" priority="4" operator="lessThan">
      <formula>0</formula>
    </cfRule>
  </conditionalFormatting>
  <conditionalFormatting sqref="U30">
    <cfRule type="cellIs" dxfId="72" priority="3" operator="lessThan">
      <formula>0</formula>
    </cfRule>
  </conditionalFormatting>
  <conditionalFormatting sqref="U33">
    <cfRule type="cellIs" dxfId="71" priority="2" operator="lessThan">
      <formula>0</formula>
    </cfRule>
  </conditionalFormatting>
  <conditionalFormatting sqref="U36">
    <cfRule type="cellIs" dxfId="70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3AE80-32F5-42DB-91AE-EE33ACA3B38D}">
  <sheetPr codeName="Sheet33">
    <tabColor rgb="FF00B0F0"/>
    <outlinePr summaryBelow="0" summaryRight="0"/>
    <pageSetUpPr fitToPage="1"/>
  </sheetPr>
  <dimension ref="A1:V57"/>
  <sheetViews>
    <sheetView showZeros="0" view="pageBreakPreview" topLeftCell="B1" zoomScaleNormal="100" zoomScaleSheetLayoutView="100" workbookViewId="0">
      <pane ySplit="5" topLeftCell="A6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"&amp;UPPER(VLOOKUP($F$3,DM_CKDH!$B$4:$E$54,2,0))&amp;" - Mã CK:"&amp;F3</f>
        <v>BẢNG DIẾN GIẢI KHỐI LƯỢNG CẤU KIỆN ĐIỂN HÌNH  - TƯỜNG BAO TẦNG HẦM - KHU BIÊN - Mã CK:S23.21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490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17" collapsed="1">
      <c r="A6" s="6"/>
      <c r="B6" s="174">
        <v>1</v>
      </c>
      <c r="C6" s="175"/>
      <c r="D6" s="261" t="str">
        <f>VLOOKUP(B6,$C$41:$E$57,2,0)</f>
        <v>ID-012A</v>
      </c>
      <c r="E6" s="211" t="str" cm="1">
        <f t="array" ref="E6:I6">(_xlfn.XLOOKUP($D6,'B-1. THKL THEO ID'!$B:$B,('B-1. THKL THEO ID'!C:G),"N/A",0))</f>
        <v>CBS</v>
      </c>
      <c r="F6" s="211">
        <v>0</v>
      </c>
      <c r="G6" s="211">
        <v>0</v>
      </c>
      <c r="H6" s="183" t="str">
        <v xml:space="preserve">Ván khuôn tường bao tầng hầm </v>
      </c>
      <c r="I6" s="208" t="str">
        <v>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VLOOKUP(B9,$C$41:$E$57,2,0)</f>
        <v>ID-013A</v>
      </c>
      <c r="E9" s="211" cm="1">
        <f t="array" ref="E9:I9">(_xlfn.XLOOKUP($D9,'B-1. THKL THEO ID'!$B:$B,('B-1. THKL THEO ID'!C:G),"N/A",0))</f>
        <v>0</v>
      </c>
      <c r="F9" s="211" t="str">
        <v>BOQ-015</v>
      </c>
      <c r="G9" s="211">
        <v>0</v>
      </c>
      <c r="H9" s="183" t="str">
        <v>Thép tường tầng hầm D&lt;=10</v>
      </c>
      <c r="I9" s="208" t="str">
        <v>tấn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17" collapsed="1">
      <c r="A12" s="6"/>
      <c r="B12" s="174">
        <v>3</v>
      </c>
      <c r="C12" s="175"/>
      <c r="D12" s="261" t="str">
        <f>VLOOKUP(B12,$C$41:$E$57,2,0)</f>
        <v>ID-013B</v>
      </c>
      <c r="E12" s="211" cm="1">
        <f t="array" ref="E12:I12">(_xlfn.XLOOKUP($D12,'B-1. THKL THEO ID'!$B:$B,('B-1. THKL THEO ID'!C:G),"N/A",0))</f>
        <v>0</v>
      </c>
      <c r="F12" s="211" t="str">
        <v>BOQ-016</v>
      </c>
      <c r="G12" s="211">
        <v>0</v>
      </c>
      <c r="H12" s="183" t="str">
        <v>Thép tường tầng hầm D&lt;=18</v>
      </c>
      <c r="I12" s="208" t="str">
        <v>tấn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VLOOKUP(B15,$C$41:$E$57,2,0)</f>
        <v>ID-013</v>
      </c>
      <c r="E15" s="211" t="str" cm="1">
        <f t="array" ref="E15:I15">(_xlfn.XLOOKUP($D15,'B-1. THKL THEO ID'!$B:$B,('B-1. THKL THEO ID'!C:G),"N/A",0))</f>
        <v>CBS</v>
      </c>
      <c r="F15" s="211">
        <v>0</v>
      </c>
      <c r="G15" s="211">
        <v>0</v>
      </c>
      <c r="H15" s="183" t="str">
        <v>thép tường tầng hầm full (kg)</v>
      </c>
      <c r="I15" s="208" t="str">
        <v>kg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51" collapsed="1">
      <c r="A18" s="6"/>
      <c r="B18" s="174">
        <v>5</v>
      </c>
      <c r="C18" s="175"/>
      <c r="D18" s="261" t="str">
        <f>VLOOKUP(B18,$C$41:$E$57,2,0)</f>
        <v>ID-014</v>
      </c>
      <c r="E18" s="211" cm="1">
        <f t="array" ref="E18:I18">(_xlfn.XLOOKUP($D18,'B-1. THKL THEO ID'!$B:$B,('B-1. THKL THEO ID'!C:G),"N/A",0))</f>
        <v>0</v>
      </c>
      <c r="F18" s="211" t="str">
        <v>BOQ-017</v>
      </c>
      <c r="G18" s="211">
        <v>0</v>
      </c>
      <c r="H18" s="183" t="str">
        <v>Bê tông tường tầng hầm M400 (Bao gồm: Vách bao hầm M500 W10; Vách bể M400 W10)</v>
      </c>
      <c r="I18" s="208" t="str">
        <v>m3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34" collapsed="1">
      <c r="A21" s="6"/>
      <c r="B21" s="174">
        <v>6</v>
      </c>
      <c r="C21" s="175"/>
      <c r="D21" s="261" t="str">
        <f>VLOOKUP(B21,$C$41:$E$57,2,0)</f>
        <v>ID-014A</v>
      </c>
      <c r="E21" s="211" t="str" cm="1">
        <f t="array" ref="E21:I21">(_xlfn.XLOOKUP($D21,'B-1. THKL THEO ID'!$B:$B,('B-1. THKL THEO ID'!C:G),"N/A",0))</f>
        <v>CBS</v>
      </c>
      <c r="F21" s="211">
        <v>0</v>
      </c>
      <c r="G21" s="211">
        <v>0</v>
      </c>
      <c r="H21" s="183" t="str">
        <v>Bê tông vách bo quanh tầng hầm M500 cấp chống thấm W10</v>
      </c>
      <c r="I21" s="208" t="str">
        <v>m3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17" collapsed="1">
      <c r="A24" s="6"/>
      <c r="B24" s="174">
        <v>7</v>
      </c>
      <c r="C24" s="175"/>
      <c r="D24" s="261" t="str">
        <f>VLOOKUP(B24,$C$41:$E$57,2,0)</f>
        <v>ID-X01</v>
      </c>
      <c r="E24" s="211" t="str" cm="1">
        <f t="array" ref="E24:I24">(_xlfn.XLOOKUP($D24,'B-1. THKL THEO ID'!$B:$B,('B-1. THKL THEO ID'!C:G),"N/A",0))</f>
        <v>CBS</v>
      </c>
      <c r="F24" s="211" t="str">
        <v>BOQ-018</v>
      </c>
      <c r="G24" s="211">
        <v>0</v>
      </c>
      <c r="H24" s="183" t="str">
        <v>Băng cản nước tường tầng hầm</v>
      </c>
      <c r="I24" s="208" t="str">
        <v>m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17" collapsed="1">
      <c r="A27" s="6"/>
      <c r="B27" s="174">
        <v>8</v>
      </c>
      <c r="C27" s="175"/>
      <c r="D27" s="261" t="str">
        <f>VLOOKUP(B27,$C$41:$E$57,2,0)</f>
        <v>ID-038</v>
      </c>
      <c r="E27" s="211" t="str" cm="1">
        <f t="array" ref="E27:I27">(_xlfn.XLOOKUP($D27,'B-1. THKL THEO ID'!$B:$B,('B-1. THKL THEO ID'!C:G),"N/A",0))</f>
        <v>CBS</v>
      </c>
      <c r="F27" s="211" t="str">
        <v>BOQ-059</v>
      </c>
      <c r="G27" s="211">
        <v>0</v>
      </c>
      <c r="H27" s="183" t="str">
        <v>Chống thấm mặt ngoài tường hầm</v>
      </c>
      <c r="I27" s="208" t="str">
        <v>m2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209">
        <f>SUBTOTAL(9,U28:U29)</f>
        <v>0</v>
      </c>
      <c r="V27" s="177"/>
    </row>
    <row r="28" spans="1:22" s="2" customFormat="1" ht="16" hidden="1" outlineLevel="1">
      <c r="A28" s="6"/>
      <c r="B28" s="179"/>
      <c r="C28" s="180"/>
      <c r="D28" s="239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262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1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17" collapsed="1">
      <c r="A30" s="6"/>
      <c r="B30" s="174">
        <v>9</v>
      </c>
      <c r="C30" s="175"/>
      <c r="D30" s="261" t="str">
        <f>VLOOKUP(B30,$C$41:$E$57,2,0)</f>
        <v>ID-040</v>
      </c>
      <c r="E30" s="211" t="str" cm="1">
        <f t="array" ref="E30:I30">(_xlfn.XLOOKUP($D30,'B-1. THKL THEO ID'!$B:$B,('B-1. THKL THEO ID'!C:G),"N/A",0))</f>
        <v>CBS</v>
      </c>
      <c r="F30" s="211" t="str">
        <v>BOQ-061</v>
      </c>
      <c r="G30" s="211">
        <v>0</v>
      </c>
      <c r="H30" s="183" t="str">
        <v>Chống mối tường hầm</v>
      </c>
      <c r="I30" s="208" t="str">
        <v>m2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7" collapsed="1">
      <c r="A33" s="6"/>
      <c r="B33" s="174">
        <v>10</v>
      </c>
      <c r="C33" s="175"/>
      <c r="D33" s="261" t="str">
        <f>VLOOKUP(B33,$C$41:$E$57,2,0)</f>
        <v>ID-044</v>
      </c>
      <c r="E33" s="211" t="str" cm="1">
        <f t="array" ref="E33:I33">(_xlfn.XLOOKUP($D33,'B-1. THKL THEO ID'!$B:$B,('B-1. THKL THEO ID'!C:G),"N/A",0))</f>
        <v>CBS</v>
      </c>
      <c r="F33" s="211" t="str">
        <v>BOQ-065</v>
      </c>
      <c r="G33" s="211">
        <v>0</v>
      </c>
      <c r="H33" s="183" t="str">
        <v>Mài hoàn thiện cột vách dầm sàn</v>
      </c>
      <c r="I33" s="208" t="str">
        <v>m2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178">
        <f>SUBTOTAL(9,U34:U34)</f>
        <v>0</v>
      </c>
      <c r="V33" s="177"/>
    </row>
    <row r="34" spans="1:22" s="2" customFormat="1" ht="16" hidden="1" outlineLevel="1">
      <c r="A34" s="6"/>
      <c r="B34" s="179"/>
      <c r="C34" s="180"/>
      <c r="D34" s="186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7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ht="20" customHeight="1">
      <c r="A36" s="2"/>
      <c r="B36" s="50"/>
      <c r="C36" s="51"/>
      <c r="D36" s="52"/>
      <c r="E36" s="53"/>
      <c r="F36" s="52"/>
      <c r="G36" s="52"/>
      <c r="H36" s="54"/>
      <c r="I36" s="52"/>
      <c r="J36" s="52"/>
      <c r="K36" s="52"/>
      <c r="L36" s="52"/>
      <c r="M36" s="52"/>
      <c r="N36" s="52"/>
      <c r="O36" s="52"/>
      <c r="P36" s="52"/>
      <c r="Q36" s="52"/>
      <c r="R36" s="55"/>
      <c r="S36" s="52"/>
      <c r="T36" s="52"/>
      <c r="U36" s="52"/>
      <c r="V36" s="52"/>
    </row>
    <row r="37" spans="1:22" ht="20" customHeight="1">
      <c r="A37" s="2"/>
      <c r="B37" s="27" t="s">
        <v>20</v>
      </c>
      <c r="C37" s="28">
        <v>3</v>
      </c>
      <c r="D37" s="27"/>
      <c r="E37" s="29"/>
      <c r="F37" s="27"/>
      <c r="G37" s="27"/>
      <c r="H37" s="30" t="s">
        <v>29</v>
      </c>
      <c r="I37" s="31"/>
      <c r="J37" s="31"/>
      <c r="K37" s="31"/>
      <c r="L37" s="31"/>
      <c r="M37" s="31"/>
      <c r="N37" s="31"/>
      <c r="O37" s="31"/>
      <c r="P37" s="31"/>
      <c r="Q37" s="31"/>
      <c r="R37" s="32">
        <f>SUBTOTAL(9,R6:R36)</f>
        <v>0</v>
      </c>
      <c r="S37" s="31"/>
      <c r="T37" s="31"/>
      <c r="U37" s="31"/>
      <c r="V37" s="31"/>
    </row>
    <row r="38" spans="1:22" s="2" customFormat="1" ht="20" customHeight="1">
      <c r="E38" s="7"/>
    </row>
    <row r="41" spans="1:22" ht="20" customHeight="1">
      <c r="C41">
        <v>1</v>
      </c>
      <c r="D41" s="239" t="s">
        <v>606</v>
      </c>
    </row>
    <row r="42" spans="1:22" ht="20" customHeight="1">
      <c r="C42">
        <f>1+C41</f>
        <v>2</v>
      </c>
      <c r="D42" s="239" t="s">
        <v>588</v>
      </c>
    </row>
    <row r="43" spans="1:22" ht="20" customHeight="1">
      <c r="C43">
        <f t="shared" ref="C43:C50" si="0">1+C42</f>
        <v>3</v>
      </c>
      <c r="D43" s="239" t="s">
        <v>567</v>
      </c>
    </row>
    <row r="44" spans="1:22" ht="20" customHeight="1">
      <c r="C44">
        <f t="shared" si="0"/>
        <v>4</v>
      </c>
      <c r="D44" s="239" t="s">
        <v>363</v>
      </c>
    </row>
    <row r="45" spans="1:22" ht="20" customHeight="1">
      <c r="C45">
        <f t="shared" si="0"/>
        <v>5</v>
      </c>
      <c r="D45" s="239" t="s">
        <v>370</v>
      </c>
    </row>
    <row r="46" spans="1:22" ht="20" customHeight="1">
      <c r="C46">
        <f t="shared" si="0"/>
        <v>6</v>
      </c>
      <c r="D46" s="239" t="s">
        <v>607</v>
      </c>
    </row>
    <row r="47" spans="1:22" ht="20" customHeight="1">
      <c r="C47">
        <f t="shared" si="0"/>
        <v>7</v>
      </c>
      <c r="D47" s="239" t="s">
        <v>589</v>
      </c>
    </row>
    <row r="48" spans="1:22" ht="20" customHeight="1">
      <c r="C48">
        <f t="shared" si="0"/>
        <v>8</v>
      </c>
      <c r="D48" s="239" t="s">
        <v>388</v>
      </c>
    </row>
    <row r="49" spans="3:4" ht="20" customHeight="1">
      <c r="C49">
        <f t="shared" si="0"/>
        <v>9</v>
      </c>
      <c r="D49" s="239" t="s">
        <v>390</v>
      </c>
    </row>
    <row r="50" spans="3:4" ht="20" customHeight="1">
      <c r="C50">
        <f t="shared" si="0"/>
        <v>10</v>
      </c>
      <c r="D50" s="239" t="s">
        <v>394</v>
      </c>
    </row>
    <row r="51" spans="3:4" ht="20" customHeight="1">
      <c r="C51">
        <v>12</v>
      </c>
      <c r="D51" s="239"/>
    </row>
    <row r="52" spans="3:4" ht="20" customHeight="1">
      <c r="C52">
        <v>13</v>
      </c>
      <c r="D52" s="239"/>
    </row>
    <row r="53" spans="3:4" ht="20" customHeight="1">
      <c r="C53">
        <v>14</v>
      </c>
      <c r="D53" s="239"/>
    </row>
    <row r="54" spans="3:4" ht="20" customHeight="1">
      <c r="C54">
        <v>15</v>
      </c>
      <c r="D54" s="239"/>
    </row>
    <row r="55" spans="3:4" ht="20" customHeight="1">
      <c r="C55">
        <v>16</v>
      </c>
      <c r="D55" s="239"/>
    </row>
    <row r="56" spans="3:4" ht="20" customHeight="1">
      <c r="C56">
        <v>17</v>
      </c>
      <c r="D56" s="239"/>
    </row>
    <row r="57" spans="3:4" ht="20" customHeight="1">
      <c r="C57">
        <v>18</v>
      </c>
      <c r="D57" s="239"/>
    </row>
  </sheetData>
  <autoFilter ref="B5:V36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38">
    <cfRule type="cellIs" dxfId="69" priority="11" operator="lessThan">
      <formula>0</formula>
    </cfRule>
  </conditionalFormatting>
  <conditionalFormatting sqref="U6">
    <cfRule type="cellIs" dxfId="68" priority="10" operator="lessThan">
      <formula>0</formula>
    </cfRule>
  </conditionalFormatting>
  <conditionalFormatting sqref="U9">
    <cfRule type="cellIs" dxfId="67" priority="9" operator="lessThan">
      <formula>0</formula>
    </cfRule>
  </conditionalFormatting>
  <conditionalFormatting sqref="U12">
    <cfRule type="cellIs" dxfId="66" priority="8" operator="lessThan">
      <formula>0</formula>
    </cfRule>
  </conditionalFormatting>
  <conditionalFormatting sqref="U15">
    <cfRule type="cellIs" dxfId="65" priority="7" operator="lessThan">
      <formula>0</formula>
    </cfRule>
  </conditionalFormatting>
  <conditionalFormatting sqref="U18">
    <cfRule type="cellIs" dxfId="64" priority="6" operator="lessThan">
      <formula>0</formula>
    </cfRule>
  </conditionalFormatting>
  <conditionalFormatting sqref="U21">
    <cfRule type="cellIs" dxfId="63" priority="5" operator="lessThan">
      <formula>0</formula>
    </cfRule>
  </conditionalFormatting>
  <conditionalFormatting sqref="U24">
    <cfRule type="cellIs" dxfId="62" priority="4" operator="lessThan">
      <formula>0</formula>
    </cfRule>
  </conditionalFormatting>
  <conditionalFormatting sqref="U27">
    <cfRule type="cellIs" dxfId="61" priority="3" operator="lessThan">
      <formula>0</formula>
    </cfRule>
  </conditionalFormatting>
  <conditionalFormatting sqref="U30">
    <cfRule type="cellIs" dxfId="60" priority="2" operator="lessThan">
      <formula>0</formula>
    </cfRule>
  </conditionalFormatting>
  <conditionalFormatting sqref="U33">
    <cfRule type="cellIs" dxfId="59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B2CF4-E1EA-4C07-9F31-9E19DF9911C6}">
  <sheetPr codeName="Sheet34">
    <tabColor rgb="FF00B0F0"/>
    <outlinePr summaryBelow="0" summaryRight="0"/>
    <pageSetUpPr fitToPage="1"/>
  </sheetPr>
  <dimension ref="A1:V67"/>
  <sheetViews>
    <sheetView showZeros="0" view="pageBreakPreview" topLeftCell="B1" zoomScaleNormal="100" zoomScaleSheetLayoutView="100" workbookViewId="0">
      <pane ySplit="5" topLeftCell="A6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"&amp;UPPER(VLOOKUP($F$3,DM_CKDH!$B$4:$E$54,2,0))&amp;" - Mã CK:"&amp;F3</f>
        <v>BẢNG DIẾN GIẢI KHỐI LƯỢNG CẤU KIỆN ĐIỂN HÌNH  - CỘT TẦNG B1 - KHU BIÊN - Mã CK:S24.21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491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34" collapsed="1">
      <c r="A6" s="6"/>
      <c r="B6" s="174">
        <v>1</v>
      </c>
      <c r="C6" s="175"/>
      <c r="D6" s="261" t="str">
        <f>VLOOKUP(B6,$C$50:$E$67,2,0)</f>
        <v>ID-015</v>
      </c>
      <c r="E6" s="211" cm="1">
        <f t="array" ref="E6:I6">(_xlfn.XLOOKUP($D6,'B-1. THKL THEO ID'!$B:$B,('B-1. THKL THEO ID'!C:G),"N/A",0))</f>
        <v>0</v>
      </c>
      <c r="F6" s="211" t="str">
        <v>BOQ-019</v>
      </c>
      <c r="G6" s="211">
        <v>0</v>
      </c>
      <c r="H6" s="183" t="str">
        <v>Ván khuôn ép cột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VLOOKUP(B9,$C$50:$E$67,2,0)</f>
        <v>ID-015A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ép cột (m2)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178">
        <f>SUBTOTAL(9,U10:U10)</f>
        <v>0</v>
      </c>
      <c r="V9" s="177"/>
    </row>
    <row r="10" spans="1:22" s="2" customFormat="1" ht="16" hidden="1" outlineLevel="1">
      <c r="A10" s="6"/>
      <c r="B10" s="179"/>
      <c r="C10" s="180"/>
      <c r="D10" s="186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7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17" collapsed="1">
      <c r="A12" s="6"/>
      <c r="B12" s="174">
        <v>3</v>
      </c>
      <c r="C12" s="175"/>
      <c r="D12" s="261" t="str">
        <f>VLOOKUP(B12,$C$50:$E$67,2,0)</f>
        <v>ID-016A</v>
      </c>
      <c r="E12" s="211" cm="1">
        <f t="array" ref="E12:I12">(_xlfn.XLOOKUP($D12,'B-1. THKL THEO ID'!$B:$B,('B-1. THKL THEO ID'!C:G),"N/A",0))</f>
        <v>0</v>
      </c>
      <c r="F12" s="211" t="str">
        <v>BOQ-020</v>
      </c>
      <c r="G12" s="211">
        <v>0</v>
      </c>
      <c r="H12" s="183" t="str">
        <v>Thép cột D&lt;=10</v>
      </c>
      <c r="I12" s="208" t="str">
        <v>tấn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VLOOKUP(B15,$C$50:$E$67,2,0)</f>
        <v>ID-016B</v>
      </c>
      <c r="E15" s="211" cm="1">
        <f t="array" ref="E15:I15">(_xlfn.XLOOKUP($D15,'B-1. THKL THEO ID'!$B:$B,('B-1. THKL THEO ID'!C:G),"N/A",0))</f>
        <v>0</v>
      </c>
      <c r="F15" s="211" t="str">
        <v>BOQ-021</v>
      </c>
      <c r="G15" s="211">
        <v>0</v>
      </c>
      <c r="H15" s="183" t="str">
        <v>Thép cột D&lt;=18</v>
      </c>
      <c r="I15" s="208" t="str">
        <v>tấn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17" collapsed="1">
      <c r="A18" s="6"/>
      <c r="B18" s="174">
        <v>5</v>
      </c>
      <c r="C18" s="175"/>
      <c r="D18" s="261" t="str">
        <f>VLOOKUP(B18,$C$50:$E$67,2,0)</f>
        <v>ID-016C</v>
      </c>
      <c r="E18" s="211" cm="1">
        <f t="array" ref="E18:I18">(_xlfn.XLOOKUP($D18,'B-1. THKL THEO ID'!$B:$B,('B-1. THKL THEO ID'!C:G),"N/A",0))</f>
        <v>0</v>
      </c>
      <c r="F18" s="211" t="str">
        <v>BOQ-022</v>
      </c>
      <c r="G18" s="211">
        <v>0</v>
      </c>
      <c r="H18" s="183" t="str">
        <v>Thép cột D&gt;18</v>
      </c>
      <c r="I18" s="208" t="str">
        <v>tấn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178">
        <f>SUBTOTAL(9,U19:U19)</f>
        <v>0</v>
      </c>
      <c r="V18" s="177"/>
    </row>
    <row r="19" spans="1:22" s="2" customFormat="1" ht="16" hidden="1" outlineLevel="1">
      <c r="A19" s="6"/>
      <c r="B19" s="179"/>
      <c r="C19" s="180"/>
      <c r="D19" s="186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7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17" collapsed="1">
      <c r="A21" s="6"/>
      <c r="B21" s="174">
        <v>6</v>
      </c>
      <c r="C21" s="175"/>
      <c r="D21" s="261" t="str">
        <f>VLOOKUP(B21,$C$50:$E$67,2,0)</f>
        <v>ID-016</v>
      </c>
      <c r="E21" s="211" t="str" cm="1">
        <f t="array" ref="E21:I21">(_xlfn.XLOOKUP($D21,'B-1. THKL THEO ID'!$B:$B,('B-1. THKL THEO ID'!C:G),"N/A",0))</f>
        <v>CBS</v>
      </c>
      <c r="F21" s="211">
        <v>0</v>
      </c>
      <c r="G21" s="211">
        <v>0</v>
      </c>
      <c r="H21" s="183" t="str">
        <v>Thép cột full (kg)</v>
      </c>
      <c r="I21" s="208" t="str">
        <v>kg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17" collapsed="1">
      <c r="A24" s="6"/>
      <c r="B24" s="174">
        <v>7</v>
      </c>
      <c r="C24" s="175"/>
      <c r="D24" s="261" t="str">
        <f>VLOOKUP(B24,$C$50:$E$67,2,0)</f>
        <v>ID-017</v>
      </c>
      <c r="E24" s="211" t="str" cm="1">
        <f t="array" ref="E24:I24">(_xlfn.XLOOKUP($D24,'B-1. THKL THEO ID'!$B:$B,('B-1. THKL THEO ID'!C:G),"N/A",0))</f>
        <v>CBS</v>
      </c>
      <c r="F24" s="211">
        <v>0</v>
      </c>
      <c r="G24" s="211">
        <v>0</v>
      </c>
      <c r="H24" s="183" t="str">
        <v>Coupler cột D22</v>
      </c>
      <c r="I24" s="208" t="str">
        <v>Cái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17" collapsed="1">
      <c r="A27" s="6"/>
      <c r="B27" s="174">
        <v>8</v>
      </c>
      <c r="C27" s="175"/>
      <c r="D27" s="261" t="str">
        <f>VLOOKUP(B27,$C$50:$E$67,2,0)</f>
        <v>ID-018</v>
      </c>
      <c r="E27" s="211" t="str" cm="1">
        <f t="array" ref="E27:I27">(_xlfn.XLOOKUP($D27,'B-1. THKL THEO ID'!$B:$B,('B-1. THKL THEO ID'!C:G),"N/A",0))</f>
        <v>CBS</v>
      </c>
      <c r="F27" s="211">
        <v>0</v>
      </c>
      <c r="G27" s="211">
        <v>0</v>
      </c>
      <c r="H27" s="183" t="str">
        <v>Coupler cột D25</v>
      </c>
      <c r="I27" s="208" t="str">
        <v>Cái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178">
        <f>SUBTOTAL(9,U28:U28)</f>
        <v>0</v>
      </c>
      <c r="V27" s="177"/>
    </row>
    <row r="28" spans="1:22" s="2" customFormat="1" ht="16" hidden="1" outlineLevel="1">
      <c r="A28" s="6"/>
      <c r="B28" s="179"/>
      <c r="C28" s="180"/>
      <c r="D28" s="186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7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17" collapsed="1">
      <c r="A30" s="6"/>
      <c r="B30" s="174">
        <v>9</v>
      </c>
      <c r="C30" s="175"/>
      <c r="D30" s="261" t="str">
        <f>VLOOKUP(B30,$C$50:$E$67,2,0)</f>
        <v>ID-019</v>
      </c>
      <c r="E30" s="211" t="str" cm="1">
        <f t="array" ref="E30:I30">(_xlfn.XLOOKUP($D30,'B-1. THKL THEO ID'!$B:$B,('B-1. THKL THEO ID'!C:G),"N/A",0))</f>
        <v>CBS</v>
      </c>
      <c r="F30" s="211">
        <v>0</v>
      </c>
      <c r="G30" s="211">
        <v>0</v>
      </c>
      <c r="H30" s="183" t="str">
        <v>Coupler cột D28</v>
      </c>
      <c r="I30" s="208" t="str">
        <v>Cái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34" collapsed="1">
      <c r="A33" s="6"/>
      <c r="B33" s="174">
        <v>10</v>
      </c>
      <c r="C33" s="175"/>
      <c r="D33" s="261" t="str">
        <f>VLOOKUP(B33,$C$50:$E$67,2,0)</f>
        <v>ID-020</v>
      </c>
      <c r="E33" s="211" t="str" cm="1">
        <f t="array" ref="E33:I33">(_xlfn.XLOOKUP($D33,'B-1. THKL THEO ID'!$B:$B,('B-1. THKL THEO ID'!C:G),"N/A",0))</f>
        <v>CBS</v>
      </c>
      <c r="F33" s="211">
        <v>0</v>
      </c>
      <c r="G33" s="211">
        <v>0</v>
      </c>
      <c r="H33" s="183" t="str">
        <v>Thép D6 biện pháp cột giao với dầm sàn</v>
      </c>
      <c r="I33" s="208" t="str">
        <v>kg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209">
        <f>SUBTOTAL(9,U34:U35)</f>
        <v>0</v>
      </c>
      <c r="V33" s="177"/>
    </row>
    <row r="34" spans="1:22" s="2" customFormat="1" ht="16" hidden="1" outlineLevel="1">
      <c r="A34" s="6"/>
      <c r="B34" s="179"/>
      <c r="C34" s="180"/>
      <c r="D34" s="239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262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1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34" collapsed="1">
      <c r="A36" s="6"/>
      <c r="B36" s="174">
        <v>11</v>
      </c>
      <c r="C36" s="175"/>
      <c r="D36" s="261" t="str">
        <f>VLOOKUP(B36,$C$50:$E$67,2,0)</f>
        <v>ID-021</v>
      </c>
      <c r="E36" s="211" t="str" cm="1">
        <f t="array" ref="E36:I36">(_xlfn.XLOOKUP($D36,'B-1. THKL THEO ID'!$B:$B,('B-1. THKL THEO ID'!C:G),"N/A",0))</f>
        <v>CBS</v>
      </c>
      <c r="F36" s="211">
        <v>0</v>
      </c>
      <c r="G36" s="211">
        <v>0</v>
      </c>
      <c r="H36" s="183" t="str">
        <v>Lưới thép, kích thước lỗ 8x8mm vị trí vách giao với dầm sàn</v>
      </c>
      <c r="I36" s="208" t="str">
        <v>m2</v>
      </c>
      <c r="J36" s="174"/>
      <c r="K36" s="174"/>
      <c r="L36" s="174"/>
      <c r="M36" s="176"/>
      <c r="N36" s="174"/>
      <c r="O36" s="177"/>
      <c r="P36" s="177"/>
      <c r="Q36" s="177"/>
      <c r="R36" s="178">
        <f>SUBTOTAL(9,R37:R38)</f>
        <v>0</v>
      </c>
      <c r="S36" s="177"/>
      <c r="T36" s="177"/>
      <c r="U36" s="178">
        <f>SUBTOTAL(9,U37:U37)</f>
        <v>0</v>
      </c>
      <c r="V36" s="177"/>
    </row>
    <row r="37" spans="1:22" s="2" customFormat="1" ht="16" hidden="1" outlineLevel="1">
      <c r="A37" s="6"/>
      <c r="B37" s="179"/>
      <c r="C37" s="180"/>
      <c r="D37" s="186"/>
      <c r="E37" s="213"/>
      <c r="F37" s="212"/>
      <c r="G37" s="212"/>
      <c r="H37" s="184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</row>
    <row r="38" spans="1:22" s="2" customFormat="1" ht="16" hidden="1" outlineLevel="1">
      <c r="A38" s="6"/>
      <c r="B38" s="181"/>
      <c r="C38" s="182"/>
      <c r="D38" s="187"/>
      <c r="E38" s="215"/>
      <c r="F38" s="214"/>
      <c r="G38" s="214"/>
      <c r="H38" s="185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s="2" customFormat="1" ht="17" collapsed="1">
      <c r="A39" s="6"/>
      <c r="B39" s="174">
        <v>12</v>
      </c>
      <c r="C39" s="175"/>
      <c r="D39" s="261" t="str">
        <f>VLOOKUP(B39,$C$50:$E$67,2,0)</f>
        <v>ID-022</v>
      </c>
      <c r="E39" s="211" t="str" cm="1">
        <f t="array" ref="E39:I39">(_xlfn.XLOOKUP($D39,'B-1. THKL THEO ID'!$B:$B,('B-1. THKL THEO ID'!C:G),"N/A",0))</f>
        <v>CBS</v>
      </c>
      <c r="F39" s="211" t="str">
        <v>BOQ-023</v>
      </c>
      <c r="G39" s="211">
        <v>0</v>
      </c>
      <c r="H39" s="183" t="str">
        <v>Bê tông cột M600</v>
      </c>
      <c r="I39" s="208" t="str">
        <v>m3</v>
      </c>
      <c r="J39" s="174"/>
      <c r="K39" s="174"/>
      <c r="L39" s="174"/>
      <c r="M39" s="176"/>
      <c r="N39" s="174"/>
      <c r="O39" s="177"/>
      <c r="P39" s="177"/>
      <c r="Q39" s="177"/>
      <c r="R39" s="178">
        <f>SUBTOTAL(9,R40:R41)</f>
        <v>0</v>
      </c>
      <c r="S39" s="177"/>
      <c r="T39" s="177"/>
      <c r="U39" s="209">
        <f>SUBTOTAL(9,U40:U41)</f>
        <v>0</v>
      </c>
      <c r="V39" s="177"/>
    </row>
    <row r="40" spans="1:22" s="2" customFormat="1" ht="16" hidden="1" outlineLevel="1">
      <c r="A40" s="6"/>
      <c r="B40" s="179"/>
      <c r="C40" s="180"/>
      <c r="D40" s="239"/>
      <c r="E40" s="213"/>
      <c r="F40" s="212"/>
      <c r="G40" s="212"/>
      <c r="H40" s="184"/>
      <c r="I40" s="179"/>
      <c r="J40" s="179"/>
      <c r="K40" s="179"/>
      <c r="L40" s="179"/>
      <c r="M40" s="179"/>
      <c r="N40" s="179"/>
      <c r="O40" s="179"/>
      <c r="P40" s="179"/>
      <c r="Q40" s="179"/>
      <c r="R40" s="262"/>
      <c r="S40" s="179"/>
      <c r="T40" s="179"/>
      <c r="U40" s="179"/>
      <c r="V40" s="179"/>
    </row>
    <row r="41" spans="1:22" s="2" customFormat="1" ht="16" hidden="1" outlineLevel="1">
      <c r="A41" s="6"/>
      <c r="B41" s="181"/>
      <c r="C41" s="182"/>
      <c r="D41" s="181"/>
      <c r="E41" s="215"/>
      <c r="F41" s="214"/>
      <c r="G41" s="214"/>
      <c r="H41" s="185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</row>
    <row r="42" spans="1:22" s="2" customFormat="1" ht="17" collapsed="1">
      <c r="A42" s="6"/>
      <c r="B42" s="174">
        <v>13</v>
      </c>
      <c r="C42" s="175"/>
      <c r="D42" s="261" t="str">
        <f>VLOOKUP(B42,$C$50:$E$67,2,0)</f>
        <v>ID-044</v>
      </c>
      <c r="E42" s="211" t="str" cm="1">
        <f t="array" ref="E42:I42">(_xlfn.XLOOKUP($D42,'B-1. THKL THEO ID'!$B:$B,('B-1. THKL THEO ID'!C:G),"N/A",0))</f>
        <v>CBS</v>
      </c>
      <c r="F42" s="211" t="str">
        <v>BOQ-065</v>
      </c>
      <c r="G42" s="211">
        <v>0</v>
      </c>
      <c r="H42" s="183" t="str">
        <v>Mài hoàn thiện cột vách dầm sàn</v>
      </c>
      <c r="I42" s="208" t="str">
        <v>m2</v>
      </c>
      <c r="J42" s="174"/>
      <c r="K42" s="174"/>
      <c r="L42" s="174"/>
      <c r="M42" s="176"/>
      <c r="N42" s="174"/>
      <c r="O42" s="177"/>
      <c r="P42" s="177"/>
      <c r="Q42" s="177"/>
      <c r="R42" s="178">
        <f>SUBTOTAL(9,R43:R44)</f>
        <v>0</v>
      </c>
      <c r="S42" s="177"/>
      <c r="T42" s="177"/>
      <c r="U42" s="178">
        <f>SUBTOTAL(9,U43:U43)</f>
        <v>0</v>
      </c>
      <c r="V42" s="177"/>
    </row>
    <row r="43" spans="1:22" s="2" customFormat="1" ht="16" hidden="1" outlineLevel="1">
      <c r="A43" s="6"/>
      <c r="B43" s="179"/>
      <c r="C43" s="180"/>
      <c r="D43" s="186"/>
      <c r="E43" s="213"/>
      <c r="F43" s="212"/>
      <c r="G43" s="212"/>
      <c r="H43" s="184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</row>
    <row r="44" spans="1:22" s="2" customFormat="1" ht="16" hidden="1" outlineLevel="1">
      <c r="A44" s="6"/>
      <c r="B44" s="181"/>
      <c r="C44" s="182"/>
      <c r="D44" s="187"/>
      <c r="E44" s="215"/>
      <c r="F44" s="214"/>
      <c r="G44" s="214"/>
      <c r="H44" s="185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</row>
    <row r="45" spans="1:22" ht="20" customHeight="1">
      <c r="A45" s="2"/>
      <c r="B45" s="50"/>
      <c r="C45" s="51"/>
      <c r="D45" s="52"/>
      <c r="E45" s="53"/>
      <c r="F45" s="52"/>
      <c r="G45" s="52"/>
      <c r="H45" s="54"/>
      <c r="I45" s="52"/>
      <c r="J45" s="52"/>
      <c r="K45" s="52"/>
      <c r="L45" s="52"/>
      <c r="M45" s="52"/>
      <c r="N45" s="52"/>
      <c r="O45" s="52"/>
      <c r="P45" s="52"/>
      <c r="Q45" s="52"/>
      <c r="R45" s="55"/>
      <c r="S45" s="52"/>
      <c r="T45" s="52"/>
      <c r="U45" s="52"/>
      <c r="V45" s="52"/>
    </row>
    <row r="46" spans="1:22" ht="20" customHeight="1">
      <c r="A46" s="2"/>
      <c r="B46" s="27" t="s">
        <v>20</v>
      </c>
      <c r="C46" s="28">
        <v>3</v>
      </c>
      <c r="D46" s="27"/>
      <c r="E46" s="29"/>
      <c r="F46" s="27"/>
      <c r="G46" s="27"/>
      <c r="H46" s="30" t="s">
        <v>29</v>
      </c>
      <c r="I46" s="31"/>
      <c r="J46" s="31"/>
      <c r="K46" s="31"/>
      <c r="L46" s="31"/>
      <c r="M46" s="31"/>
      <c r="N46" s="31"/>
      <c r="O46" s="31"/>
      <c r="P46" s="31"/>
      <c r="Q46" s="31"/>
      <c r="R46" s="32">
        <f>SUBTOTAL(9,R6:R45)</f>
        <v>0</v>
      </c>
      <c r="S46" s="31"/>
      <c r="T46" s="31"/>
      <c r="U46" s="31"/>
      <c r="V46" s="31"/>
    </row>
    <row r="47" spans="1:22" s="2" customFormat="1" ht="20" customHeight="1">
      <c r="E47" s="7"/>
    </row>
    <row r="50" spans="3:4" ht="20" customHeight="1">
      <c r="C50">
        <v>1</v>
      </c>
      <c r="D50" s="239" t="s">
        <v>378</v>
      </c>
    </row>
    <row r="51" spans="3:4" ht="20" customHeight="1">
      <c r="C51">
        <v>2</v>
      </c>
      <c r="D51" s="239" t="s">
        <v>608</v>
      </c>
    </row>
    <row r="52" spans="3:4" ht="20" customHeight="1">
      <c r="C52">
        <v>3</v>
      </c>
      <c r="D52" s="239" t="s">
        <v>609</v>
      </c>
    </row>
    <row r="53" spans="3:4" ht="20" customHeight="1">
      <c r="C53">
        <v>4</v>
      </c>
      <c r="D53" s="239" t="s">
        <v>569</v>
      </c>
    </row>
    <row r="54" spans="3:4" ht="20" customHeight="1">
      <c r="C54">
        <v>5</v>
      </c>
      <c r="D54" s="239" t="s">
        <v>610</v>
      </c>
    </row>
    <row r="55" spans="3:4" ht="20" customHeight="1">
      <c r="C55">
        <v>6</v>
      </c>
      <c r="D55" s="239" t="s">
        <v>364</v>
      </c>
    </row>
    <row r="56" spans="3:4" ht="20" customHeight="1">
      <c r="C56">
        <v>7</v>
      </c>
      <c r="D56" s="239" t="s">
        <v>365</v>
      </c>
    </row>
    <row r="57" spans="3:4" ht="20" customHeight="1">
      <c r="C57">
        <v>8</v>
      </c>
      <c r="D57" s="239" t="s">
        <v>366</v>
      </c>
    </row>
    <row r="58" spans="3:4" ht="20" customHeight="1">
      <c r="C58">
        <v>9</v>
      </c>
      <c r="D58" s="239" t="s">
        <v>367</v>
      </c>
    </row>
    <row r="59" spans="3:4" ht="20" customHeight="1">
      <c r="C59">
        <v>10</v>
      </c>
      <c r="D59" s="239" t="s">
        <v>368</v>
      </c>
    </row>
    <row r="60" spans="3:4" ht="20" customHeight="1">
      <c r="C60">
        <v>11</v>
      </c>
      <c r="D60" s="239" t="s">
        <v>371</v>
      </c>
    </row>
    <row r="61" spans="3:4" ht="20" customHeight="1">
      <c r="C61">
        <v>12</v>
      </c>
      <c r="D61" s="239" t="s">
        <v>372</v>
      </c>
    </row>
    <row r="62" spans="3:4" ht="20" customHeight="1">
      <c r="C62">
        <v>13</v>
      </c>
      <c r="D62" s="239" t="s">
        <v>394</v>
      </c>
    </row>
    <row r="63" spans="3:4" ht="20" customHeight="1">
      <c r="C63">
        <v>14</v>
      </c>
      <c r="D63" s="239"/>
    </row>
    <row r="64" spans="3:4" ht="20" customHeight="1">
      <c r="C64">
        <v>15</v>
      </c>
      <c r="D64" s="239"/>
    </row>
    <row r="65" spans="3:4" ht="20" customHeight="1">
      <c r="C65">
        <v>16</v>
      </c>
      <c r="D65" s="239"/>
    </row>
    <row r="66" spans="3:4" ht="20" customHeight="1">
      <c r="C66">
        <v>17</v>
      </c>
      <c r="D66" s="239"/>
    </row>
    <row r="67" spans="3:4" ht="20" customHeight="1">
      <c r="C67">
        <v>18</v>
      </c>
      <c r="D67" s="239"/>
    </row>
  </sheetData>
  <autoFilter ref="B5:V45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47">
    <cfRule type="cellIs" dxfId="58" priority="14" operator="lessThan">
      <formula>0</formula>
    </cfRule>
  </conditionalFormatting>
  <conditionalFormatting sqref="U6">
    <cfRule type="cellIs" dxfId="57" priority="13" operator="lessThan">
      <formula>0</formula>
    </cfRule>
  </conditionalFormatting>
  <conditionalFormatting sqref="U9">
    <cfRule type="cellIs" dxfId="56" priority="12" operator="lessThan">
      <formula>0</formula>
    </cfRule>
  </conditionalFormatting>
  <conditionalFormatting sqref="U12">
    <cfRule type="cellIs" dxfId="55" priority="11" operator="lessThan">
      <formula>0</formula>
    </cfRule>
  </conditionalFormatting>
  <conditionalFormatting sqref="U15">
    <cfRule type="cellIs" dxfId="54" priority="10" operator="lessThan">
      <formula>0</formula>
    </cfRule>
  </conditionalFormatting>
  <conditionalFormatting sqref="U18">
    <cfRule type="cellIs" dxfId="53" priority="9" operator="lessThan">
      <formula>0</formula>
    </cfRule>
  </conditionalFormatting>
  <conditionalFormatting sqref="U21">
    <cfRule type="cellIs" dxfId="52" priority="8" operator="lessThan">
      <formula>0</formula>
    </cfRule>
  </conditionalFormatting>
  <conditionalFormatting sqref="U24">
    <cfRule type="cellIs" dxfId="51" priority="7" operator="lessThan">
      <formula>0</formula>
    </cfRule>
  </conditionalFormatting>
  <conditionalFormatting sqref="U27">
    <cfRule type="cellIs" dxfId="50" priority="6" operator="lessThan">
      <formula>0</formula>
    </cfRule>
  </conditionalFormatting>
  <conditionalFormatting sqref="U30">
    <cfRule type="cellIs" dxfId="49" priority="5" operator="lessThan">
      <formula>0</formula>
    </cfRule>
  </conditionalFormatting>
  <conditionalFormatting sqref="U33">
    <cfRule type="cellIs" dxfId="48" priority="4" operator="lessThan">
      <formula>0</formula>
    </cfRule>
  </conditionalFormatting>
  <conditionalFormatting sqref="U36">
    <cfRule type="cellIs" dxfId="47" priority="3" operator="lessThan">
      <formula>0</formula>
    </cfRule>
  </conditionalFormatting>
  <conditionalFormatting sqref="U39">
    <cfRule type="cellIs" dxfId="46" priority="2" operator="lessThan">
      <formula>0</formula>
    </cfRule>
  </conditionalFormatting>
  <conditionalFormatting sqref="U42">
    <cfRule type="cellIs" dxfId="45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A0C3F-6F0F-4C72-B854-5435EE17742B}">
  <sheetPr codeName="Sheet35">
    <tabColor rgb="FF00B0F0"/>
    <outlinePr summaryBelow="0" summaryRight="0"/>
    <pageSetUpPr fitToPage="1"/>
  </sheetPr>
  <dimension ref="A1:V85"/>
  <sheetViews>
    <sheetView showZeros="0" view="pageBreakPreview" topLeftCell="B1" zoomScaleNormal="100" zoomScaleSheetLayoutView="100" workbookViewId="0">
      <pane ySplit="5" topLeftCell="A6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style="276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"&amp;UPPER(VLOOKUP($F$3,DM_CKDH!$B$4:$E$54,2,0))&amp;" - Mã CK:"&amp;F3</f>
        <v>BẢNG DIẾN GIẢI KHỐI LƯỢNG CẤU KIỆN ĐIỂN HÌNH  - DẦM SÀN TẦNG 1- KHU BIÊN - Mã CK:S25.21</v>
      </c>
      <c r="C1" s="8"/>
      <c r="D1" s="8"/>
      <c r="E1" s="13"/>
      <c r="F1" s="8"/>
      <c r="G1" s="8"/>
      <c r="H1" s="274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1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17" t="s">
        <v>492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34" collapsed="1">
      <c r="A6" s="6"/>
      <c r="B6" s="174">
        <v>1</v>
      </c>
      <c r="C6" s="175"/>
      <c r="D6" s="261" t="str">
        <f>VLOOKUP(B6,$C$69:$E$86,2,0)</f>
        <v>ID-028</v>
      </c>
      <c r="E6" s="211" cm="1">
        <f t="array" ref="E6:I6">(_xlfn.XLOOKUP($D6,'B-1. THKL THEO ID'!$B:$B,('B-1. THKL THEO ID'!C:G),"N/A",0))</f>
        <v>0</v>
      </c>
      <c r="F6" s="211" t="str">
        <v>BOQ-029</v>
      </c>
      <c r="G6" s="211">
        <v>0</v>
      </c>
      <c r="H6" s="183" t="str">
        <v>Ván khuôn ép Dầm tầng 1</v>
      </c>
      <c r="I6" s="208" t="str">
        <v>100m2</v>
      </c>
      <c r="J6" s="174"/>
      <c r="K6" s="174"/>
      <c r="L6" s="174"/>
      <c r="M6" s="176"/>
      <c r="N6" s="174"/>
      <c r="O6" s="177"/>
      <c r="P6" s="177"/>
      <c r="Q6" s="177"/>
      <c r="R6" s="178">
        <f>R9/100</f>
        <v>2.8320800000000004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272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273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VLOOKUP(B9,$C$69:$E$86,2,0)</f>
        <v>ID-028A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Ván khuôn ép Dầm tầng 1 (m2)</v>
      </c>
      <c r="I9" s="208" t="str">
        <v>m2</v>
      </c>
      <c r="J9" s="174"/>
      <c r="K9" s="174"/>
      <c r="L9" s="174"/>
      <c r="M9" s="176"/>
      <c r="N9" s="174"/>
      <c r="O9" s="177"/>
      <c r="P9" s="177"/>
      <c r="Q9" s="177"/>
      <c r="R9" s="178">
        <f>SUBTOTAL(9,R10:R15)</f>
        <v>283.20800000000003</v>
      </c>
      <c r="S9" s="177"/>
      <c r="T9" s="177"/>
      <c r="U9" s="178">
        <f>SUBTOTAL(9,U10:U10)</f>
        <v>0</v>
      </c>
      <c r="V9" s="177"/>
    </row>
    <row r="10" spans="1:22" s="2" customFormat="1" ht="17" hidden="1" outlineLevel="1">
      <c r="A10" s="6"/>
      <c r="B10" s="179"/>
      <c r="C10" s="180"/>
      <c r="D10" s="186"/>
      <c r="E10" s="213"/>
      <c r="F10" s="212"/>
      <c r="G10" s="212"/>
      <c r="H10" s="272" t="s">
        <v>416</v>
      </c>
      <c r="I10" s="179"/>
      <c r="J10" s="179">
        <v>1</v>
      </c>
      <c r="K10" s="179"/>
      <c r="L10" s="179"/>
      <c r="M10" s="179"/>
      <c r="N10" s="179">
        <v>154</v>
      </c>
      <c r="O10" s="179"/>
      <c r="P10" s="179"/>
      <c r="Q10" s="179"/>
      <c r="R10" s="179">
        <f>PRODUCT(J10:Q10)</f>
        <v>154</v>
      </c>
      <c r="S10" s="179"/>
      <c r="T10" s="179"/>
      <c r="U10" s="179"/>
      <c r="V10" s="179"/>
    </row>
    <row r="11" spans="1:22" s="2" customFormat="1" ht="17" hidden="1" outlineLevel="1">
      <c r="A11" s="6"/>
      <c r="B11" s="181"/>
      <c r="C11" s="182"/>
      <c r="D11" s="187"/>
      <c r="E11" s="215"/>
      <c r="F11" s="214"/>
      <c r="G11" s="214"/>
      <c r="H11" s="273" t="s">
        <v>408</v>
      </c>
      <c r="I11" s="181"/>
      <c r="J11" s="181">
        <v>1</v>
      </c>
      <c r="K11" s="181"/>
      <c r="L11" s="181"/>
      <c r="M11" s="181"/>
      <c r="N11" s="181">
        <v>2.0099999999999998</v>
      </c>
      <c r="O11" s="181">
        <v>-1</v>
      </c>
      <c r="P11" s="181"/>
      <c r="Q11" s="181"/>
      <c r="R11" s="179">
        <f>PRODUCT(J11:Q11)</f>
        <v>-2.0099999999999998</v>
      </c>
      <c r="S11" s="181"/>
      <c r="T11" s="181"/>
      <c r="U11" s="181"/>
      <c r="V11" s="181"/>
    </row>
    <row r="12" spans="1:22" s="2" customFormat="1" ht="17" hidden="1" outlineLevel="1">
      <c r="A12" s="6"/>
      <c r="B12" s="181"/>
      <c r="C12" s="182"/>
      <c r="D12" s="187"/>
      <c r="E12" s="215"/>
      <c r="F12" s="214"/>
      <c r="G12" s="214"/>
      <c r="H12" s="273" t="s">
        <v>422</v>
      </c>
      <c r="I12" s="181"/>
      <c r="J12" s="181">
        <v>1</v>
      </c>
      <c r="K12" s="181">
        <v>209.14</v>
      </c>
      <c r="L12" s="181"/>
      <c r="M12" s="181">
        <v>0.4</v>
      </c>
      <c r="N12" s="181"/>
      <c r="O12" s="181"/>
      <c r="P12" s="181"/>
      <c r="Q12" s="181"/>
      <c r="R12" s="179">
        <f>PRODUCT(J12:Q12)</f>
        <v>83.656000000000006</v>
      </c>
      <c r="S12" s="181"/>
      <c r="T12" s="181"/>
      <c r="U12" s="181"/>
      <c r="V12" s="181"/>
    </row>
    <row r="13" spans="1:22" s="2" customFormat="1" ht="17" hidden="1" outlineLevel="1">
      <c r="A13" s="6"/>
      <c r="B13" s="181"/>
      <c r="C13" s="182"/>
      <c r="D13" s="187"/>
      <c r="E13" s="215"/>
      <c r="F13" s="214"/>
      <c r="G13" s="214"/>
      <c r="H13" s="273" t="s">
        <v>423</v>
      </c>
      <c r="I13" s="181"/>
      <c r="J13" s="181">
        <v>1</v>
      </c>
      <c r="K13" s="181">
        <v>155.13</v>
      </c>
      <c r="L13" s="181"/>
      <c r="M13" s="181">
        <v>0.3</v>
      </c>
      <c r="N13" s="181"/>
      <c r="O13" s="181"/>
      <c r="P13" s="181"/>
      <c r="Q13" s="181"/>
      <c r="R13" s="179">
        <f t="shared" ref="R13:R14" si="0">PRODUCT(J13:Q13)</f>
        <v>46.538999999999994</v>
      </c>
      <c r="S13" s="181"/>
      <c r="T13" s="181"/>
      <c r="U13" s="181"/>
      <c r="V13" s="181"/>
    </row>
    <row r="14" spans="1:22" s="2" customFormat="1" ht="17" hidden="1" outlineLevel="1">
      <c r="A14" s="6"/>
      <c r="B14" s="181"/>
      <c r="C14" s="182"/>
      <c r="D14" s="187"/>
      <c r="E14" s="215"/>
      <c r="F14" s="214"/>
      <c r="G14" s="214"/>
      <c r="H14" s="273" t="s">
        <v>424</v>
      </c>
      <c r="I14" s="181"/>
      <c r="J14" s="181">
        <v>1</v>
      </c>
      <c r="K14" s="181">
        <v>10.23</v>
      </c>
      <c r="L14" s="181"/>
      <c r="M14" s="181">
        <v>0.1</v>
      </c>
      <c r="N14" s="181"/>
      <c r="O14" s="181"/>
      <c r="P14" s="181"/>
      <c r="Q14" s="181"/>
      <c r="R14" s="179">
        <f t="shared" si="0"/>
        <v>1.0230000000000001</v>
      </c>
      <c r="S14" s="181"/>
      <c r="T14" s="181"/>
      <c r="U14" s="181"/>
      <c r="V14" s="181"/>
    </row>
    <row r="15" spans="1:22" s="2" customFormat="1" ht="16" hidden="1" outlineLevel="1">
      <c r="A15" s="6"/>
      <c r="B15" s="181"/>
      <c r="C15" s="182"/>
      <c r="D15" s="187"/>
      <c r="E15" s="215"/>
      <c r="F15" s="214"/>
      <c r="G15" s="214"/>
      <c r="H15" s="273"/>
      <c r="I15" s="181"/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81"/>
    </row>
    <row r="16" spans="1:22" s="2" customFormat="1" ht="17" collapsed="1">
      <c r="A16" s="6"/>
      <c r="B16" s="174">
        <v>3</v>
      </c>
      <c r="C16" s="175"/>
      <c r="D16" s="261" t="str">
        <f>VLOOKUP(B16,$C$69:$E$86,2,0)</f>
        <v>ID-029A</v>
      </c>
      <c r="E16" s="211" cm="1">
        <f t="array" ref="E16:I16">(_xlfn.XLOOKUP($D16,'B-1. THKL THEO ID'!$B:$B,('B-1. THKL THEO ID'!C:G),"N/A",0))</f>
        <v>0</v>
      </c>
      <c r="F16" s="211" t="str">
        <v>BOQ-030</v>
      </c>
      <c r="G16" s="211">
        <v>0</v>
      </c>
      <c r="H16" s="183" t="str">
        <v>Thép dầm tầng 1 D&lt;=10</v>
      </c>
      <c r="I16" s="208" t="str">
        <v>tấn</v>
      </c>
      <c r="J16" s="174"/>
      <c r="K16" s="174"/>
      <c r="L16" s="174"/>
      <c r="M16" s="176"/>
      <c r="N16" s="174"/>
      <c r="O16" s="177"/>
      <c r="P16" s="177"/>
      <c r="Q16" s="177"/>
      <c r="R16" s="178">
        <f>SUBTOTAL(9,R17:R18)</f>
        <v>0</v>
      </c>
      <c r="S16" s="177"/>
      <c r="T16" s="177"/>
      <c r="U16" s="209">
        <f>SUBTOTAL(9,U17:U18)</f>
        <v>0</v>
      </c>
      <c r="V16" s="177"/>
    </row>
    <row r="17" spans="1:22" s="2" customFormat="1" ht="16" hidden="1" outlineLevel="1">
      <c r="A17" s="6"/>
      <c r="B17" s="179"/>
      <c r="C17" s="180"/>
      <c r="D17" s="239"/>
      <c r="E17" s="213"/>
      <c r="F17" s="212"/>
      <c r="G17" s="212"/>
      <c r="H17" s="272"/>
      <c r="I17" s="179"/>
      <c r="J17" s="179"/>
      <c r="K17" s="179"/>
      <c r="L17" s="179"/>
      <c r="M17" s="179"/>
      <c r="N17" s="179"/>
      <c r="O17" s="179"/>
      <c r="P17" s="179"/>
      <c r="Q17" s="179"/>
      <c r="R17" s="262"/>
      <c r="S17" s="179"/>
      <c r="T17" s="179"/>
      <c r="U17" s="179"/>
      <c r="V17" s="179"/>
    </row>
    <row r="18" spans="1:22" s="2" customFormat="1" ht="16" hidden="1" outlineLevel="1">
      <c r="A18" s="6"/>
      <c r="B18" s="181"/>
      <c r="C18" s="182"/>
      <c r="D18" s="181"/>
      <c r="E18" s="215"/>
      <c r="F18" s="214"/>
      <c r="G18" s="214"/>
      <c r="H18" s="273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</row>
    <row r="19" spans="1:22" s="2" customFormat="1" ht="17" collapsed="1">
      <c r="A19" s="6"/>
      <c r="B19" s="174">
        <v>4</v>
      </c>
      <c r="C19" s="175"/>
      <c r="D19" s="261" t="str">
        <f>VLOOKUP(B19,$C$69:$E$86,2,0)</f>
        <v>ID-029B</v>
      </c>
      <c r="E19" s="211" cm="1">
        <f t="array" ref="E19:I19">(_xlfn.XLOOKUP($D19,'B-1. THKL THEO ID'!$B:$B,('B-1. THKL THEO ID'!C:G),"N/A",0))</f>
        <v>0</v>
      </c>
      <c r="F19" s="211" t="str">
        <v>BOQ-031</v>
      </c>
      <c r="G19" s="211">
        <v>0</v>
      </c>
      <c r="H19" s="183" t="str">
        <v>Thép dầm tầng 1 D&lt;=18</v>
      </c>
      <c r="I19" s="208" t="str">
        <v>tấn</v>
      </c>
      <c r="J19" s="174"/>
      <c r="K19" s="174"/>
      <c r="L19" s="174"/>
      <c r="M19" s="176"/>
      <c r="N19" s="174"/>
      <c r="O19" s="177"/>
      <c r="P19" s="177"/>
      <c r="Q19" s="177"/>
      <c r="R19" s="178">
        <f>SUBTOTAL(9,R20:R21)</f>
        <v>0</v>
      </c>
      <c r="S19" s="177"/>
      <c r="T19" s="177"/>
      <c r="U19" s="209">
        <f>SUBTOTAL(9,U20:U21)</f>
        <v>0</v>
      </c>
      <c r="V19" s="177"/>
    </row>
    <row r="20" spans="1:22" s="2" customFormat="1" ht="16" hidden="1" outlineLevel="1">
      <c r="A20" s="6"/>
      <c r="B20" s="179"/>
      <c r="C20" s="180"/>
      <c r="D20" s="239"/>
      <c r="E20" s="213"/>
      <c r="F20" s="212"/>
      <c r="G20" s="212"/>
      <c r="H20" s="272"/>
      <c r="I20" s="179"/>
      <c r="J20" s="179"/>
      <c r="K20" s="179"/>
      <c r="L20" s="179"/>
      <c r="M20" s="179"/>
      <c r="N20" s="179"/>
      <c r="O20" s="179"/>
      <c r="P20" s="179"/>
      <c r="Q20" s="179"/>
      <c r="R20" s="262"/>
      <c r="S20" s="179"/>
      <c r="T20" s="179"/>
      <c r="U20" s="179"/>
      <c r="V20" s="179"/>
    </row>
    <row r="21" spans="1:22" s="2" customFormat="1" ht="16" hidden="1" outlineLevel="1">
      <c r="A21" s="6"/>
      <c r="B21" s="181"/>
      <c r="C21" s="182"/>
      <c r="D21" s="181"/>
      <c r="E21" s="215"/>
      <c r="F21" s="214"/>
      <c r="G21" s="214"/>
      <c r="H21" s="273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</row>
    <row r="22" spans="1:22" s="2" customFormat="1" ht="17" collapsed="1">
      <c r="A22" s="6"/>
      <c r="B22" s="174">
        <v>5</v>
      </c>
      <c r="C22" s="175"/>
      <c r="D22" s="261" t="str">
        <f>VLOOKUP(B22,$C$69:$E$86,2,0)</f>
        <v>ID-029C</v>
      </c>
      <c r="E22" s="211" cm="1">
        <f t="array" ref="E22:I22">(_xlfn.XLOOKUP($D22,'B-1. THKL THEO ID'!$B:$B,('B-1. THKL THEO ID'!C:G),"N/A",0))</f>
        <v>0</v>
      </c>
      <c r="F22" s="211" t="str">
        <v>BOQ-032</v>
      </c>
      <c r="G22" s="211">
        <v>0</v>
      </c>
      <c r="H22" s="183" t="str">
        <v>Thép dầm tầng 1 D&gt;18</v>
      </c>
      <c r="I22" s="208" t="str">
        <v>tấn</v>
      </c>
      <c r="J22" s="174"/>
      <c r="K22" s="174"/>
      <c r="L22" s="174"/>
      <c r="M22" s="176"/>
      <c r="N22" s="174"/>
      <c r="O22" s="177"/>
      <c r="P22" s="177"/>
      <c r="Q22" s="177"/>
      <c r="R22" s="178">
        <f>SUBTOTAL(9,R23:R24)</f>
        <v>0</v>
      </c>
      <c r="S22" s="177"/>
      <c r="T22" s="177"/>
      <c r="U22" s="178">
        <f>SUBTOTAL(9,U23:U23)</f>
        <v>0</v>
      </c>
      <c r="V22" s="177"/>
    </row>
    <row r="23" spans="1:22" s="2" customFormat="1" ht="16" hidden="1" outlineLevel="1">
      <c r="A23" s="6"/>
      <c r="B23" s="179"/>
      <c r="C23" s="180"/>
      <c r="D23" s="186"/>
      <c r="E23" s="213"/>
      <c r="F23" s="212"/>
      <c r="G23" s="212"/>
      <c r="H23" s="272"/>
      <c r="I23" s="179"/>
      <c r="J23" s="179"/>
      <c r="K23" s="179"/>
      <c r="L23" s="179"/>
      <c r="M23" s="179"/>
      <c r="N23" s="179"/>
      <c r="O23" s="179"/>
      <c r="P23" s="179"/>
      <c r="Q23" s="179"/>
      <c r="R23" s="179"/>
      <c r="S23" s="179"/>
      <c r="T23" s="179"/>
      <c r="U23" s="179"/>
      <c r="V23" s="179"/>
    </row>
    <row r="24" spans="1:22" s="2" customFormat="1" ht="16" hidden="1" outlineLevel="1">
      <c r="A24" s="6"/>
      <c r="B24" s="181"/>
      <c r="C24" s="182"/>
      <c r="D24" s="187"/>
      <c r="E24" s="215"/>
      <c r="F24" s="214"/>
      <c r="G24" s="214"/>
      <c r="H24" s="273"/>
      <c r="I24" s="181"/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81"/>
    </row>
    <row r="25" spans="1:22" s="2" customFormat="1" ht="17" collapsed="1">
      <c r="A25" s="6"/>
      <c r="B25" s="174">
        <v>6</v>
      </c>
      <c r="C25" s="175"/>
      <c r="D25" s="261" t="str">
        <f>VLOOKUP(B25,$C$69:$E$86,2,0)</f>
        <v>ID-029</v>
      </c>
      <c r="E25" s="211" t="str" cm="1">
        <f t="array" ref="E25:I25">(_xlfn.XLOOKUP($D25,'B-1. THKL THEO ID'!$B:$B,('B-1. THKL THEO ID'!C:G),"N/A",0))</f>
        <v>CBS</v>
      </c>
      <c r="F25" s="211">
        <v>0</v>
      </c>
      <c r="G25" s="211">
        <v>0</v>
      </c>
      <c r="H25" s="183" t="str">
        <v>Thép dầm tầng 1 full (kg)</v>
      </c>
      <c r="I25" s="208" t="str">
        <v>kg</v>
      </c>
      <c r="J25" s="174"/>
      <c r="K25" s="174"/>
      <c r="L25" s="174"/>
      <c r="M25" s="176"/>
      <c r="N25" s="174"/>
      <c r="O25" s="177"/>
      <c r="P25" s="177"/>
      <c r="Q25" s="177"/>
      <c r="R25" s="178">
        <f>SUBTOTAL(9,R26:R27)</f>
        <v>0</v>
      </c>
      <c r="S25" s="177"/>
      <c r="T25" s="177"/>
      <c r="U25" s="209">
        <f>SUBTOTAL(9,U26:U27)</f>
        <v>0</v>
      </c>
      <c r="V25" s="177"/>
    </row>
    <row r="26" spans="1:22" s="2" customFormat="1" ht="16" hidden="1" outlineLevel="1">
      <c r="A26" s="6"/>
      <c r="B26" s="179"/>
      <c r="C26" s="180"/>
      <c r="D26" s="239"/>
      <c r="E26" s="213"/>
      <c r="F26" s="212"/>
      <c r="G26" s="212"/>
      <c r="H26" s="272"/>
      <c r="I26" s="179"/>
      <c r="J26" s="179"/>
      <c r="K26" s="179"/>
      <c r="L26" s="179"/>
      <c r="M26" s="179"/>
      <c r="N26" s="179"/>
      <c r="O26" s="179"/>
      <c r="P26" s="179"/>
      <c r="Q26" s="179"/>
      <c r="R26" s="262"/>
      <c r="S26" s="179"/>
      <c r="T26" s="179"/>
      <c r="U26" s="179"/>
      <c r="V26" s="179"/>
    </row>
    <row r="27" spans="1:22" s="2" customFormat="1" ht="16" hidden="1" outlineLevel="1">
      <c r="A27" s="6"/>
      <c r="B27" s="181"/>
      <c r="C27" s="182"/>
      <c r="D27" s="181"/>
      <c r="E27" s="215"/>
      <c r="F27" s="214"/>
      <c r="G27" s="214"/>
      <c r="H27" s="273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</row>
    <row r="28" spans="1:22" s="2" customFormat="1" ht="34" collapsed="1">
      <c r="A28" s="6"/>
      <c r="B28" s="174">
        <v>7</v>
      </c>
      <c r="C28" s="175"/>
      <c r="D28" s="261" t="str">
        <f>VLOOKUP(B28,$C$69:$E$86,2,0)</f>
        <v>ID-030</v>
      </c>
      <c r="E28" s="211" cm="1">
        <f t="array" ref="E28:I28">(_xlfn.XLOOKUP($D28,'B-1. THKL THEO ID'!$B:$B,('B-1. THKL THEO ID'!C:G),"N/A",0))</f>
        <v>0</v>
      </c>
      <c r="F28" s="211" t="str">
        <v>BOQ-033</v>
      </c>
      <c r="G28" s="211">
        <v>0</v>
      </c>
      <c r="H28" s="183" t="str">
        <v>Bê tông dầm tầng 1 M600 (M400 theo bản vẽ thiết kế)</v>
      </c>
      <c r="I28" s="208" t="str">
        <v>m3</v>
      </c>
      <c r="J28" s="174"/>
      <c r="K28" s="174"/>
      <c r="L28" s="174"/>
      <c r="M28" s="176"/>
      <c r="N28" s="174"/>
      <c r="O28" s="177"/>
      <c r="P28" s="177"/>
      <c r="Q28" s="177"/>
      <c r="R28" s="178">
        <f>R31</f>
        <v>50.438000000000009</v>
      </c>
      <c r="S28" s="177"/>
      <c r="T28" s="177"/>
      <c r="U28" s="209">
        <f>SUBTOTAL(9,U29:U30)</f>
        <v>0</v>
      </c>
      <c r="V28" s="177"/>
    </row>
    <row r="29" spans="1:22" s="2" customFormat="1" ht="16" hidden="1" outlineLevel="1">
      <c r="A29" s="6"/>
      <c r="B29" s="179"/>
      <c r="C29" s="180"/>
      <c r="D29" s="239"/>
      <c r="E29" s="213"/>
      <c r="F29" s="212"/>
      <c r="G29" s="212"/>
      <c r="H29" s="272"/>
      <c r="I29" s="179"/>
      <c r="J29" s="179"/>
      <c r="K29" s="179"/>
      <c r="L29" s="179"/>
      <c r="M29" s="179"/>
      <c r="N29" s="179"/>
      <c r="O29" s="179"/>
      <c r="P29" s="179"/>
      <c r="Q29" s="179"/>
      <c r="R29" s="262"/>
      <c r="S29" s="179"/>
      <c r="T29" s="179"/>
      <c r="U29" s="179"/>
      <c r="V29" s="179"/>
    </row>
    <row r="30" spans="1:22" s="2" customFormat="1" ht="16" hidden="1" outlineLevel="1">
      <c r="A30" s="6"/>
      <c r="B30" s="181"/>
      <c r="C30" s="182"/>
      <c r="D30" s="181"/>
      <c r="E30" s="215"/>
      <c r="F30" s="214"/>
      <c r="G30" s="214"/>
      <c r="H30" s="273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</row>
    <row r="31" spans="1:22" s="2" customFormat="1" ht="17" collapsed="1">
      <c r="A31" s="6"/>
      <c r="B31" s="174">
        <v>8</v>
      </c>
      <c r="C31" s="175"/>
      <c r="D31" s="261" t="str">
        <f>VLOOKUP(B31,$C$69:$E$86,2,0)</f>
        <v>ID-030A</v>
      </c>
      <c r="E31" s="211" t="str" cm="1">
        <f t="array" ref="E31:I31">(_xlfn.XLOOKUP($D31,'B-1. THKL THEO ID'!$B:$B,('B-1. THKL THEO ID'!C:G),"N/A",0))</f>
        <v>CBS</v>
      </c>
      <c r="F31" s="211">
        <v>0</v>
      </c>
      <c r="G31" s="211">
        <v>0</v>
      </c>
      <c r="H31" s="183" t="str">
        <v>Bê tông dầm tầng 1 M400</v>
      </c>
      <c r="I31" s="208" t="str">
        <v>m3</v>
      </c>
      <c r="J31" s="174"/>
      <c r="K31" s="174"/>
      <c r="L31" s="174"/>
      <c r="M31" s="176"/>
      <c r="N31" s="174"/>
      <c r="O31" s="177"/>
      <c r="P31" s="177"/>
      <c r="Q31" s="177"/>
      <c r="R31" s="178">
        <f>SUBTOTAL(9,R32:R36)</f>
        <v>50.438000000000009</v>
      </c>
      <c r="S31" s="177"/>
      <c r="T31" s="177"/>
      <c r="U31" s="178">
        <f>SUBTOTAL(9,U32:U32)</f>
        <v>0</v>
      </c>
      <c r="V31" s="177"/>
    </row>
    <row r="32" spans="1:22" s="2" customFormat="1" ht="17" hidden="1" outlineLevel="1">
      <c r="A32" s="6"/>
      <c r="B32" s="179"/>
      <c r="C32" s="180"/>
      <c r="D32" s="186"/>
      <c r="E32" s="213"/>
      <c r="F32" s="212"/>
      <c r="G32" s="212"/>
      <c r="H32" s="272" t="s">
        <v>409</v>
      </c>
      <c r="I32" s="179"/>
      <c r="J32" s="179">
        <v>1</v>
      </c>
      <c r="K32" s="179"/>
      <c r="L32" s="179"/>
      <c r="M32" s="179">
        <v>0.4</v>
      </c>
      <c r="N32" s="179">
        <v>107.51</v>
      </c>
      <c r="O32" s="179"/>
      <c r="P32" s="179"/>
      <c r="Q32" s="179"/>
      <c r="R32" s="179">
        <f t="shared" ref="R32:R35" si="1">PRODUCT(J32:Q32)</f>
        <v>43.004000000000005</v>
      </c>
      <c r="S32" s="179"/>
      <c r="T32" s="179"/>
      <c r="U32" s="179"/>
      <c r="V32" s="179"/>
    </row>
    <row r="33" spans="1:22" s="2" customFormat="1" ht="17" hidden="1" outlineLevel="1">
      <c r="A33" s="6"/>
      <c r="B33" s="181"/>
      <c r="C33" s="182"/>
      <c r="D33" s="187"/>
      <c r="E33" s="215"/>
      <c r="F33" s="214"/>
      <c r="G33" s="214"/>
      <c r="H33" s="272" t="s">
        <v>411</v>
      </c>
      <c r="I33" s="181"/>
      <c r="J33" s="181">
        <v>1</v>
      </c>
      <c r="K33" s="181"/>
      <c r="L33" s="181"/>
      <c r="M33" s="181">
        <v>0.4</v>
      </c>
      <c r="N33" s="181">
        <v>15.87</v>
      </c>
      <c r="O33" s="181">
        <v>-1</v>
      </c>
      <c r="P33" s="181"/>
      <c r="Q33" s="181"/>
      <c r="R33" s="179">
        <f t="shared" si="1"/>
        <v>-6.3479999999999999</v>
      </c>
      <c r="S33" s="181"/>
      <c r="T33" s="181"/>
      <c r="U33" s="181"/>
      <c r="V33" s="181"/>
    </row>
    <row r="34" spans="1:22" s="2" customFormat="1" ht="17" hidden="1" outlineLevel="1">
      <c r="A34" s="6"/>
      <c r="B34" s="181"/>
      <c r="C34" s="182"/>
      <c r="D34" s="187"/>
      <c r="E34" s="215"/>
      <c r="F34" s="214"/>
      <c r="G34" s="214"/>
      <c r="H34" s="272" t="s">
        <v>410</v>
      </c>
      <c r="I34" s="181"/>
      <c r="J34" s="181">
        <v>1</v>
      </c>
      <c r="K34" s="181"/>
      <c r="L34" s="181"/>
      <c r="M34" s="181">
        <v>0.3</v>
      </c>
      <c r="N34" s="181">
        <v>46.53</v>
      </c>
      <c r="O34" s="181"/>
      <c r="P34" s="181"/>
      <c r="Q34" s="181"/>
      <c r="R34" s="179">
        <f t="shared" si="1"/>
        <v>13.959</v>
      </c>
      <c r="S34" s="181"/>
      <c r="T34" s="181"/>
      <c r="U34" s="181"/>
      <c r="V34" s="181"/>
    </row>
    <row r="35" spans="1:22" s="2" customFormat="1" ht="17" hidden="1" outlineLevel="1">
      <c r="A35" s="6"/>
      <c r="B35" s="181"/>
      <c r="C35" s="182"/>
      <c r="D35" s="187"/>
      <c r="E35" s="215"/>
      <c r="F35" s="214"/>
      <c r="G35" s="214"/>
      <c r="H35" s="272" t="s">
        <v>412</v>
      </c>
      <c r="I35" s="181"/>
      <c r="J35" s="181">
        <v>1</v>
      </c>
      <c r="K35" s="181"/>
      <c r="L35" s="181"/>
      <c r="M35" s="181">
        <v>0.3</v>
      </c>
      <c r="N35" s="181">
        <v>0.59</v>
      </c>
      <c r="O35" s="181">
        <v>-1</v>
      </c>
      <c r="P35" s="181"/>
      <c r="Q35" s="181"/>
      <c r="R35" s="179">
        <f t="shared" si="1"/>
        <v>-0.17699999999999999</v>
      </c>
      <c r="S35" s="181"/>
      <c r="T35" s="181"/>
      <c r="U35" s="181"/>
      <c r="V35" s="181"/>
    </row>
    <row r="36" spans="1:22" s="2" customFormat="1" ht="16" hidden="1" outlineLevel="1">
      <c r="A36" s="6"/>
      <c r="B36" s="181"/>
      <c r="C36" s="182"/>
      <c r="D36" s="187"/>
      <c r="E36" s="215"/>
      <c r="F36" s="214"/>
      <c r="G36" s="214"/>
      <c r="H36" s="273"/>
      <c r="I36" s="181"/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81"/>
    </row>
    <row r="37" spans="1:22" s="2" customFormat="1" ht="34" collapsed="1">
      <c r="A37" s="6"/>
      <c r="B37" s="174">
        <v>9</v>
      </c>
      <c r="C37" s="175"/>
      <c r="D37" s="261" t="str">
        <f>VLOOKUP(B37,$C$69:$E$86,2,0)</f>
        <v>ID-031</v>
      </c>
      <c r="E37" s="211" cm="1">
        <f t="array" ref="E37:I37">(_xlfn.XLOOKUP($D37,'B-1. THKL THEO ID'!$B:$B,('B-1. THKL THEO ID'!C:G),"N/A",0))</f>
        <v>0</v>
      </c>
      <c r="F37" s="211" t="str">
        <v>BOQ-034</v>
      </c>
      <c r="G37" s="211">
        <v>0</v>
      </c>
      <c r="H37" s="183" t="str">
        <v>Ván khuôn ép sàn tầng 1</v>
      </c>
      <c r="I37" s="208" t="str">
        <v>100m2</v>
      </c>
      <c r="J37" s="174"/>
      <c r="K37" s="174"/>
      <c r="L37" s="174"/>
      <c r="M37" s="176"/>
      <c r="N37" s="174"/>
      <c r="O37" s="177"/>
      <c r="P37" s="177"/>
      <c r="Q37" s="177"/>
      <c r="R37" s="178">
        <f>R40/100</f>
        <v>5.7204000000000006</v>
      </c>
      <c r="S37" s="177"/>
      <c r="T37" s="177"/>
      <c r="U37" s="209">
        <f>SUBTOTAL(9,U38:U39)</f>
        <v>0</v>
      </c>
      <c r="V37" s="177"/>
    </row>
    <row r="38" spans="1:22" s="2" customFormat="1" ht="16" hidden="1" outlineLevel="1">
      <c r="A38" s="6"/>
      <c r="B38" s="181"/>
      <c r="C38" s="182"/>
      <c r="D38" s="277"/>
      <c r="E38" s="215"/>
      <c r="F38" s="214"/>
      <c r="G38" s="214"/>
      <c r="H38" s="273"/>
      <c r="I38" s="181"/>
      <c r="J38" s="181"/>
      <c r="K38" s="181"/>
      <c r="L38" s="181"/>
      <c r="M38" s="181"/>
      <c r="N38" s="181"/>
      <c r="O38" s="181"/>
      <c r="P38" s="181"/>
      <c r="Q38" s="181"/>
      <c r="R38" s="278"/>
      <c r="S38" s="181"/>
      <c r="T38" s="181"/>
      <c r="U38" s="181"/>
      <c r="V38" s="181"/>
    </row>
    <row r="39" spans="1:22" s="2" customFormat="1" ht="16" hidden="1" outlineLevel="1">
      <c r="A39" s="6"/>
      <c r="B39" s="181"/>
      <c r="C39" s="182"/>
      <c r="D39" s="181"/>
      <c r="E39" s="215"/>
      <c r="F39" s="214"/>
      <c r="G39" s="214"/>
      <c r="H39" s="273"/>
      <c r="I39" s="181"/>
      <c r="J39" s="181"/>
      <c r="K39" s="181"/>
      <c r="L39" s="181"/>
      <c r="M39" s="181"/>
      <c r="N39" s="181"/>
      <c r="O39" s="181"/>
      <c r="P39" s="181"/>
      <c r="Q39" s="181"/>
      <c r="R39" s="181"/>
      <c r="S39" s="181"/>
      <c r="T39" s="181"/>
      <c r="U39" s="181"/>
      <c r="V39" s="181"/>
    </row>
    <row r="40" spans="1:22" s="2" customFormat="1" ht="17" collapsed="1">
      <c r="A40" s="6"/>
      <c r="B40" s="174">
        <v>10</v>
      </c>
      <c r="C40" s="175"/>
      <c r="D40" s="261" t="str">
        <f>VLOOKUP(B40,$C$69:$E$86,2,0)</f>
        <v>ID-031A</v>
      </c>
      <c r="E40" s="211" t="str" cm="1">
        <f t="array" ref="E40:I40">(_xlfn.XLOOKUP($D40,'B-1. THKL THEO ID'!$B:$B,('B-1. THKL THEO ID'!C:G),"N/A",0))</f>
        <v>CBS</v>
      </c>
      <c r="F40" s="211">
        <v>0</v>
      </c>
      <c r="G40" s="211">
        <v>0</v>
      </c>
      <c r="H40" s="183" t="str">
        <v>Ván khuôn ép sàn tầng 1 (m2)</v>
      </c>
      <c r="I40" s="208" t="str">
        <v>m2</v>
      </c>
      <c r="J40" s="174"/>
      <c r="K40" s="174"/>
      <c r="L40" s="174"/>
      <c r="M40" s="176"/>
      <c r="N40" s="174"/>
      <c r="O40" s="177"/>
      <c r="P40" s="177"/>
      <c r="Q40" s="177"/>
      <c r="R40" s="178">
        <f>SUBTOTAL(9,R41:R44)</f>
        <v>572.04000000000008</v>
      </c>
      <c r="S40" s="177"/>
      <c r="T40" s="177"/>
      <c r="U40" s="209">
        <f>SUBTOTAL(9,U41:U44)</f>
        <v>0</v>
      </c>
      <c r="V40" s="177"/>
    </row>
    <row r="41" spans="1:22" s="2" customFormat="1" ht="17" hidden="1" outlineLevel="1">
      <c r="A41" s="6"/>
      <c r="B41" s="179"/>
      <c r="C41" s="180"/>
      <c r="D41" s="239"/>
      <c r="E41" s="213"/>
      <c r="F41" s="212"/>
      <c r="G41" s="212"/>
      <c r="H41" s="272" t="s">
        <v>413</v>
      </c>
      <c r="I41" s="179"/>
      <c r="J41" s="179">
        <v>1</v>
      </c>
      <c r="K41" s="179"/>
      <c r="L41" s="179"/>
      <c r="M41" s="179"/>
      <c r="N41" s="179">
        <v>726.21</v>
      </c>
      <c r="O41" s="179"/>
      <c r="P41" s="179"/>
      <c r="Q41" s="179"/>
      <c r="R41" s="179">
        <f t="shared" ref="R41:R43" si="2">PRODUCT(J41:Q41)</f>
        <v>726.21</v>
      </c>
      <c r="S41" s="179"/>
      <c r="T41" s="179"/>
      <c r="U41" s="179"/>
      <c r="V41" s="179"/>
    </row>
    <row r="42" spans="1:22" s="2" customFormat="1" ht="17" hidden="1" outlineLevel="1">
      <c r="A42" s="6"/>
      <c r="B42" s="181"/>
      <c r="C42" s="182"/>
      <c r="D42" s="277"/>
      <c r="E42" s="215"/>
      <c r="F42" s="214"/>
      <c r="G42" s="214"/>
      <c r="H42" s="273" t="s">
        <v>415</v>
      </c>
      <c r="I42" s="181"/>
      <c r="J42" s="181">
        <v>1</v>
      </c>
      <c r="K42" s="181"/>
      <c r="L42" s="181"/>
      <c r="M42" s="181"/>
      <c r="N42" s="181">
        <f>N10</f>
        <v>154</v>
      </c>
      <c r="O42" s="181">
        <v>-1</v>
      </c>
      <c r="P42" s="181"/>
      <c r="Q42" s="181"/>
      <c r="R42" s="179">
        <f t="shared" si="2"/>
        <v>-154</v>
      </c>
      <c r="S42" s="181"/>
      <c r="T42" s="181"/>
      <c r="U42" s="181"/>
      <c r="V42" s="181"/>
    </row>
    <row r="43" spans="1:22" s="2" customFormat="1" ht="17" hidden="1" outlineLevel="1">
      <c r="A43" s="6"/>
      <c r="B43" s="181"/>
      <c r="C43" s="182"/>
      <c r="D43" s="277"/>
      <c r="E43" s="215"/>
      <c r="F43" s="214"/>
      <c r="G43" s="214"/>
      <c r="H43" s="273" t="s">
        <v>414</v>
      </c>
      <c r="I43" s="181"/>
      <c r="J43" s="181">
        <v>1</v>
      </c>
      <c r="K43" s="181"/>
      <c r="L43" s="181"/>
      <c r="M43" s="181"/>
      <c r="N43" s="181">
        <v>0.17</v>
      </c>
      <c r="O43" s="181">
        <v>-1</v>
      </c>
      <c r="P43" s="181"/>
      <c r="Q43" s="181"/>
      <c r="R43" s="179">
        <f t="shared" si="2"/>
        <v>-0.17</v>
      </c>
      <c r="S43" s="181"/>
      <c r="T43" s="181"/>
      <c r="U43" s="181"/>
      <c r="V43" s="181"/>
    </row>
    <row r="44" spans="1:22" s="2" customFormat="1" ht="16" hidden="1" outlineLevel="1">
      <c r="A44" s="6"/>
      <c r="B44" s="181"/>
      <c r="C44" s="182"/>
      <c r="D44" s="181"/>
      <c r="E44" s="215"/>
      <c r="F44" s="214"/>
      <c r="G44" s="214"/>
      <c r="H44" s="273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</row>
    <row r="45" spans="1:22" s="2" customFormat="1" ht="17" collapsed="1">
      <c r="A45" s="6"/>
      <c r="B45" s="174">
        <v>11</v>
      </c>
      <c r="C45" s="175"/>
      <c r="D45" s="261" t="str">
        <f>VLOOKUP(B45,$C$69:$E$86,2,0)</f>
        <v>ID-032A</v>
      </c>
      <c r="E45" s="211" cm="1">
        <f t="array" ref="E45:I45">(_xlfn.XLOOKUP($D45,'B-1. THKL THEO ID'!$B:$B,('B-1. THKL THEO ID'!C:G),"N/A",0))</f>
        <v>0</v>
      </c>
      <c r="F45" s="211" t="str">
        <v>BOQ-035</v>
      </c>
      <c r="G45" s="211">
        <v>0</v>
      </c>
      <c r="H45" s="183" t="str">
        <v>Thép sàn tầng 1 D&lt;=10</v>
      </c>
      <c r="I45" s="208" t="str">
        <v>tấn</v>
      </c>
      <c r="J45" s="174"/>
      <c r="K45" s="174"/>
      <c r="L45" s="174"/>
      <c r="M45" s="176"/>
      <c r="N45" s="174"/>
      <c r="O45" s="177"/>
      <c r="P45" s="177"/>
      <c r="Q45" s="177"/>
      <c r="R45" s="178">
        <f>SUBTOTAL(9,R46:R47)</f>
        <v>0</v>
      </c>
      <c r="S45" s="177"/>
      <c r="T45" s="177"/>
      <c r="U45" s="209">
        <f>SUBTOTAL(9,U46:U47)</f>
        <v>0</v>
      </c>
      <c r="V45" s="177"/>
    </row>
    <row r="46" spans="1:22" s="2" customFormat="1" ht="16" hidden="1" outlineLevel="1">
      <c r="A46" s="6"/>
      <c r="B46" s="179"/>
      <c r="C46" s="180"/>
      <c r="D46" s="239"/>
      <c r="E46" s="213"/>
      <c r="F46" s="212"/>
      <c r="G46" s="212"/>
      <c r="H46" s="272"/>
      <c r="I46" s="179"/>
      <c r="J46" s="179"/>
      <c r="K46" s="179"/>
      <c r="L46" s="179"/>
      <c r="M46" s="179"/>
      <c r="N46" s="179"/>
      <c r="O46" s="179"/>
      <c r="P46" s="179"/>
      <c r="Q46" s="179"/>
      <c r="R46" s="262"/>
      <c r="S46" s="179"/>
      <c r="T46" s="179"/>
      <c r="U46" s="179"/>
      <c r="V46" s="179"/>
    </row>
    <row r="47" spans="1:22" s="2" customFormat="1" ht="16" hidden="1" outlineLevel="1">
      <c r="A47" s="6"/>
      <c r="B47" s="181"/>
      <c r="C47" s="182"/>
      <c r="D47" s="181"/>
      <c r="E47" s="215"/>
      <c r="F47" s="214"/>
      <c r="G47" s="214"/>
      <c r="H47" s="273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</row>
    <row r="48" spans="1:22" s="2" customFormat="1" ht="17" collapsed="1">
      <c r="A48" s="6"/>
      <c r="B48" s="174">
        <v>12</v>
      </c>
      <c r="C48" s="175"/>
      <c r="D48" s="261" t="str">
        <f>VLOOKUP(B48,$C$69:$E$86,2,0)</f>
        <v>ID-032B</v>
      </c>
      <c r="E48" s="211" cm="1">
        <f t="array" ref="E48:I48">(_xlfn.XLOOKUP($D48,'B-1. THKL THEO ID'!$B:$B,('B-1. THKL THEO ID'!C:G),"N/A",0))</f>
        <v>0</v>
      </c>
      <c r="F48" s="211" t="str">
        <v>BOQ-036</v>
      </c>
      <c r="G48" s="211">
        <v>0</v>
      </c>
      <c r="H48" s="183" t="str">
        <v>Thép sàn tầng 1 D&gt;10</v>
      </c>
      <c r="I48" s="208" t="str">
        <v>tấn</v>
      </c>
      <c r="J48" s="174"/>
      <c r="K48" s="174"/>
      <c r="L48" s="174"/>
      <c r="M48" s="176"/>
      <c r="N48" s="174"/>
      <c r="O48" s="177"/>
      <c r="P48" s="177"/>
      <c r="Q48" s="177"/>
      <c r="R48" s="178">
        <f>SUBTOTAL(9,R49:R50)</f>
        <v>0</v>
      </c>
      <c r="S48" s="177"/>
      <c r="T48" s="177"/>
      <c r="U48" s="178">
        <f>SUBTOTAL(9,U49:U49)</f>
        <v>0</v>
      </c>
      <c r="V48" s="177"/>
    </row>
    <row r="49" spans="1:22" s="2" customFormat="1" ht="16" hidden="1" outlineLevel="1">
      <c r="A49" s="6"/>
      <c r="B49" s="179"/>
      <c r="C49" s="180"/>
      <c r="D49" s="186"/>
      <c r="E49" s="213"/>
      <c r="F49" s="212"/>
      <c r="G49" s="212"/>
      <c r="H49" s="272"/>
      <c r="I49" s="179"/>
      <c r="J49" s="179"/>
      <c r="K49" s="179"/>
      <c r="L49" s="179"/>
      <c r="M49" s="179"/>
      <c r="N49" s="179"/>
      <c r="O49" s="179"/>
      <c r="P49" s="179"/>
      <c r="Q49" s="179"/>
      <c r="R49" s="179"/>
      <c r="S49" s="179"/>
      <c r="T49" s="179"/>
      <c r="U49" s="179"/>
      <c r="V49" s="179"/>
    </row>
    <row r="50" spans="1:22" s="2" customFormat="1" ht="16" hidden="1" outlineLevel="1">
      <c r="A50" s="6"/>
      <c r="B50" s="181"/>
      <c r="C50" s="182"/>
      <c r="D50" s="187"/>
      <c r="E50" s="215"/>
      <c r="F50" s="214"/>
      <c r="G50" s="214"/>
      <c r="H50" s="273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</row>
    <row r="51" spans="1:22" s="2" customFormat="1" ht="17" collapsed="1">
      <c r="A51" s="6"/>
      <c r="B51" s="174">
        <v>13</v>
      </c>
      <c r="C51" s="175"/>
      <c r="D51" s="261" t="str">
        <f>VLOOKUP(B51,$C$69:$E$86,2,0)</f>
        <v>ID-032</v>
      </c>
      <c r="E51" s="211" t="str" cm="1">
        <f t="array" ref="E51:I51">(_xlfn.XLOOKUP($D51,'B-1. THKL THEO ID'!$B:$B,('B-1. THKL THEO ID'!C:G),"N/A",0))</f>
        <v>CBS</v>
      </c>
      <c r="F51" s="211">
        <v>0</v>
      </c>
      <c r="G51" s="211">
        <v>0</v>
      </c>
      <c r="H51" s="183" t="str">
        <v>Thép sàn tầng 1 full (kg)</v>
      </c>
      <c r="I51" s="208" t="str">
        <v>kg</v>
      </c>
      <c r="J51" s="174"/>
      <c r="K51" s="174"/>
      <c r="L51" s="174"/>
      <c r="M51" s="176"/>
      <c r="N51" s="174"/>
      <c r="O51" s="177"/>
      <c r="P51" s="177"/>
      <c r="Q51" s="177"/>
      <c r="R51" s="178">
        <f>SUBTOTAL(9,R52:R53)</f>
        <v>0</v>
      </c>
      <c r="S51" s="177"/>
      <c r="T51" s="177"/>
      <c r="U51" s="209">
        <f>SUBTOTAL(9,U52:U53)</f>
        <v>0</v>
      </c>
      <c r="V51" s="177"/>
    </row>
    <row r="52" spans="1:22" s="2" customFormat="1" ht="16" hidden="1" outlineLevel="1">
      <c r="A52" s="6"/>
      <c r="B52" s="179"/>
      <c r="C52" s="180"/>
      <c r="D52" s="239"/>
      <c r="E52" s="213"/>
      <c r="F52" s="212"/>
      <c r="G52" s="212"/>
      <c r="H52" s="272"/>
      <c r="I52" s="179"/>
      <c r="J52" s="179"/>
      <c r="K52" s="179"/>
      <c r="L52" s="179"/>
      <c r="M52" s="179"/>
      <c r="N52" s="179"/>
      <c r="O52" s="179"/>
      <c r="P52" s="179"/>
      <c r="Q52" s="179"/>
      <c r="R52" s="262"/>
      <c r="S52" s="179"/>
      <c r="T52" s="179"/>
      <c r="U52" s="179"/>
      <c r="V52" s="179"/>
    </row>
    <row r="53" spans="1:22" s="2" customFormat="1" ht="16" hidden="1" outlineLevel="1">
      <c r="A53" s="6"/>
      <c r="B53" s="181"/>
      <c r="C53" s="182"/>
      <c r="D53" s="181"/>
      <c r="E53" s="215"/>
      <c r="F53" s="214"/>
      <c r="G53" s="214"/>
      <c r="H53" s="273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</row>
    <row r="54" spans="1:22" s="2" customFormat="1" ht="34" collapsed="1">
      <c r="A54" s="6"/>
      <c r="B54" s="174">
        <v>14</v>
      </c>
      <c r="C54" s="175"/>
      <c r="D54" s="261" t="str">
        <f>VLOOKUP(B54,$C$69:$E$86,2,0)</f>
        <v>ID-033</v>
      </c>
      <c r="E54" s="211" cm="1">
        <f t="array" ref="E54:I54">(_xlfn.XLOOKUP($D54,'B-1. THKL THEO ID'!$B:$B,('B-1. THKL THEO ID'!C:G),"N/A",0))</f>
        <v>0</v>
      </c>
      <c r="F54" s="211" t="str">
        <v>BOQ-037</v>
      </c>
      <c r="G54" s="211">
        <v>0</v>
      </c>
      <c r="H54" s="183" t="str">
        <v>Bê tông sàn tâng 1 M600 (M400 theo bản vẽ thiết kế)</v>
      </c>
      <c r="I54" s="208" t="str">
        <v>m3</v>
      </c>
      <c r="J54" s="174"/>
      <c r="K54" s="174"/>
      <c r="L54" s="174"/>
      <c r="M54" s="176"/>
      <c r="N54" s="174"/>
      <c r="O54" s="177"/>
      <c r="P54" s="177"/>
      <c r="Q54" s="177"/>
      <c r="R54" s="178">
        <f>R57</f>
        <v>208.44900000000001</v>
      </c>
      <c r="S54" s="177"/>
      <c r="T54" s="177"/>
      <c r="U54" s="209">
        <f>SUBTOTAL(9,U55:U56)</f>
        <v>0</v>
      </c>
      <c r="V54" s="177"/>
    </row>
    <row r="55" spans="1:22" s="2" customFormat="1" ht="16" hidden="1" outlineLevel="1">
      <c r="A55" s="6"/>
      <c r="B55" s="179"/>
      <c r="C55" s="180"/>
      <c r="D55" s="239"/>
      <c r="E55" s="213"/>
      <c r="F55" s="212"/>
      <c r="G55" s="212"/>
      <c r="H55" s="272"/>
      <c r="I55" s="179"/>
      <c r="J55" s="179"/>
      <c r="K55" s="179"/>
      <c r="L55" s="179"/>
      <c r="M55" s="179"/>
      <c r="N55" s="179"/>
      <c r="O55" s="179"/>
      <c r="P55" s="179"/>
      <c r="Q55" s="179"/>
      <c r="R55" s="262"/>
      <c r="S55" s="179"/>
      <c r="T55" s="179"/>
      <c r="U55" s="179"/>
      <c r="V55" s="179"/>
    </row>
    <row r="56" spans="1:22" s="2" customFormat="1" ht="16" hidden="1" outlineLevel="1">
      <c r="A56" s="6"/>
      <c r="B56" s="181"/>
      <c r="C56" s="182"/>
      <c r="D56" s="181"/>
      <c r="E56" s="215"/>
      <c r="F56" s="214"/>
      <c r="G56" s="214"/>
      <c r="H56" s="273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181"/>
    </row>
    <row r="57" spans="1:22" s="2" customFormat="1" ht="17" collapsed="1">
      <c r="A57" s="6"/>
      <c r="B57" s="174">
        <v>15</v>
      </c>
      <c r="C57" s="175"/>
      <c r="D57" s="261" t="str">
        <f>VLOOKUP(B57,$C$69:$E$86,2,0)</f>
        <v>ID-033A</v>
      </c>
      <c r="E57" s="211" t="str" cm="1">
        <f t="array" ref="E57:I57">(_xlfn.XLOOKUP($D57,'B-1. THKL THEO ID'!$B:$B,('B-1. THKL THEO ID'!C:G),"N/A",0))</f>
        <v>CBS</v>
      </c>
      <c r="F57" s="211">
        <v>0</v>
      </c>
      <c r="G57" s="211">
        <v>0</v>
      </c>
      <c r="H57" s="183" t="str">
        <v>Bê tông sàn tâng 1 M400</v>
      </c>
      <c r="I57" s="208" t="str">
        <v>m3</v>
      </c>
      <c r="J57" s="174"/>
      <c r="K57" s="174"/>
      <c r="L57" s="174"/>
      <c r="M57" s="176"/>
      <c r="N57" s="174"/>
      <c r="O57" s="177"/>
      <c r="P57" s="177"/>
      <c r="Q57" s="177"/>
      <c r="R57" s="178">
        <f>SUBTOTAL(9,R58:R60)</f>
        <v>208.44900000000001</v>
      </c>
      <c r="S57" s="177"/>
      <c r="T57" s="177"/>
      <c r="U57" s="178">
        <f>SUBTOTAL(9,U58:U58)</f>
        <v>0</v>
      </c>
      <c r="V57" s="177"/>
    </row>
    <row r="58" spans="1:22" s="2" customFormat="1" ht="17" hidden="1" outlineLevel="1">
      <c r="A58" s="6"/>
      <c r="B58" s="179"/>
      <c r="C58" s="180"/>
      <c r="D58" s="186"/>
      <c r="E58" s="213"/>
      <c r="F58" s="212"/>
      <c r="G58" s="212"/>
      <c r="H58" s="272" t="s">
        <v>417</v>
      </c>
      <c r="I58" s="179"/>
      <c r="J58" s="179">
        <v>1</v>
      </c>
      <c r="K58" s="179"/>
      <c r="L58" s="179"/>
      <c r="M58" s="179">
        <v>0.3</v>
      </c>
      <c r="N58" s="179">
        <v>726.19</v>
      </c>
      <c r="O58" s="179"/>
      <c r="P58" s="179"/>
      <c r="Q58" s="179"/>
      <c r="R58" s="179">
        <f t="shared" ref="R58:R59" si="3">PRODUCT(J58:Q58)</f>
        <v>217.857</v>
      </c>
      <c r="S58" s="179"/>
      <c r="T58" s="179"/>
      <c r="U58" s="179"/>
      <c r="V58" s="179"/>
    </row>
    <row r="59" spans="1:22" s="2" customFormat="1" ht="17" hidden="1" outlineLevel="1">
      <c r="A59" s="6"/>
      <c r="B59" s="181"/>
      <c r="C59" s="182"/>
      <c r="D59" s="187"/>
      <c r="E59" s="215"/>
      <c r="F59" s="214"/>
      <c r="G59" s="214"/>
      <c r="H59" s="273" t="s">
        <v>418</v>
      </c>
      <c r="I59" s="181"/>
      <c r="J59" s="181">
        <v>1</v>
      </c>
      <c r="K59" s="181"/>
      <c r="L59" s="181"/>
      <c r="M59" s="181">
        <v>0.3</v>
      </c>
      <c r="N59" s="181">
        <v>31.36</v>
      </c>
      <c r="O59" s="181">
        <v>-1</v>
      </c>
      <c r="P59" s="181"/>
      <c r="Q59" s="181"/>
      <c r="R59" s="179">
        <f t="shared" si="3"/>
        <v>-9.4079999999999995</v>
      </c>
      <c r="S59" s="181"/>
      <c r="T59" s="181"/>
      <c r="U59" s="181"/>
      <c r="V59" s="181"/>
    </row>
    <row r="60" spans="1:22" s="2" customFormat="1" ht="16" hidden="1" outlineLevel="1">
      <c r="A60" s="6"/>
      <c r="B60" s="181"/>
      <c r="C60" s="182"/>
      <c r="D60" s="187"/>
      <c r="E60" s="215"/>
      <c r="F60" s="214"/>
      <c r="G60" s="214"/>
      <c r="H60" s="273"/>
      <c r="I60" s="181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181"/>
      <c r="V60" s="181"/>
    </row>
    <row r="61" spans="1:22" s="2" customFormat="1" ht="17" collapsed="1">
      <c r="A61" s="6"/>
      <c r="B61" s="174">
        <v>16</v>
      </c>
      <c r="C61" s="175"/>
      <c r="D61" s="261" t="str">
        <f>VLOOKUP(B61,$C$69:$E$86,2,0)</f>
        <v>ID-044</v>
      </c>
      <c r="E61" s="211" t="str" cm="1">
        <f t="array" ref="E61:I61">(_xlfn.XLOOKUP($D61,'B-1. THKL THEO ID'!$B:$B,('B-1. THKL THEO ID'!C:G),"N/A",0))</f>
        <v>CBS</v>
      </c>
      <c r="F61" s="211" t="str">
        <v>BOQ-065</v>
      </c>
      <c r="G61" s="211">
        <v>0</v>
      </c>
      <c r="H61" s="183" t="str">
        <v>Mài hoàn thiện cột vách dầm sàn</v>
      </c>
      <c r="I61" s="208" t="str">
        <v>m2</v>
      </c>
      <c r="J61" s="174"/>
      <c r="K61" s="174"/>
      <c r="L61" s="174"/>
      <c r="M61" s="176"/>
      <c r="N61" s="174"/>
      <c r="O61" s="177"/>
      <c r="P61" s="177"/>
      <c r="Q61" s="177"/>
      <c r="R61" s="178">
        <f>SUBTOTAL(9,R62:R64)</f>
        <v>855.24800000000005</v>
      </c>
      <c r="S61" s="177"/>
      <c r="T61" s="177"/>
      <c r="U61" s="209">
        <f>SUBTOTAL(9,U62:U64)</f>
        <v>0</v>
      </c>
      <c r="V61" s="177"/>
    </row>
    <row r="62" spans="1:22" s="2" customFormat="1" ht="17" hidden="1" outlineLevel="1">
      <c r="A62" s="6"/>
      <c r="B62" s="179"/>
      <c r="C62" s="180"/>
      <c r="D62" s="239"/>
      <c r="E62" s="213"/>
      <c r="F62" s="212"/>
      <c r="G62" s="212"/>
      <c r="H62" s="272" t="s">
        <v>419</v>
      </c>
      <c r="I62" s="179"/>
      <c r="J62" s="179"/>
      <c r="K62" s="179"/>
      <c r="L62" s="179"/>
      <c r="M62" s="179"/>
      <c r="N62" s="279">
        <f>R9</f>
        <v>283.20800000000003</v>
      </c>
      <c r="O62" s="179"/>
      <c r="P62" s="179"/>
      <c r="Q62" s="179"/>
      <c r="R62" s="179">
        <f t="shared" ref="R62:R63" si="4">PRODUCT(J62:Q62)</f>
        <v>283.20800000000003</v>
      </c>
      <c r="S62" s="179"/>
      <c r="T62" s="179"/>
      <c r="U62" s="179"/>
      <c r="V62" s="179"/>
    </row>
    <row r="63" spans="1:22" s="2" customFormat="1" ht="17" hidden="1" outlineLevel="1">
      <c r="A63" s="6"/>
      <c r="B63" s="181"/>
      <c r="C63" s="182"/>
      <c r="D63" s="277"/>
      <c r="E63" s="215"/>
      <c r="F63" s="214"/>
      <c r="G63" s="214"/>
      <c r="H63" s="273" t="s">
        <v>420</v>
      </c>
      <c r="I63" s="181"/>
      <c r="J63" s="181"/>
      <c r="K63" s="181"/>
      <c r="L63" s="181"/>
      <c r="M63" s="181"/>
      <c r="N63" s="280">
        <f>R40</f>
        <v>572.04000000000008</v>
      </c>
      <c r="O63" s="181"/>
      <c r="P63" s="181"/>
      <c r="Q63" s="181"/>
      <c r="R63" s="179">
        <f t="shared" si="4"/>
        <v>572.04000000000008</v>
      </c>
      <c r="S63" s="181"/>
      <c r="T63" s="181"/>
      <c r="U63" s="181"/>
      <c r="V63" s="181"/>
    </row>
    <row r="64" spans="1:22" s="2" customFormat="1" ht="16" hidden="1" outlineLevel="1">
      <c r="A64" s="6"/>
      <c r="B64" s="181"/>
      <c r="C64" s="182"/>
      <c r="D64" s="181"/>
      <c r="E64" s="215"/>
      <c r="F64" s="214"/>
      <c r="G64" s="214"/>
      <c r="H64" s="273"/>
      <c r="I64" s="181"/>
      <c r="J64" s="181"/>
      <c r="K64" s="181"/>
      <c r="L64" s="181"/>
      <c r="M64" s="181"/>
      <c r="N64" s="181"/>
      <c r="O64" s="181"/>
      <c r="P64" s="181"/>
      <c r="Q64" s="181"/>
      <c r="R64" s="181"/>
      <c r="S64" s="181"/>
      <c r="T64" s="181"/>
      <c r="U64" s="181"/>
      <c r="V64" s="181"/>
    </row>
    <row r="65" spans="1:22" ht="20" customHeight="1">
      <c r="A65" s="2"/>
      <c r="B65" s="50"/>
      <c r="C65" s="51"/>
      <c r="D65" s="52"/>
      <c r="E65" s="53"/>
      <c r="F65" s="52"/>
      <c r="G65" s="52"/>
      <c r="H65" s="53"/>
      <c r="I65" s="52"/>
      <c r="J65" s="52"/>
      <c r="K65" s="52"/>
      <c r="L65" s="52"/>
      <c r="M65" s="52"/>
      <c r="N65" s="52"/>
      <c r="O65" s="52"/>
      <c r="P65" s="52"/>
      <c r="Q65" s="52"/>
      <c r="R65" s="55"/>
      <c r="S65" s="52"/>
      <c r="T65" s="52"/>
      <c r="U65" s="52"/>
      <c r="V65" s="52"/>
    </row>
    <row r="66" spans="1:22" ht="20" customHeight="1">
      <c r="A66" s="2"/>
      <c r="B66" s="27" t="s">
        <v>20</v>
      </c>
      <c r="C66" s="28">
        <v>3</v>
      </c>
      <c r="D66" s="27"/>
      <c r="E66" s="29"/>
      <c r="F66" s="27"/>
      <c r="G66" s="27"/>
      <c r="H66" s="275" t="s">
        <v>29</v>
      </c>
      <c r="I66" s="31"/>
      <c r="J66" s="31"/>
      <c r="K66" s="31"/>
      <c r="L66" s="31"/>
      <c r="M66" s="31"/>
      <c r="N66" s="31"/>
      <c r="O66" s="31"/>
      <c r="P66" s="31"/>
      <c r="Q66" s="31"/>
      <c r="R66" s="32"/>
      <c r="S66" s="31"/>
      <c r="T66" s="31"/>
      <c r="U66" s="31"/>
      <c r="V66" s="31"/>
    </row>
    <row r="67" spans="1:22" s="2" customFormat="1" ht="20" customHeight="1">
      <c r="E67" s="7"/>
      <c r="H67" s="7"/>
    </row>
    <row r="70" spans="1:22" ht="20" customHeight="1">
      <c r="C70">
        <v>1</v>
      </c>
      <c r="D70" t="s">
        <v>380</v>
      </c>
    </row>
    <row r="71" spans="1:22" ht="20" customHeight="1">
      <c r="C71">
        <v>2</v>
      </c>
      <c r="D71" t="s">
        <v>614</v>
      </c>
    </row>
    <row r="72" spans="1:22" ht="20" customHeight="1">
      <c r="C72">
        <v>3</v>
      </c>
      <c r="D72" t="s">
        <v>615</v>
      </c>
    </row>
    <row r="73" spans="1:22" ht="20" customHeight="1">
      <c r="C73">
        <v>4</v>
      </c>
      <c r="D73" t="s">
        <v>571</v>
      </c>
    </row>
    <row r="74" spans="1:22" ht="20" customHeight="1">
      <c r="C74">
        <v>5</v>
      </c>
      <c r="D74" t="s">
        <v>616</v>
      </c>
    </row>
    <row r="75" spans="1:22" ht="20" customHeight="1">
      <c r="C75">
        <v>6</v>
      </c>
      <c r="D75" t="s">
        <v>396</v>
      </c>
    </row>
    <row r="76" spans="1:22" ht="20" customHeight="1">
      <c r="C76">
        <v>7</v>
      </c>
      <c r="D76" t="s">
        <v>381</v>
      </c>
    </row>
    <row r="77" spans="1:22" ht="20" customHeight="1">
      <c r="C77">
        <v>8</v>
      </c>
      <c r="D77" t="s">
        <v>617</v>
      </c>
    </row>
    <row r="78" spans="1:22" ht="20" customHeight="1">
      <c r="C78">
        <v>9</v>
      </c>
      <c r="D78" t="s">
        <v>382</v>
      </c>
    </row>
    <row r="79" spans="1:22" ht="20" customHeight="1">
      <c r="C79">
        <v>10</v>
      </c>
      <c r="D79" t="s">
        <v>618</v>
      </c>
    </row>
    <row r="80" spans="1:22" ht="20" customHeight="1">
      <c r="C80">
        <v>11</v>
      </c>
      <c r="D80" t="s">
        <v>619</v>
      </c>
    </row>
    <row r="81" spans="3:4" ht="20" customHeight="1">
      <c r="C81">
        <v>12</v>
      </c>
      <c r="D81" t="s">
        <v>572</v>
      </c>
    </row>
    <row r="82" spans="3:4" ht="20" customHeight="1">
      <c r="C82">
        <v>13</v>
      </c>
      <c r="D82" t="s">
        <v>383</v>
      </c>
    </row>
    <row r="83" spans="3:4" ht="20" customHeight="1">
      <c r="C83">
        <v>14</v>
      </c>
      <c r="D83" t="s">
        <v>384</v>
      </c>
    </row>
    <row r="84" spans="3:4" ht="20" customHeight="1">
      <c r="C84">
        <v>15</v>
      </c>
      <c r="D84" t="s">
        <v>620</v>
      </c>
    </row>
    <row r="85" spans="3:4" ht="20" customHeight="1">
      <c r="C85">
        <v>16</v>
      </c>
      <c r="D85" t="s">
        <v>394</v>
      </c>
    </row>
  </sheetData>
  <autoFilter ref="B5:V66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67">
    <cfRule type="cellIs" dxfId="44" priority="17" operator="lessThan">
      <formula>0</formula>
    </cfRule>
  </conditionalFormatting>
  <conditionalFormatting sqref="U6">
    <cfRule type="cellIs" dxfId="43" priority="16" operator="lessThan">
      <formula>0</formula>
    </cfRule>
  </conditionalFormatting>
  <conditionalFormatting sqref="U9">
    <cfRule type="cellIs" dxfId="42" priority="15" operator="lessThan">
      <formula>0</formula>
    </cfRule>
  </conditionalFormatting>
  <conditionalFormatting sqref="U16">
    <cfRule type="cellIs" dxfId="41" priority="14" operator="lessThan">
      <formula>0</formula>
    </cfRule>
  </conditionalFormatting>
  <conditionalFormatting sqref="U19">
    <cfRule type="cellIs" dxfId="40" priority="13" operator="lessThan">
      <formula>0</formula>
    </cfRule>
  </conditionalFormatting>
  <conditionalFormatting sqref="U22">
    <cfRule type="cellIs" dxfId="39" priority="12" operator="lessThan">
      <formula>0</formula>
    </cfRule>
  </conditionalFormatting>
  <conditionalFormatting sqref="U25">
    <cfRule type="cellIs" dxfId="38" priority="11" operator="lessThan">
      <formula>0</formula>
    </cfRule>
  </conditionalFormatting>
  <conditionalFormatting sqref="U28">
    <cfRule type="cellIs" dxfId="37" priority="10" operator="lessThan">
      <formula>0</formula>
    </cfRule>
  </conditionalFormatting>
  <conditionalFormatting sqref="U31">
    <cfRule type="cellIs" dxfId="36" priority="9" operator="lessThan">
      <formula>0</formula>
    </cfRule>
  </conditionalFormatting>
  <conditionalFormatting sqref="U37">
    <cfRule type="cellIs" dxfId="35" priority="8" operator="lessThan">
      <formula>0</formula>
    </cfRule>
  </conditionalFormatting>
  <conditionalFormatting sqref="U40">
    <cfRule type="cellIs" dxfId="34" priority="7" operator="lessThan">
      <formula>0</formula>
    </cfRule>
  </conditionalFormatting>
  <conditionalFormatting sqref="U45">
    <cfRule type="cellIs" dxfId="33" priority="6" operator="lessThan">
      <formula>0</formula>
    </cfRule>
  </conditionalFormatting>
  <conditionalFormatting sqref="U48">
    <cfRule type="cellIs" dxfId="32" priority="5" operator="lessThan">
      <formula>0</formula>
    </cfRule>
  </conditionalFormatting>
  <conditionalFormatting sqref="U51">
    <cfRule type="cellIs" dxfId="31" priority="4" operator="lessThan">
      <formula>0</formula>
    </cfRule>
  </conditionalFormatting>
  <conditionalFormatting sqref="U54">
    <cfRule type="cellIs" dxfId="30" priority="3" operator="lessThan">
      <formula>0</formula>
    </cfRule>
  </conditionalFormatting>
  <conditionalFormatting sqref="U57">
    <cfRule type="cellIs" dxfId="29" priority="2" operator="lessThan">
      <formula>0</formula>
    </cfRule>
  </conditionalFormatting>
  <conditionalFormatting sqref="U61">
    <cfRule type="cellIs" dxfId="28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AAF85-903D-4E47-89C3-49963D0752E0}">
  <sheetPr codeName="Sheet30">
    <tabColor rgb="FF7030A0"/>
    <outlinePr summaryBelow="0" summaryRight="0"/>
    <pageSetUpPr fitToPage="1"/>
  </sheetPr>
  <dimension ref="A1:V90"/>
  <sheetViews>
    <sheetView showZeros="0" view="pageBreakPreview" zoomScale="85" zoomScaleNormal="100" zoomScaleSheetLayoutView="85" workbookViewId="0">
      <pane ySplit="5" topLeftCell="A39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style="343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str">
        <f>"BẢNG DIẾN GIẢI KHỐI LƯỢNG CẤU KIỆN ĐIỂN HÌNH  - "&amp;UPPER(VLOOKUP($F$3,DM_CKDH!$B$4:$E$54,2,0))&amp;" - Mã CK:"&amp;F3</f>
        <v>BẢNG DIẾN GIẢI KHỐI LƯỢNG CẤU KIỆN ĐIỂN HÌNH  - BIỆN PHÁP KHÁC - Mã CK:X11.11</v>
      </c>
      <c r="C1" s="8"/>
      <c r="D1" s="8"/>
      <c r="E1" s="13"/>
      <c r="F1" s="8"/>
      <c r="G1" s="8"/>
      <c r="H1" s="337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338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81" t="s">
        <v>426</v>
      </c>
      <c r="G3" s="218"/>
      <c r="H3" s="449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50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339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17" collapsed="1">
      <c r="A6" s="6"/>
      <c r="B6" s="174">
        <v>1</v>
      </c>
      <c r="C6" s="175"/>
      <c r="D6" s="261" t="str">
        <f>VLOOKUP(B6,$C$71:$E$88,2,0)</f>
        <v>ID-X01</v>
      </c>
      <c r="E6" s="211" t="str" cm="1">
        <f t="array" ref="E6:I6">(_xlfn.XLOOKUP($D6,'B-1. THKL THEO ID'!$B:$B,('B-1. THKL THEO ID'!C:G),"N/A",0))</f>
        <v>CBS</v>
      </c>
      <c r="F6" s="211" t="str">
        <v>BOQ-018</v>
      </c>
      <c r="G6" s="211">
        <v>0</v>
      </c>
      <c r="H6" s="183" t="str">
        <v>Băng cản nước tường tầng hầm</v>
      </c>
      <c r="I6" s="208" t="str">
        <v>m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VLOOKUP(B9,$C$71:$E$88,2,0)</f>
        <v>ID-X02</v>
      </c>
      <c r="E9" s="211" t="str" cm="1">
        <f t="array" ref="E9:I9">(_xlfn.XLOOKUP($D9,'B-1. THKL THEO ID'!$B:$B,('B-1. THKL THEO ID'!C:G),"N/A",0))</f>
        <v>CBS</v>
      </c>
      <c r="F9" s="211" t="str">
        <v>BOQ-042</v>
      </c>
      <c r="G9" s="211">
        <v>0</v>
      </c>
      <c r="H9" s="183" t="str">
        <v>Hệ thống cừ</v>
      </c>
      <c r="I9" s="208" t="str">
        <v>Lot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209">
        <f>SUBTOTAL(9,U10:U11)</f>
        <v>0</v>
      </c>
      <c r="V9" s="177"/>
    </row>
    <row r="10" spans="1:22" s="2" customFormat="1" ht="16" hidden="1" outlineLevel="1">
      <c r="A10" s="6"/>
      <c r="B10" s="179"/>
      <c r="C10" s="180"/>
      <c r="D10" s="239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262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1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17" collapsed="1">
      <c r="A12" s="6"/>
      <c r="B12" s="174">
        <v>3</v>
      </c>
      <c r="C12" s="175"/>
      <c r="D12" s="261" t="str">
        <f>VLOOKUP(B12,$C$71:$E$88,2,0)</f>
        <v>ID-X03</v>
      </c>
      <c r="E12" s="211" t="str" cm="1">
        <f t="array" ref="E12:I12">(_xlfn.XLOOKUP($D12,'B-1. THKL THEO ID'!$B:$B,('B-1. THKL THEO ID'!C:G),"N/A",0))</f>
        <v>CBS</v>
      </c>
      <c r="F12" s="211" t="str">
        <v>BOQ-043</v>
      </c>
      <c r="G12" s="211">
        <v>0</v>
      </c>
      <c r="H12" s="183" t="str">
        <v>Văng chống</v>
      </c>
      <c r="I12" s="208" t="str">
        <v>Lot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VLOOKUP(B15,$C$71:$E$88,2,0)</f>
        <v>ID-X04</v>
      </c>
      <c r="E15" s="211" t="str" cm="1">
        <f t="array" ref="E15:I15">(_xlfn.XLOOKUP($D15,'B-1. THKL THEO ID'!$B:$B,('B-1. THKL THEO ID'!C:G),"N/A",0))</f>
        <v>CBS</v>
      </c>
      <c r="F15" s="211" t="str">
        <v>BOQ-044</v>
      </c>
      <c r="G15" s="211">
        <v>0</v>
      </c>
      <c r="H15" s="183" t="str">
        <v>Trắc đạc</v>
      </c>
      <c r="I15" s="208" t="str">
        <v>Lot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34" collapsed="1">
      <c r="A18" s="6"/>
      <c r="B18" s="174">
        <v>5</v>
      </c>
      <c r="C18" s="175"/>
      <c r="D18" s="261" t="str">
        <f>VLOOKUP(B18,$C$71:$E$88,2,0)</f>
        <v>ID-X05</v>
      </c>
      <c r="E18" s="211" t="str" cm="1">
        <f t="array" ref="E18:I18">(_xlfn.XLOOKUP($D18,'B-1. THKL THEO ID'!$B:$B,('B-1. THKL THEO ID'!C:G),"N/A",0))</f>
        <v>CBS</v>
      </c>
      <c r="F18" s="211" t="str">
        <v>BOQ-045</v>
      </c>
      <c r="G18" s="211">
        <v>0</v>
      </c>
      <c r="H18" s="183" t="str">
        <v>Xử lý thoát nước mặt trong quá trình thi công</v>
      </c>
      <c r="I18" s="208" t="str">
        <v>Lot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209">
        <f>SUBTOTAL(9,U19:U20)</f>
        <v>0</v>
      </c>
      <c r="V18" s="177"/>
    </row>
    <row r="19" spans="1:22" s="2" customFormat="1" ht="16" hidden="1" outlineLevel="1">
      <c r="A19" s="6"/>
      <c r="B19" s="179"/>
      <c r="C19" s="180"/>
      <c r="D19" s="239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262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1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17" collapsed="1">
      <c r="A21" s="6"/>
      <c r="B21" s="174">
        <v>6</v>
      </c>
      <c r="C21" s="175"/>
      <c r="D21" s="261" t="str">
        <f>VLOOKUP(B21,$C$71:$E$88,2,0)</f>
        <v>ID-X06</v>
      </c>
      <c r="E21" s="211" t="str" cm="1">
        <f t="array" ref="E21:I21">(_xlfn.XLOOKUP($D21,'B-1. THKL THEO ID'!$B:$B,('B-1. THKL THEO ID'!C:G),"N/A",0))</f>
        <v>CBS</v>
      </c>
      <c r="F21" s="211" t="str">
        <v>BOQ-046</v>
      </c>
      <c r="G21" s="211">
        <v>0</v>
      </c>
      <c r="H21" s="183" t="str">
        <v>Lan can an toàn</v>
      </c>
      <c r="I21" s="208" t="str">
        <v>Lot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s="2" customFormat="1" ht="17" collapsed="1">
      <c r="A24" s="6"/>
      <c r="B24" s="174">
        <v>7</v>
      </c>
      <c r="C24" s="175"/>
      <c r="D24" s="261" t="str">
        <f>VLOOKUP(B24,$C$71:$E$88,2,0)</f>
        <v>ID-X07</v>
      </c>
      <c r="E24" s="211" t="str" cm="1">
        <f t="array" ref="E24:I24">(_xlfn.XLOOKUP($D24,'B-1. THKL THEO ID'!$B:$B,('B-1. THKL THEO ID'!C:G),"N/A",0))</f>
        <v>CBS</v>
      </c>
      <c r="F24" s="211" t="str">
        <v>BOQ-047</v>
      </c>
      <c r="G24" s="211">
        <v>0</v>
      </c>
      <c r="H24" s="183" t="str">
        <v>Bê tông chèn khe cừ</v>
      </c>
      <c r="I24" s="208" t="str">
        <v>m3</v>
      </c>
      <c r="J24" s="174"/>
      <c r="K24" s="174"/>
      <c r="L24" s="174"/>
      <c r="M24" s="176"/>
      <c r="N24" s="174"/>
      <c r="O24" s="177"/>
      <c r="P24" s="177"/>
      <c r="Q24" s="177"/>
      <c r="R24" s="178">
        <f>SUBTOTAL(9,R25:R26)</f>
        <v>0</v>
      </c>
      <c r="S24" s="177"/>
      <c r="T24" s="177"/>
      <c r="U24" s="209">
        <f>SUBTOTAL(9,U25:U26)</f>
        <v>0</v>
      </c>
      <c r="V24" s="177"/>
    </row>
    <row r="25" spans="1:22" s="2" customFormat="1" ht="16" hidden="1" outlineLevel="1">
      <c r="A25" s="6"/>
      <c r="B25" s="179"/>
      <c r="C25" s="180"/>
      <c r="D25" s="239"/>
      <c r="E25" s="213"/>
      <c r="F25" s="212"/>
      <c r="G25" s="212"/>
      <c r="H25" s="184"/>
      <c r="I25" s="179"/>
      <c r="J25" s="179"/>
      <c r="K25" s="179"/>
      <c r="L25" s="179"/>
      <c r="M25" s="179"/>
      <c r="N25" s="179"/>
      <c r="O25" s="179"/>
      <c r="P25" s="179"/>
      <c r="Q25" s="179"/>
      <c r="R25" s="262"/>
      <c r="S25" s="179"/>
      <c r="T25" s="179"/>
      <c r="U25" s="179"/>
      <c r="V25" s="179"/>
    </row>
    <row r="26" spans="1:22" s="2" customFormat="1" ht="16" hidden="1" outlineLevel="1">
      <c r="A26" s="6"/>
      <c r="B26" s="181"/>
      <c r="C26" s="182"/>
      <c r="D26" s="181"/>
      <c r="E26" s="215"/>
      <c r="F26" s="214"/>
      <c r="G26" s="214"/>
      <c r="H26" s="185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</row>
    <row r="27" spans="1:22" s="2" customFormat="1" ht="17" collapsed="1">
      <c r="A27" s="6"/>
      <c r="B27" s="174">
        <v>8</v>
      </c>
      <c r="C27" s="175"/>
      <c r="D27" s="261" t="str">
        <f>VLOOKUP(B27,$C$71:$E$88,2,0)</f>
        <v>ID-X08</v>
      </c>
      <c r="E27" s="211" t="str" cm="1">
        <f t="array" ref="E27:I27">(_xlfn.XLOOKUP($D27,'B-1. THKL THEO ID'!$B:$B,('B-1. THKL THEO ID'!C:G),"N/A",0))</f>
        <v>CBS</v>
      </c>
      <c r="F27" s="211" t="str">
        <v>BOQ-048</v>
      </c>
      <c r="G27" s="211">
        <v>0</v>
      </c>
      <c r="H27" s="183" t="str">
        <v>Lấp cát cạnh cừ và tường hầm</v>
      </c>
      <c r="I27" s="208" t="str">
        <v>m3</v>
      </c>
      <c r="J27" s="174"/>
      <c r="K27" s="174"/>
      <c r="L27" s="174"/>
      <c r="M27" s="176"/>
      <c r="N27" s="174"/>
      <c r="O27" s="177"/>
      <c r="P27" s="177"/>
      <c r="Q27" s="177"/>
      <c r="R27" s="178">
        <f>SUBTOTAL(9,R28:R29)</f>
        <v>0</v>
      </c>
      <c r="S27" s="177"/>
      <c r="T27" s="177"/>
      <c r="U27" s="209">
        <f>SUBTOTAL(9,U28:U29)</f>
        <v>0</v>
      </c>
      <c r="V27" s="177"/>
    </row>
    <row r="28" spans="1:22" s="2" customFormat="1" ht="16" hidden="1" outlineLevel="1">
      <c r="A28" s="6"/>
      <c r="B28" s="179"/>
      <c r="C28" s="180"/>
      <c r="D28" s="239"/>
      <c r="E28" s="213"/>
      <c r="F28" s="212"/>
      <c r="G28" s="212"/>
      <c r="H28" s="184"/>
      <c r="I28" s="179"/>
      <c r="J28" s="179"/>
      <c r="K28" s="179"/>
      <c r="L28" s="179"/>
      <c r="M28" s="179"/>
      <c r="N28" s="179"/>
      <c r="O28" s="179"/>
      <c r="P28" s="179"/>
      <c r="Q28" s="179"/>
      <c r="R28" s="262"/>
      <c r="S28" s="179"/>
      <c r="T28" s="179"/>
      <c r="U28" s="179"/>
      <c r="V28" s="179"/>
    </row>
    <row r="29" spans="1:22" s="2" customFormat="1" ht="16" hidden="1" outlineLevel="1">
      <c r="A29" s="6"/>
      <c r="B29" s="181"/>
      <c r="C29" s="182"/>
      <c r="D29" s="181"/>
      <c r="E29" s="215"/>
      <c r="F29" s="214"/>
      <c r="G29" s="214"/>
      <c r="H29" s="185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</row>
    <row r="30" spans="1:22" s="2" customFormat="1" ht="34" collapsed="1">
      <c r="A30" s="6"/>
      <c r="B30" s="174">
        <v>9</v>
      </c>
      <c r="C30" s="175"/>
      <c r="D30" s="261" t="str">
        <f>VLOOKUP(B30,$C$71:$E$88,2,0)</f>
        <v>ID-X09</v>
      </c>
      <c r="E30" s="211" t="str" cm="1">
        <f t="array" ref="E30:I30">(_xlfn.XLOOKUP($D30,'B-1. THKL THEO ID'!$B:$B,('B-1. THKL THEO ID'!C:G),"N/A",0))</f>
        <v>CBS</v>
      </c>
      <c r="F30" s="211" t="str">
        <v>BOQ-049</v>
      </c>
      <c r="G30" s="211">
        <v>0</v>
      </c>
      <c r="H30" s="183" t="str">
        <v>Băng cản nước mạch ngừng thi công nền hầm, sàn tầng 1</v>
      </c>
      <c r="I30" s="208" t="str">
        <v>md</v>
      </c>
      <c r="J30" s="174"/>
      <c r="K30" s="174"/>
      <c r="L30" s="174"/>
      <c r="M30" s="176"/>
      <c r="N30" s="174"/>
      <c r="O30" s="177"/>
      <c r="P30" s="177"/>
      <c r="Q30" s="177"/>
      <c r="R30" s="178">
        <f>SUBTOTAL(9,R31:R32)</f>
        <v>0</v>
      </c>
      <c r="S30" s="177"/>
      <c r="T30" s="177"/>
      <c r="U30" s="209">
        <f>SUBTOTAL(9,U31:U32)</f>
        <v>0</v>
      </c>
      <c r="V30" s="177"/>
    </row>
    <row r="31" spans="1:22" s="2" customFormat="1" ht="16" hidden="1" outlineLevel="1">
      <c r="A31" s="6"/>
      <c r="B31" s="179"/>
      <c r="C31" s="180"/>
      <c r="D31" s="239"/>
      <c r="E31" s="213"/>
      <c r="F31" s="212"/>
      <c r="G31" s="212"/>
      <c r="H31" s="184"/>
      <c r="I31" s="179"/>
      <c r="J31" s="179"/>
      <c r="K31" s="179"/>
      <c r="L31" s="179"/>
      <c r="M31" s="179"/>
      <c r="N31" s="179"/>
      <c r="O31" s="179"/>
      <c r="P31" s="179"/>
      <c r="Q31" s="179"/>
      <c r="R31" s="262"/>
      <c r="S31" s="179"/>
      <c r="T31" s="179"/>
      <c r="U31" s="179"/>
      <c r="V31" s="179"/>
    </row>
    <row r="32" spans="1:22" s="2" customFormat="1" ht="16" hidden="1" outlineLevel="1">
      <c r="A32" s="6"/>
      <c r="B32" s="181"/>
      <c r="C32" s="182"/>
      <c r="D32" s="181"/>
      <c r="E32" s="215"/>
      <c r="F32" s="214"/>
      <c r="G32" s="214"/>
      <c r="H32" s="185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</row>
    <row r="33" spans="1:22" s="2" customFormat="1" ht="17" collapsed="1">
      <c r="A33" s="6"/>
      <c r="B33" s="174">
        <v>10</v>
      </c>
      <c r="C33" s="175"/>
      <c r="D33" s="261" t="str">
        <f>VLOOKUP(B33,$C$71:$E$88,2,0)</f>
        <v>ID-X10</v>
      </c>
      <c r="E33" s="211" t="str" cm="1">
        <f t="array" ref="E33:I33">(_xlfn.XLOOKUP($D33,'B-1. THKL THEO ID'!$B:$B,('B-1. THKL THEO ID'!C:G),"N/A",0))</f>
        <v>CBS</v>
      </c>
      <c r="F33" s="211" t="str">
        <v>BOQ-050</v>
      </c>
      <c r="G33" s="211">
        <v>0</v>
      </c>
      <c r="H33" s="183" t="str">
        <v>Cẩu tháp</v>
      </c>
      <c r="I33" s="208" t="str">
        <v>Lot</v>
      </c>
      <c r="J33" s="174"/>
      <c r="K33" s="174"/>
      <c r="L33" s="174"/>
      <c r="M33" s="176"/>
      <c r="N33" s="174"/>
      <c r="O33" s="177"/>
      <c r="P33" s="177"/>
      <c r="Q33" s="177"/>
      <c r="R33" s="178">
        <f>SUBTOTAL(9,R34:R35)</f>
        <v>0</v>
      </c>
      <c r="S33" s="177"/>
      <c r="T33" s="177"/>
      <c r="U33" s="209">
        <f>SUBTOTAL(9,U34:U35)</f>
        <v>0</v>
      </c>
      <c r="V33" s="177"/>
    </row>
    <row r="34" spans="1:22" s="2" customFormat="1" ht="16" hidden="1" outlineLevel="1">
      <c r="A34" s="6"/>
      <c r="B34" s="179"/>
      <c r="C34" s="180"/>
      <c r="D34" s="239"/>
      <c r="E34" s="213"/>
      <c r="F34" s="212"/>
      <c r="G34" s="212"/>
      <c r="H34" s="184"/>
      <c r="I34" s="179"/>
      <c r="J34" s="179"/>
      <c r="K34" s="179"/>
      <c r="L34" s="179"/>
      <c r="M34" s="179"/>
      <c r="N34" s="179"/>
      <c r="O34" s="179"/>
      <c r="P34" s="179"/>
      <c r="Q34" s="179"/>
      <c r="R34" s="262"/>
      <c r="S34" s="179"/>
      <c r="T34" s="179"/>
      <c r="U34" s="179"/>
      <c r="V34" s="179"/>
    </row>
    <row r="35" spans="1:22" s="2" customFormat="1" ht="16" hidden="1" outlineLevel="1">
      <c r="A35" s="6"/>
      <c r="B35" s="181"/>
      <c r="C35" s="182"/>
      <c r="D35" s="181"/>
      <c r="E35" s="215"/>
      <c r="F35" s="214"/>
      <c r="G35" s="214"/>
      <c r="H35" s="185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</row>
    <row r="36" spans="1:22" s="2" customFormat="1" ht="34" collapsed="1">
      <c r="A36" s="6"/>
      <c r="B36" s="174">
        <v>11</v>
      </c>
      <c r="C36" s="175"/>
      <c r="D36" s="261" t="str">
        <f>VLOOKUP(B36,$C$71:$E$88,2,0)</f>
        <v>ID-X11</v>
      </c>
      <c r="E36" s="211" t="str" cm="1">
        <f t="array" ref="E36:I36">(_xlfn.XLOOKUP($D36,'B-1. THKL THEO ID'!$B:$B,('B-1. THKL THEO ID'!C:G),"N/A",0))</f>
        <v>CBS</v>
      </c>
      <c r="F36" s="211" t="str">
        <v>BOQ-051</v>
      </c>
      <c r="G36" s="211">
        <v>0</v>
      </c>
      <c r="H36" s="183" t="str">
        <v>Chi phí điện tạm phục vụ thi công (cẩu tháp + văn phòng + công trường)</v>
      </c>
      <c r="I36" s="208" t="str">
        <v>Lot</v>
      </c>
      <c r="J36" s="174"/>
      <c r="K36" s="174"/>
      <c r="L36" s="174"/>
      <c r="M36" s="176"/>
      <c r="N36" s="174"/>
      <c r="O36" s="177"/>
      <c r="P36" s="177"/>
      <c r="Q36" s="177"/>
      <c r="R36" s="178">
        <f>SUBTOTAL(9,R37:R38)</f>
        <v>0</v>
      </c>
      <c r="S36" s="177"/>
      <c r="T36" s="177"/>
      <c r="U36" s="209">
        <f>SUBTOTAL(9,U37:U38)</f>
        <v>0</v>
      </c>
      <c r="V36" s="177"/>
    </row>
    <row r="37" spans="1:22" s="2" customFormat="1" ht="16" hidden="1" outlineLevel="1">
      <c r="A37" s="6"/>
      <c r="B37" s="179"/>
      <c r="C37" s="180"/>
      <c r="D37" s="239"/>
      <c r="E37" s="213"/>
      <c r="F37" s="212"/>
      <c r="G37" s="212"/>
      <c r="H37" s="184"/>
      <c r="I37" s="179"/>
      <c r="J37" s="179"/>
      <c r="K37" s="179"/>
      <c r="L37" s="179"/>
      <c r="M37" s="179"/>
      <c r="N37" s="179"/>
      <c r="O37" s="179"/>
      <c r="P37" s="179"/>
      <c r="Q37" s="179"/>
      <c r="R37" s="262"/>
      <c r="S37" s="179"/>
      <c r="T37" s="179"/>
      <c r="U37" s="179"/>
      <c r="V37" s="179"/>
    </row>
    <row r="38" spans="1:22" s="2" customFormat="1" ht="16" hidden="1" outlineLevel="1">
      <c r="A38" s="6"/>
      <c r="B38" s="181"/>
      <c r="C38" s="182"/>
      <c r="D38" s="181"/>
      <c r="E38" s="215"/>
      <c r="F38" s="214"/>
      <c r="G38" s="214"/>
      <c r="H38" s="185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</row>
    <row r="39" spans="1:22" s="2" customFormat="1" ht="17" collapsed="1">
      <c r="A39" s="6"/>
      <c r="B39" s="174">
        <v>12</v>
      </c>
      <c r="C39" s="175"/>
      <c r="D39" s="261" t="str">
        <f>VLOOKUP(B39,$C$71:$E$88,2,0)</f>
        <v>ID-X12</v>
      </c>
      <c r="E39" s="211" t="str" cm="1">
        <f t="array" ref="E39:I39">(_xlfn.XLOOKUP($D39,'B-1. THKL THEO ID'!$B:$B,('B-1. THKL THEO ID'!C:G),"N/A",0))</f>
        <v>CBS</v>
      </c>
      <c r="F39" s="211" t="str">
        <v>BOQ-052</v>
      </c>
      <c r="G39" s="211">
        <v>0</v>
      </c>
      <c r="H39" s="183" t="str">
        <v>Xử lý rác thải trong quá trình thi công</v>
      </c>
      <c r="I39" s="208" t="str">
        <v>Lot</v>
      </c>
      <c r="J39" s="174"/>
      <c r="K39" s="174"/>
      <c r="L39" s="174"/>
      <c r="M39" s="176"/>
      <c r="N39" s="174"/>
      <c r="O39" s="177"/>
      <c r="P39" s="177"/>
      <c r="Q39" s="177"/>
      <c r="R39" s="178">
        <f>SUBTOTAL(9,R40:R41)</f>
        <v>0</v>
      </c>
      <c r="S39" s="177"/>
      <c r="T39" s="177"/>
      <c r="U39" s="209">
        <f>SUBTOTAL(9,U40:U41)</f>
        <v>0</v>
      </c>
      <c r="V39" s="177"/>
    </row>
    <row r="40" spans="1:22" s="2" customFormat="1" ht="16" hidden="1" outlineLevel="1">
      <c r="A40" s="6"/>
      <c r="B40" s="179"/>
      <c r="C40" s="180"/>
      <c r="D40" s="239"/>
      <c r="E40" s="213"/>
      <c r="F40" s="212"/>
      <c r="G40" s="212"/>
      <c r="H40" s="184"/>
      <c r="I40" s="179"/>
      <c r="J40" s="179"/>
      <c r="K40" s="179"/>
      <c r="L40" s="179"/>
      <c r="M40" s="179"/>
      <c r="N40" s="179"/>
      <c r="O40" s="179"/>
      <c r="P40" s="179"/>
      <c r="Q40" s="179"/>
      <c r="R40" s="262"/>
      <c r="S40" s="179"/>
      <c r="T40" s="179"/>
      <c r="U40" s="179"/>
      <c r="V40" s="179"/>
    </row>
    <row r="41" spans="1:22" s="2" customFormat="1" ht="16" hidden="1" outlineLevel="1">
      <c r="A41" s="6"/>
      <c r="B41" s="181"/>
      <c r="C41" s="182"/>
      <c r="D41" s="181"/>
      <c r="E41" s="215"/>
      <c r="F41" s="214"/>
      <c r="G41" s="214"/>
      <c r="H41" s="185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81"/>
    </row>
    <row r="42" spans="1:22" s="2" customFormat="1" ht="17" collapsed="1">
      <c r="A42" s="6"/>
      <c r="B42" s="174">
        <v>13</v>
      </c>
      <c r="C42" s="175"/>
      <c r="D42" s="261" t="str">
        <f>VLOOKUP(B42,$C$71:$E$88,2,0)</f>
        <v>ID-X13</v>
      </c>
      <c r="E42" s="211" t="str" cm="1">
        <f t="array" ref="E42:I42">(_xlfn.XLOOKUP($D42,'B-1. THKL THEO ID'!$B:$B,('B-1. THKL THEO ID'!C:G),"N/A",0))</f>
        <v>CBS</v>
      </c>
      <c r="F42" s="211" t="str">
        <v>BOQ-053</v>
      </c>
      <c r="G42" s="211">
        <v>0</v>
      </c>
      <c r="H42" s="183" t="str">
        <v>Hệ thống điện nước phục vụ thi công</v>
      </c>
      <c r="I42" s="208" t="str">
        <v>Lot</v>
      </c>
      <c r="J42" s="174"/>
      <c r="K42" s="174"/>
      <c r="L42" s="174"/>
      <c r="M42" s="176"/>
      <c r="N42" s="174"/>
      <c r="O42" s="177"/>
      <c r="P42" s="177"/>
      <c r="Q42" s="177"/>
      <c r="R42" s="178">
        <f>SUBTOTAL(9,R43:R44)</f>
        <v>0</v>
      </c>
      <c r="S42" s="177"/>
      <c r="T42" s="177"/>
      <c r="U42" s="209">
        <f>SUBTOTAL(9,U43:U44)</f>
        <v>0</v>
      </c>
      <c r="V42" s="177"/>
    </row>
    <row r="43" spans="1:22" s="2" customFormat="1" ht="16" hidden="1" outlineLevel="1">
      <c r="A43" s="6"/>
      <c r="B43" s="179"/>
      <c r="C43" s="180"/>
      <c r="D43" s="239"/>
      <c r="E43" s="213"/>
      <c r="F43" s="212"/>
      <c r="G43" s="212"/>
      <c r="H43" s="184"/>
      <c r="I43" s="179"/>
      <c r="J43" s="179"/>
      <c r="K43" s="179"/>
      <c r="L43" s="179"/>
      <c r="M43" s="179"/>
      <c r="N43" s="179"/>
      <c r="O43" s="179"/>
      <c r="P43" s="179"/>
      <c r="Q43" s="179"/>
      <c r="R43" s="262"/>
      <c r="S43" s="179"/>
      <c r="T43" s="179"/>
      <c r="U43" s="179"/>
      <c r="V43" s="179"/>
    </row>
    <row r="44" spans="1:22" s="2" customFormat="1" ht="16" hidden="1" outlineLevel="1">
      <c r="A44" s="6"/>
      <c r="B44" s="181"/>
      <c r="C44" s="182"/>
      <c r="D44" s="181"/>
      <c r="E44" s="215"/>
      <c r="F44" s="214"/>
      <c r="G44" s="214"/>
      <c r="H44" s="185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</row>
    <row r="45" spans="1:22" s="2" customFormat="1" ht="17" collapsed="1">
      <c r="A45" s="6"/>
      <c r="B45" s="174">
        <v>14</v>
      </c>
      <c r="C45" s="175"/>
      <c r="D45" s="261" t="str">
        <f>VLOOKUP(B45,$C$71:$E$88,2,0)</f>
        <v>ID-X14</v>
      </c>
      <c r="E45" s="211" t="str" cm="1">
        <f t="array" ref="E45:I45">(_xlfn.XLOOKUP($D45,'B-1. THKL THEO ID'!$B:$B,('B-1. THKL THEO ID'!C:G),"N/A",0))</f>
        <v>CBS</v>
      </c>
      <c r="F45" s="211" t="str">
        <v>BOQ-054</v>
      </c>
      <c r="G45" s="211">
        <v>0</v>
      </c>
      <c r="H45" s="183" t="str">
        <v>Hàng rào tạm</v>
      </c>
      <c r="I45" s="208" t="str">
        <v>Lot</v>
      </c>
      <c r="J45" s="174"/>
      <c r="K45" s="174"/>
      <c r="L45" s="174"/>
      <c r="M45" s="176"/>
      <c r="N45" s="174"/>
      <c r="O45" s="177"/>
      <c r="P45" s="177"/>
      <c r="Q45" s="177"/>
      <c r="R45" s="178">
        <f>SUBTOTAL(9,R46:R47)</f>
        <v>0</v>
      </c>
      <c r="S45" s="177"/>
      <c r="T45" s="177"/>
      <c r="U45" s="209">
        <f>SUBTOTAL(9,U46:U47)</f>
        <v>0</v>
      </c>
      <c r="V45" s="177"/>
    </row>
    <row r="46" spans="1:22" s="2" customFormat="1" ht="16" hidden="1" outlineLevel="1">
      <c r="A46" s="6"/>
      <c r="B46" s="179"/>
      <c r="C46" s="180"/>
      <c r="D46" s="239"/>
      <c r="E46" s="213"/>
      <c r="F46" s="212"/>
      <c r="G46" s="212"/>
      <c r="H46" s="184"/>
      <c r="I46" s="179"/>
      <c r="J46" s="179"/>
      <c r="K46" s="179"/>
      <c r="L46" s="179"/>
      <c r="M46" s="179"/>
      <c r="N46" s="179"/>
      <c r="O46" s="179"/>
      <c r="P46" s="179"/>
      <c r="Q46" s="179"/>
      <c r="R46" s="262"/>
      <c r="S46" s="179"/>
      <c r="T46" s="179"/>
      <c r="U46" s="179"/>
      <c r="V46" s="179"/>
    </row>
    <row r="47" spans="1:22" s="2" customFormat="1" ht="16" hidden="1" outlineLevel="1">
      <c r="A47" s="6"/>
      <c r="B47" s="181"/>
      <c r="C47" s="182"/>
      <c r="D47" s="181"/>
      <c r="E47" s="215"/>
      <c r="F47" s="214"/>
      <c r="G47" s="214"/>
      <c r="H47" s="185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</row>
    <row r="48" spans="1:22" s="2" customFormat="1" ht="17" collapsed="1">
      <c r="A48" s="6"/>
      <c r="B48" s="174">
        <v>15</v>
      </c>
      <c r="C48" s="175"/>
      <c r="D48" s="261" t="str">
        <f>VLOOKUP(B48,$C$71:$E$88,2,0)</f>
        <v>ID-X15</v>
      </c>
      <c r="E48" s="211" t="str" cm="1">
        <f t="array" ref="E48:I48">(_xlfn.XLOOKUP($D48,'B-1. THKL THEO ID'!$B:$B,('B-1. THKL THEO ID'!C:G),"N/A",0))</f>
        <v>CBS</v>
      </c>
      <c r="F48" s="211" t="str">
        <v>BOQ-055</v>
      </c>
      <c r="G48" s="211">
        <v>0</v>
      </c>
      <c r="H48" s="183" t="str">
        <v>Văn phòng Ban chỉ huy công trường</v>
      </c>
      <c r="I48" s="208" t="str">
        <v>Lot</v>
      </c>
      <c r="J48" s="174"/>
      <c r="K48" s="174"/>
      <c r="L48" s="174"/>
      <c r="M48" s="176"/>
      <c r="N48" s="174"/>
      <c r="O48" s="177"/>
      <c r="P48" s="177"/>
      <c r="Q48" s="177"/>
      <c r="R48" s="178">
        <f>SUBTOTAL(9,R49:R50)</f>
        <v>0</v>
      </c>
      <c r="S48" s="177"/>
      <c r="T48" s="177"/>
      <c r="U48" s="209">
        <f>SUBTOTAL(9,U49:U50)</f>
        <v>0</v>
      </c>
      <c r="V48" s="177"/>
    </row>
    <row r="49" spans="1:22" s="2" customFormat="1" ht="16" hidden="1" outlineLevel="1">
      <c r="A49" s="6"/>
      <c r="B49" s="179"/>
      <c r="C49" s="180"/>
      <c r="D49" s="239"/>
      <c r="E49" s="213"/>
      <c r="F49" s="212"/>
      <c r="G49" s="212"/>
      <c r="H49" s="184"/>
      <c r="I49" s="179"/>
      <c r="J49" s="179"/>
      <c r="K49" s="179"/>
      <c r="L49" s="179"/>
      <c r="M49" s="179"/>
      <c r="N49" s="179"/>
      <c r="O49" s="179"/>
      <c r="P49" s="179"/>
      <c r="Q49" s="179"/>
      <c r="R49" s="262"/>
      <c r="S49" s="179"/>
      <c r="T49" s="179"/>
      <c r="U49" s="179"/>
      <c r="V49" s="179"/>
    </row>
    <row r="50" spans="1:22" s="2" customFormat="1" ht="16" hidden="1" outlineLevel="1">
      <c r="A50" s="6"/>
      <c r="B50" s="181"/>
      <c r="C50" s="182"/>
      <c r="D50" s="181"/>
      <c r="E50" s="215"/>
      <c r="F50" s="214"/>
      <c r="G50" s="214"/>
      <c r="H50" s="185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</row>
    <row r="51" spans="1:22" s="2" customFormat="1" ht="17" collapsed="1">
      <c r="A51" s="6"/>
      <c r="B51" s="174">
        <v>16</v>
      </c>
      <c r="C51" s="175"/>
      <c r="D51" s="261" t="str">
        <f>VLOOKUP(B51,$C$71:$E$88,2,0)</f>
        <v>ID-X16</v>
      </c>
      <c r="E51" s="211" t="str" cm="1">
        <f t="array" ref="E51:I51">(_xlfn.XLOOKUP($D51,'B-1. THKL THEO ID'!$B:$B,('B-1. THKL THEO ID'!C:G),"N/A",0))</f>
        <v>CBS</v>
      </c>
      <c r="F51" s="211" t="str">
        <v>BOQ-056</v>
      </c>
      <c r="G51" s="211">
        <v>0</v>
      </c>
      <c r="H51" s="183" t="str">
        <v>Chi phí lương giám sát</v>
      </c>
      <c r="I51" s="208" t="str">
        <v>Lot</v>
      </c>
      <c r="J51" s="174"/>
      <c r="K51" s="174"/>
      <c r="L51" s="174"/>
      <c r="M51" s="176"/>
      <c r="N51" s="174"/>
      <c r="O51" s="177"/>
      <c r="P51" s="177"/>
      <c r="Q51" s="177"/>
      <c r="R51" s="178">
        <f>SUBTOTAL(9,R52:R53)</f>
        <v>0</v>
      </c>
      <c r="S51" s="177"/>
      <c r="T51" s="177"/>
      <c r="U51" s="209">
        <f>SUBTOTAL(9,U52:U53)</f>
        <v>0</v>
      </c>
      <c r="V51" s="177"/>
    </row>
    <row r="52" spans="1:22" s="2" customFormat="1" ht="16" hidden="1" outlineLevel="1">
      <c r="A52" s="6"/>
      <c r="B52" s="179"/>
      <c r="C52" s="180"/>
      <c r="D52" s="239"/>
      <c r="E52" s="213"/>
      <c r="F52" s="212"/>
      <c r="G52" s="212"/>
      <c r="H52" s="184"/>
      <c r="I52" s="179"/>
      <c r="J52" s="179"/>
      <c r="K52" s="179"/>
      <c r="L52" s="179"/>
      <c r="M52" s="179"/>
      <c r="N52" s="179"/>
      <c r="O52" s="179"/>
      <c r="P52" s="179"/>
      <c r="Q52" s="179"/>
      <c r="R52" s="262"/>
      <c r="S52" s="179"/>
      <c r="T52" s="179"/>
      <c r="U52" s="179"/>
      <c r="V52" s="179"/>
    </row>
    <row r="53" spans="1:22" s="2" customFormat="1" ht="16" hidden="1" outlineLevel="1">
      <c r="A53" s="6"/>
      <c r="B53" s="181"/>
      <c r="C53" s="182"/>
      <c r="D53" s="181"/>
      <c r="E53" s="215"/>
      <c r="F53" s="214"/>
      <c r="G53" s="214"/>
      <c r="H53" s="185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</row>
    <row r="54" spans="1:22" s="2" customFormat="1" ht="51" collapsed="1">
      <c r="A54" s="6"/>
      <c r="B54" s="174">
        <v>17</v>
      </c>
      <c r="C54" s="175"/>
      <c r="D54" s="261" t="str">
        <f>VLOOKUP(B54,$C$71:$E$88,2,0)</f>
        <v>ID-X17</v>
      </c>
      <c r="E54" s="211" t="str" cm="1">
        <f t="array" ref="E54:I54">(_xlfn.XLOOKUP($D54,'B-1. THKL THEO ID'!$B:$B,('B-1. THKL THEO ID'!C:G),"N/A",0))</f>
        <v>CBS</v>
      </c>
      <c r="F54" s="211" t="str">
        <v>BOQ-057</v>
      </c>
      <c r="G54" s="211">
        <v>0</v>
      </c>
      <c r="H54" s="183" t="str">
        <v>Chi phí bảo lãnh (bảo lãnh thực hiện hợp đồng, bảo lãnh tạm ứng, bảo lãnh bảo hành,...)</v>
      </c>
      <c r="I54" s="208" t="str">
        <v>Lot</v>
      </c>
      <c r="J54" s="174"/>
      <c r="K54" s="174"/>
      <c r="L54" s="174"/>
      <c r="M54" s="176"/>
      <c r="N54" s="174"/>
      <c r="O54" s="177"/>
      <c r="P54" s="177"/>
      <c r="Q54" s="177"/>
      <c r="R54" s="178">
        <f>SUBTOTAL(9,R55:R56)</f>
        <v>0</v>
      </c>
      <c r="S54" s="177"/>
      <c r="T54" s="177"/>
      <c r="U54" s="209">
        <f>SUBTOTAL(9,U55:U56)</f>
        <v>0</v>
      </c>
      <c r="V54" s="177"/>
    </row>
    <row r="55" spans="1:22" s="2" customFormat="1" ht="16" hidden="1" outlineLevel="1">
      <c r="A55" s="6"/>
      <c r="B55" s="179"/>
      <c r="C55" s="180"/>
      <c r="D55" s="239"/>
      <c r="E55" s="213"/>
      <c r="F55" s="212"/>
      <c r="G55" s="212"/>
      <c r="H55" s="184"/>
      <c r="I55" s="179"/>
      <c r="J55" s="179"/>
      <c r="K55" s="179"/>
      <c r="L55" s="179"/>
      <c r="M55" s="179"/>
      <c r="N55" s="179"/>
      <c r="O55" s="179"/>
      <c r="P55" s="179"/>
      <c r="Q55" s="179"/>
      <c r="R55" s="262"/>
      <c r="S55" s="179"/>
      <c r="T55" s="179"/>
      <c r="U55" s="179"/>
      <c r="V55" s="179"/>
    </row>
    <row r="56" spans="1:22" s="2" customFormat="1" ht="16" hidden="1" outlineLevel="1">
      <c r="A56" s="6"/>
      <c r="B56" s="181"/>
      <c r="C56" s="182"/>
      <c r="D56" s="181"/>
      <c r="E56" s="215"/>
      <c r="F56" s="214"/>
      <c r="G56" s="214"/>
      <c r="H56" s="185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181"/>
    </row>
    <row r="57" spans="1:22" s="2" customFormat="1" ht="17" collapsed="1">
      <c r="A57" s="6"/>
      <c r="B57" s="174">
        <v>18</v>
      </c>
      <c r="C57" s="175"/>
      <c r="D57" s="261" t="str">
        <f>VLOOKUP(B57,$C$71:$E$88,2,0)</f>
        <v>ID-X18</v>
      </c>
      <c r="E57" s="211" t="str" cm="1">
        <f t="array" ref="E57:I57">(_xlfn.XLOOKUP($D57,'B-1. THKL THEO ID'!$B:$B,('B-1. THKL THEO ID'!C:G),"N/A",0))</f>
        <v>CBS</v>
      </c>
      <c r="F57" s="211" t="str">
        <v>BOQ-066</v>
      </c>
      <c r="G57" s="211">
        <v>0</v>
      </c>
      <c r="H57" s="183" t="str">
        <v>Quan trắc lún</v>
      </c>
      <c r="I57" s="208" t="str">
        <v>Lot</v>
      </c>
      <c r="J57" s="174"/>
      <c r="K57" s="174"/>
      <c r="L57" s="174"/>
      <c r="M57" s="176"/>
      <c r="N57" s="174"/>
      <c r="O57" s="177"/>
      <c r="P57" s="177"/>
      <c r="Q57" s="177"/>
      <c r="R57" s="178">
        <f>SUBTOTAL(9,R58:R59)</f>
        <v>0</v>
      </c>
      <c r="S57" s="177"/>
      <c r="T57" s="177"/>
      <c r="U57" s="209">
        <f>SUBTOTAL(9,U58:U59)</f>
        <v>0</v>
      </c>
      <c r="V57" s="177"/>
    </row>
    <row r="58" spans="1:22" s="2" customFormat="1" ht="16" hidden="1" outlineLevel="1">
      <c r="A58" s="6"/>
      <c r="B58" s="179"/>
      <c r="C58" s="180"/>
      <c r="D58" s="239"/>
      <c r="E58" s="213"/>
      <c r="F58" s="212"/>
      <c r="G58" s="212"/>
      <c r="H58" s="184"/>
      <c r="I58" s="179"/>
      <c r="J58" s="179"/>
      <c r="K58" s="179"/>
      <c r="L58" s="179"/>
      <c r="M58" s="179"/>
      <c r="N58" s="179"/>
      <c r="O58" s="179"/>
      <c r="P58" s="179"/>
      <c r="Q58" s="179"/>
      <c r="R58" s="262"/>
      <c r="S58" s="179"/>
      <c r="T58" s="179"/>
      <c r="U58" s="179"/>
      <c r="V58" s="179"/>
    </row>
    <row r="59" spans="1:22" s="2" customFormat="1" ht="16" hidden="1" outlineLevel="1">
      <c r="A59" s="6"/>
      <c r="B59" s="181"/>
      <c r="C59" s="182"/>
      <c r="D59" s="181"/>
      <c r="E59" s="215"/>
      <c r="F59" s="214"/>
      <c r="G59" s="214"/>
      <c r="H59" s="185"/>
      <c r="I59" s="181"/>
      <c r="J59" s="181"/>
      <c r="K59" s="181"/>
      <c r="L59" s="181"/>
      <c r="M59" s="181"/>
      <c r="N59" s="181"/>
      <c r="O59" s="181"/>
      <c r="P59" s="181"/>
      <c r="Q59" s="181"/>
      <c r="R59" s="181"/>
      <c r="S59" s="181"/>
      <c r="T59" s="181"/>
      <c r="U59" s="181"/>
      <c r="V59" s="181"/>
    </row>
    <row r="60" spans="1:22" s="2" customFormat="1" ht="17" collapsed="1">
      <c r="A60" s="6"/>
      <c r="B60" s="174">
        <v>19</v>
      </c>
      <c r="C60" s="175"/>
      <c r="D60" s="261" t="str">
        <f>VLOOKUP(B60,$C$71:$E$90,2,0)</f>
        <v>ID-X19</v>
      </c>
      <c r="E60" s="211" t="str" cm="1">
        <f t="array" ref="E60:I60">(_xlfn.XLOOKUP($D60,'B-1. THKL THEO ID'!$B:$B,('B-1. THKL THEO ID'!C:G),"N/A",0))</f>
        <v>CBS</v>
      </c>
      <c r="F60" s="211" t="str">
        <v>BOQ-067</v>
      </c>
      <c r="G60" s="211">
        <v>0</v>
      </c>
      <c r="H60" s="183" t="str">
        <v>Quan trắc môi trường</v>
      </c>
      <c r="I60" s="208" t="str">
        <v>Lot</v>
      </c>
      <c r="J60" s="174"/>
      <c r="K60" s="174"/>
      <c r="L60" s="174"/>
      <c r="M60" s="176"/>
      <c r="N60" s="174"/>
      <c r="O60" s="177"/>
      <c r="P60" s="177"/>
      <c r="Q60" s="177"/>
      <c r="R60" s="178">
        <f>SUBTOTAL(9,R61:R62)</f>
        <v>0</v>
      </c>
      <c r="S60" s="177"/>
      <c r="T60" s="177"/>
      <c r="U60" s="209">
        <f>SUBTOTAL(9,U61:U62)</f>
        <v>0</v>
      </c>
      <c r="V60" s="177"/>
    </row>
    <row r="61" spans="1:22" s="2" customFormat="1" ht="16" hidden="1" outlineLevel="1">
      <c r="A61" s="6"/>
      <c r="B61" s="179"/>
      <c r="C61" s="180"/>
      <c r="D61" s="239"/>
      <c r="E61" s="213"/>
      <c r="F61" s="212"/>
      <c r="G61" s="212"/>
      <c r="H61" s="184"/>
      <c r="I61" s="179"/>
      <c r="J61" s="179"/>
      <c r="K61" s="179"/>
      <c r="L61" s="179"/>
      <c r="M61" s="179"/>
      <c r="N61" s="179"/>
      <c r="O61" s="179"/>
      <c r="P61" s="179"/>
      <c r="Q61" s="179"/>
      <c r="R61" s="262"/>
      <c r="S61" s="179"/>
      <c r="T61" s="179"/>
      <c r="U61" s="179"/>
      <c r="V61" s="179"/>
    </row>
    <row r="62" spans="1:22" s="2" customFormat="1" ht="16" hidden="1" outlineLevel="1">
      <c r="A62" s="6"/>
      <c r="B62" s="181"/>
      <c r="C62" s="182"/>
      <c r="D62" s="181"/>
      <c r="E62" s="215"/>
      <c r="F62" s="214"/>
      <c r="G62" s="214"/>
      <c r="H62" s="185"/>
      <c r="I62" s="181"/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181"/>
      <c r="V62" s="181"/>
    </row>
    <row r="63" spans="1:22" s="2" customFormat="1" ht="17" collapsed="1">
      <c r="A63" s="6"/>
      <c r="B63" s="174">
        <v>20</v>
      </c>
      <c r="C63" s="175"/>
      <c r="D63" s="261" t="str">
        <f>VLOOKUP(B63,$C$71:$E$90,2,0)</f>
        <v>ID-X20</v>
      </c>
      <c r="E63" s="211" t="str" cm="1">
        <f t="array" ref="E63:I63">(_xlfn.XLOOKUP($D63,'B-1. THKL THEO ID'!$B:$B,('B-1. THKL THEO ID'!C:G),"N/A",0))</f>
        <v>CBS</v>
      </c>
      <c r="F63" s="211" t="str">
        <v>BOQ-068</v>
      </c>
      <c r="G63" s="211">
        <v>0</v>
      </c>
      <c r="H63" s="183" t="str">
        <v>Quan trắc mực nước ngầm</v>
      </c>
      <c r="I63" s="208" t="str">
        <v>Lot</v>
      </c>
      <c r="J63" s="174"/>
      <c r="K63" s="174"/>
      <c r="L63" s="174"/>
      <c r="M63" s="176"/>
      <c r="N63" s="174"/>
      <c r="O63" s="177"/>
      <c r="P63" s="177"/>
      <c r="Q63" s="177"/>
      <c r="R63" s="178">
        <f>SUBTOTAL(9,R64:R65)</f>
        <v>0</v>
      </c>
      <c r="S63" s="177"/>
      <c r="T63" s="177"/>
      <c r="U63" s="209">
        <f>SUBTOTAL(9,U64:U65)</f>
        <v>0</v>
      </c>
      <c r="V63" s="177"/>
    </row>
    <row r="64" spans="1:22" s="2" customFormat="1" ht="16" hidden="1" outlineLevel="1">
      <c r="A64" s="6"/>
      <c r="B64" s="179"/>
      <c r="C64" s="180"/>
      <c r="D64" s="239"/>
      <c r="E64" s="213"/>
      <c r="F64" s="212"/>
      <c r="G64" s="212"/>
      <c r="H64" s="184"/>
      <c r="I64" s="179"/>
      <c r="J64" s="179"/>
      <c r="K64" s="179"/>
      <c r="L64" s="179"/>
      <c r="M64" s="179"/>
      <c r="N64" s="179"/>
      <c r="O64" s="179"/>
      <c r="P64" s="179"/>
      <c r="Q64" s="179"/>
      <c r="R64" s="262"/>
      <c r="S64" s="179"/>
      <c r="T64" s="179"/>
      <c r="U64" s="179"/>
      <c r="V64" s="179"/>
    </row>
    <row r="65" spans="1:22" s="2" customFormat="1" ht="16" hidden="1" outlineLevel="1">
      <c r="A65" s="6"/>
      <c r="B65" s="181"/>
      <c r="C65" s="182"/>
      <c r="D65" s="181"/>
      <c r="E65" s="215"/>
      <c r="F65" s="214"/>
      <c r="G65" s="214"/>
      <c r="H65" s="185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</row>
    <row r="66" spans="1:22" ht="20" customHeight="1">
      <c r="A66" s="2"/>
      <c r="B66" s="50"/>
      <c r="C66" s="51"/>
      <c r="D66" s="52"/>
      <c r="E66" s="53"/>
      <c r="F66" s="52"/>
      <c r="G66" s="52"/>
      <c r="H66" s="340"/>
      <c r="I66" s="52"/>
      <c r="J66" s="52"/>
      <c r="K66" s="52"/>
      <c r="L66" s="52"/>
      <c r="M66" s="52"/>
      <c r="N66" s="52"/>
      <c r="O66" s="52"/>
      <c r="P66" s="52"/>
      <c r="Q66" s="52"/>
      <c r="R66" s="55"/>
      <c r="S66" s="52"/>
      <c r="T66" s="52"/>
      <c r="U66" s="52"/>
      <c r="V66" s="52"/>
    </row>
    <row r="67" spans="1:22" ht="20" customHeight="1">
      <c r="A67" s="2"/>
      <c r="B67" s="27" t="s">
        <v>20</v>
      </c>
      <c r="C67" s="28">
        <v>3</v>
      </c>
      <c r="D67" s="27"/>
      <c r="E67" s="29"/>
      <c r="F67" s="27"/>
      <c r="G67" s="27"/>
      <c r="H67" s="341" t="s">
        <v>29</v>
      </c>
      <c r="I67" s="31"/>
      <c r="J67" s="31"/>
      <c r="K67" s="31"/>
      <c r="L67" s="31"/>
      <c r="M67" s="31"/>
      <c r="N67" s="31"/>
      <c r="O67" s="31"/>
      <c r="P67" s="31"/>
      <c r="Q67" s="31"/>
      <c r="R67" s="32">
        <f>SUBTOTAL(9,R6:R66)</f>
        <v>0</v>
      </c>
      <c r="S67" s="31"/>
      <c r="T67" s="31"/>
      <c r="U67" s="31"/>
      <c r="V67" s="31"/>
    </row>
    <row r="68" spans="1:22" s="2" customFormat="1" ht="20" customHeight="1">
      <c r="E68" s="7"/>
      <c r="H68" s="342"/>
    </row>
    <row r="71" spans="1:22" ht="20" customHeight="1">
      <c r="C71">
        <v>1</v>
      </c>
      <c r="D71" s="239" t="s">
        <v>589</v>
      </c>
    </row>
    <row r="72" spans="1:22" ht="20" customHeight="1">
      <c r="C72">
        <f>1+C71</f>
        <v>2</v>
      </c>
      <c r="D72" s="239" t="s">
        <v>590</v>
      </c>
    </row>
    <row r="73" spans="1:22" ht="20" customHeight="1">
      <c r="C73">
        <f t="shared" ref="C73:C90" si="0">1+C72</f>
        <v>3</v>
      </c>
      <c r="D73" s="239" t="s">
        <v>591</v>
      </c>
    </row>
    <row r="74" spans="1:22" ht="20" customHeight="1">
      <c r="C74">
        <f t="shared" si="0"/>
        <v>4</v>
      </c>
      <c r="D74" s="239" t="s">
        <v>592</v>
      </c>
    </row>
    <row r="75" spans="1:22" ht="20" customHeight="1">
      <c r="C75">
        <f t="shared" si="0"/>
        <v>5</v>
      </c>
      <c r="D75" s="239" t="s">
        <v>427</v>
      </c>
    </row>
    <row r="76" spans="1:22" ht="20" customHeight="1">
      <c r="C76">
        <f t="shared" si="0"/>
        <v>6</v>
      </c>
      <c r="D76" s="239" t="s">
        <v>386</v>
      </c>
    </row>
    <row r="77" spans="1:22" ht="20" customHeight="1">
      <c r="C77">
        <f t="shared" si="0"/>
        <v>7</v>
      </c>
      <c r="D77" s="239" t="s">
        <v>376</v>
      </c>
    </row>
    <row r="78" spans="1:22" ht="20" customHeight="1">
      <c r="C78">
        <f t="shared" si="0"/>
        <v>8</v>
      </c>
      <c r="D78" s="239" t="s">
        <v>593</v>
      </c>
    </row>
    <row r="79" spans="1:22" ht="20" customHeight="1">
      <c r="C79">
        <f t="shared" si="0"/>
        <v>9</v>
      </c>
      <c r="D79" s="239" t="s">
        <v>594</v>
      </c>
    </row>
    <row r="80" spans="1:22" ht="20" customHeight="1">
      <c r="C80">
        <f t="shared" si="0"/>
        <v>10</v>
      </c>
      <c r="D80" s="239" t="s">
        <v>595</v>
      </c>
    </row>
    <row r="81" spans="3:4" ht="20" customHeight="1">
      <c r="C81">
        <f t="shared" si="0"/>
        <v>11</v>
      </c>
      <c r="D81" s="239" t="s">
        <v>596</v>
      </c>
    </row>
    <row r="82" spans="3:4" ht="20" customHeight="1">
      <c r="C82">
        <f t="shared" si="0"/>
        <v>12</v>
      </c>
      <c r="D82" s="239" t="s">
        <v>597</v>
      </c>
    </row>
    <row r="83" spans="3:4" ht="20" customHeight="1">
      <c r="C83">
        <f t="shared" si="0"/>
        <v>13</v>
      </c>
      <c r="D83" s="239" t="s">
        <v>598</v>
      </c>
    </row>
    <row r="84" spans="3:4" ht="20" customHeight="1">
      <c r="C84">
        <f t="shared" si="0"/>
        <v>14</v>
      </c>
      <c r="D84" s="239" t="s">
        <v>599</v>
      </c>
    </row>
    <row r="85" spans="3:4" ht="20" customHeight="1">
      <c r="C85">
        <f t="shared" si="0"/>
        <v>15</v>
      </c>
      <c r="D85" s="239" t="s">
        <v>600</v>
      </c>
    </row>
    <row r="86" spans="3:4" ht="20" customHeight="1">
      <c r="C86">
        <f t="shared" si="0"/>
        <v>16</v>
      </c>
      <c r="D86" s="239" t="s">
        <v>601</v>
      </c>
    </row>
    <row r="87" spans="3:4" ht="20" customHeight="1">
      <c r="C87">
        <f t="shared" si="0"/>
        <v>17</v>
      </c>
      <c r="D87" s="239" t="s">
        <v>602</v>
      </c>
    </row>
    <row r="88" spans="3:4" ht="20" customHeight="1">
      <c r="C88">
        <f t="shared" si="0"/>
        <v>18</v>
      </c>
      <c r="D88" s="239" t="s">
        <v>603</v>
      </c>
    </row>
    <row r="89" spans="3:4" ht="20" customHeight="1">
      <c r="C89">
        <f t="shared" si="0"/>
        <v>19</v>
      </c>
      <c r="D89" s="239" t="s">
        <v>604</v>
      </c>
    </row>
    <row r="90" spans="3:4" ht="20" customHeight="1">
      <c r="C90">
        <f t="shared" si="0"/>
        <v>20</v>
      </c>
      <c r="D90" t="s">
        <v>605</v>
      </c>
    </row>
  </sheetData>
  <autoFilter ref="B5:V66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68">
    <cfRule type="cellIs" dxfId="27" priority="37" operator="lessThan">
      <formula>0</formula>
    </cfRule>
  </conditionalFormatting>
  <conditionalFormatting sqref="U6">
    <cfRule type="cellIs" dxfId="26" priority="31" operator="lessThan">
      <formula>0</formula>
    </cfRule>
  </conditionalFormatting>
  <conditionalFormatting sqref="U9">
    <cfRule type="cellIs" dxfId="25" priority="30" operator="lessThan">
      <formula>0</formula>
    </cfRule>
  </conditionalFormatting>
  <conditionalFormatting sqref="U12">
    <cfRule type="cellIs" dxfId="24" priority="29" operator="lessThan">
      <formula>0</formula>
    </cfRule>
  </conditionalFormatting>
  <conditionalFormatting sqref="U15">
    <cfRule type="cellIs" dxfId="23" priority="17" operator="lessThan">
      <formula>0</formula>
    </cfRule>
  </conditionalFormatting>
  <conditionalFormatting sqref="U18">
    <cfRule type="cellIs" dxfId="22" priority="16" operator="lessThan">
      <formula>0</formula>
    </cfRule>
  </conditionalFormatting>
  <conditionalFormatting sqref="U21">
    <cfRule type="cellIs" dxfId="21" priority="15" operator="lessThan">
      <formula>0</formula>
    </cfRule>
  </conditionalFormatting>
  <conditionalFormatting sqref="U24">
    <cfRule type="cellIs" dxfId="20" priority="14" operator="lessThan">
      <formula>0</formula>
    </cfRule>
  </conditionalFormatting>
  <conditionalFormatting sqref="U27">
    <cfRule type="cellIs" dxfId="19" priority="13" operator="lessThan">
      <formula>0</formula>
    </cfRule>
  </conditionalFormatting>
  <conditionalFormatting sqref="U30">
    <cfRule type="cellIs" dxfId="18" priority="12" operator="lessThan">
      <formula>0</formula>
    </cfRule>
  </conditionalFormatting>
  <conditionalFormatting sqref="U33">
    <cfRule type="cellIs" dxfId="17" priority="11" operator="lessThan">
      <formula>0</formula>
    </cfRule>
  </conditionalFormatting>
  <conditionalFormatting sqref="U36">
    <cfRule type="cellIs" dxfId="16" priority="10" operator="lessThan">
      <formula>0</formula>
    </cfRule>
  </conditionalFormatting>
  <conditionalFormatting sqref="U39">
    <cfRule type="cellIs" dxfId="15" priority="9" operator="lessThan">
      <formula>0</formula>
    </cfRule>
  </conditionalFormatting>
  <conditionalFormatting sqref="U42">
    <cfRule type="cellIs" dxfId="14" priority="8" operator="lessThan">
      <formula>0</formula>
    </cfRule>
  </conditionalFormatting>
  <conditionalFormatting sqref="U45">
    <cfRule type="cellIs" dxfId="13" priority="7" operator="lessThan">
      <formula>0</formula>
    </cfRule>
  </conditionalFormatting>
  <conditionalFormatting sqref="U48">
    <cfRule type="cellIs" dxfId="12" priority="6" operator="lessThan">
      <formula>0</formula>
    </cfRule>
  </conditionalFormatting>
  <conditionalFormatting sqref="U51">
    <cfRule type="cellIs" dxfId="11" priority="5" operator="lessThan">
      <formula>0</formula>
    </cfRule>
  </conditionalFormatting>
  <conditionalFormatting sqref="U54">
    <cfRule type="cellIs" dxfId="10" priority="4" operator="lessThan">
      <formula>0</formula>
    </cfRule>
  </conditionalFormatting>
  <conditionalFormatting sqref="U57">
    <cfRule type="cellIs" dxfId="9" priority="3" operator="lessThan">
      <formula>0</formula>
    </cfRule>
  </conditionalFormatting>
  <conditionalFormatting sqref="U60">
    <cfRule type="cellIs" dxfId="8" priority="2" operator="lessThan">
      <formula>0</formula>
    </cfRule>
  </conditionalFormatting>
  <conditionalFormatting sqref="U63">
    <cfRule type="cellIs" dxfId="7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913FD-7F15-45DB-858E-3A2B94994DFA}">
  <sheetPr codeName="Sheet37">
    <tabColor rgb="FF7030A0"/>
    <outlinePr summaryBelow="0" summaryRight="0"/>
    <pageSetUpPr fitToPage="1"/>
  </sheetPr>
  <dimension ref="A1:V47"/>
  <sheetViews>
    <sheetView showZeros="0" view="pageBreakPreview" zoomScaleNormal="100" zoomScaleSheetLayoutView="100" workbookViewId="0">
      <pane ySplit="5" topLeftCell="A6" activePane="bottomLeft" state="frozen"/>
      <selection activeCell="K51" sqref="K51"/>
      <selection pane="bottomLeft" activeCell="K51" sqref="K51"/>
    </sheetView>
  </sheetViews>
  <sheetFormatPr baseColWidth="10" defaultColWidth="9.1640625" defaultRowHeight="20" customHeight="1" outlineLevelRow="1" outlineLevelCol="1"/>
  <cols>
    <col min="1" max="1" width="2.83203125" customWidth="1"/>
    <col min="2" max="2" width="4.83203125" customWidth="1"/>
    <col min="3" max="3" width="5.83203125" customWidth="1"/>
    <col min="4" max="4" width="10.33203125" customWidth="1"/>
    <col min="5" max="6" width="8.83203125" customWidth="1" outlineLevel="1"/>
    <col min="7" max="7" width="12" customWidth="1" outlineLevel="1"/>
    <col min="8" max="8" width="34.83203125" customWidth="1"/>
    <col min="9" max="9" width="6.6640625" customWidth="1"/>
    <col min="10" max="10" width="7" customWidth="1"/>
    <col min="11" max="13" width="8.6640625" customWidth="1"/>
    <col min="14" max="14" width="9.83203125" customWidth="1"/>
    <col min="15" max="17" width="5.6640625" customWidth="1"/>
    <col min="18" max="19" width="12.83203125" customWidth="1"/>
    <col min="20" max="20" width="1.6640625" customWidth="1"/>
    <col min="21" max="22" width="12.83203125" customWidth="1"/>
  </cols>
  <sheetData>
    <row r="1" spans="1:22" s="1" customFormat="1" ht="26.25" customHeight="1">
      <c r="B1" s="13" t="e">
        <f>"BẢNG DIẾN GIẢI KHỐI LƯỢNG CẤU KIỆN ĐIỂN HÌNH  - "&amp;UPPER(VLOOKUP($F$3,DM_CKDH!$B$4:$E$54,2,0))&amp;" - Mã CK:"&amp;F3</f>
        <v>#N/A</v>
      </c>
      <c r="C1" s="8"/>
      <c r="D1" s="8"/>
      <c r="E1" s="13"/>
      <c r="F1" s="8"/>
      <c r="G1" s="8"/>
      <c r="H1" s="9"/>
      <c r="J1" s="9"/>
      <c r="K1" s="9"/>
      <c r="L1" s="9"/>
      <c r="M1" s="9"/>
      <c r="N1" s="9"/>
      <c r="O1" s="9"/>
      <c r="P1" s="9"/>
      <c r="Q1" s="9"/>
      <c r="R1" s="9"/>
      <c r="S1" s="9"/>
      <c r="T1" s="10"/>
      <c r="V1" s="9"/>
    </row>
    <row r="2" spans="1:22" s="2" customFormat="1" ht="16">
      <c r="A2" s="6"/>
      <c r="B2" s="4"/>
      <c r="C2" s="4"/>
      <c r="D2" s="4"/>
      <c r="E2" s="1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V2" s="4"/>
    </row>
    <row r="3" spans="1:22" s="3" customFormat="1" ht="20" customHeight="1">
      <c r="A3" s="6"/>
      <c r="B3" s="445" t="s">
        <v>31</v>
      </c>
      <c r="C3" s="447" t="s">
        <v>32</v>
      </c>
      <c r="D3" s="216" t="s">
        <v>26</v>
      </c>
      <c r="E3" s="217" t="s">
        <v>33</v>
      </c>
      <c r="F3" s="281" t="s">
        <v>579</v>
      </c>
      <c r="G3" s="218"/>
      <c r="H3" s="445" t="s">
        <v>34</v>
      </c>
      <c r="I3" s="445" t="s">
        <v>35</v>
      </c>
      <c r="J3" s="447" t="s">
        <v>2</v>
      </c>
      <c r="K3" s="44" t="s">
        <v>36</v>
      </c>
      <c r="L3" s="44"/>
      <c r="M3" s="44"/>
      <c r="N3" s="44"/>
      <c r="O3" s="43" t="s">
        <v>37</v>
      </c>
      <c r="P3" s="43"/>
      <c r="Q3" s="43"/>
      <c r="R3" s="449" t="s">
        <v>38</v>
      </c>
      <c r="S3" s="445" t="s">
        <v>39</v>
      </c>
      <c r="U3" s="57" t="s">
        <v>49</v>
      </c>
      <c r="V3" s="57"/>
    </row>
    <row r="4" spans="1:22" s="3" customFormat="1" ht="20" customHeight="1">
      <c r="A4" s="6"/>
      <c r="B4" s="446"/>
      <c r="C4" s="448"/>
      <c r="D4" s="219" t="s">
        <v>3</v>
      </c>
      <c r="E4" s="219" t="s">
        <v>30</v>
      </c>
      <c r="F4" s="219" t="s">
        <v>52</v>
      </c>
      <c r="G4" s="220" t="s">
        <v>142</v>
      </c>
      <c r="H4" s="446"/>
      <c r="I4" s="446"/>
      <c r="J4" s="448"/>
      <c r="K4" s="45" t="s">
        <v>41</v>
      </c>
      <c r="L4" s="45" t="s">
        <v>10</v>
      </c>
      <c r="M4" s="45" t="s">
        <v>11</v>
      </c>
      <c r="N4" s="46" t="s">
        <v>42</v>
      </c>
      <c r="O4" s="26" t="s">
        <v>43</v>
      </c>
      <c r="P4" s="210" t="s">
        <v>44</v>
      </c>
      <c r="Q4" s="26" t="s">
        <v>45</v>
      </c>
      <c r="R4" s="450"/>
      <c r="S4" s="446"/>
      <c r="U4" s="56" t="s">
        <v>40</v>
      </c>
      <c r="V4" s="56" t="s">
        <v>39</v>
      </c>
    </row>
    <row r="5" spans="1:22" s="2" customFormat="1" ht="20" customHeight="1">
      <c r="A5" s="5"/>
      <c r="B5" s="221" t="str">
        <f>"["&amp;COLUMN()-COUNTBLANK($A$5:A5)&amp;"]"</f>
        <v>[1]</v>
      </c>
      <c r="C5" s="221" t="str">
        <f>"["&amp;COLUMN()-COUNTBLANK($A$5:B5)&amp;"]"</f>
        <v>[2]</v>
      </c>
      <c r="D5" s="221" t="str">
        <f>"["&amp;COLUMN()-COUNTBLANK($A$5:C5)&amp;"]"</f>
        <v>[3]</v>
      </c>
      <c r="E5" s="221" t="str">
        <f>"["&amp;COLUMN()-COUNTBLANK($A$5:D5)&amp;"]"</f>
        <v>[4]</v>
      </c>
      <c r="F5" s="221" t="str">
        <f>"["&amp;COLUMN()-COUNTBLANK($A$5:E5)&amp;"]"</f>
        <v>[5]</v>
      </c>
      <c r="G5" s="221" t="str">
        <f>"["&amp;COLUMN()-COUNTBLANK($A$5:F5)&amp;"]"</f>
        <v>[6]</v>
      </c>
      <c r="H5" s="221" t="str">
        <f>"["&amp;COLUMN()-COUNTBLANK($A$5:G5)&amp;"]"</f>
        <v>[7]</v>
      </c>
      <c r="I5" s="221" t="str">
        <f>"["&amp;COLUMN()-COUNTBLANK($A$5:H5)&amp;"]"</f>
        <v>[8]</v>
      </c>
      <c r="J5" s="221" t="str">
        <f>"["&amp;COLUMN()-COUNTBLANK($A$5:I5)&amp;"]"</f>
        <v>[9]</v>
      </c>
      <c r="K5" s="221" t="str">
        <f>"["&amp;COLUMN()-COUNTBLANK($A$5:J5)&amp;"]"</f>
        <v>[10]</v>
      </c>
      <c r="L5" s="221" t="str">
        <f>"["&amp;COLUMN()-COUNTBLANK($A$5:K5)&amp;"]"</f>
        <v>[11]</v>
      </c>
      <c r="M5" s="221" t="str">
        <f>"["&amp;COLUMN()-COUNTBLANK($A$5:L5)&amp;"]"</f>
        <v>[12]</v>
      </c>
      <c r="N5" s="221" t="str">
        <f>"["&amp;COLUMN()-COUNTBLANK($A$5:K5)&amp;"]"</f>
        <v>[13]</v>
      </c>
      <c r="O5" s="221" t="str">
        <f>"["&amp;COLUMN()-COUNTBLANK($A$5:M5)&amp;"]"</f>
        <v>[14]</v>
      </c>
      <c r="P5" s="221" t="str">
        <f>"["&amp;COLUMN()-COUNTBLANK($A$5:O5)&amp;"]"</f>
        <v>[15]</v>
      </c>
      <c r="Q5" s="221" t="str">
        <f>"["&amp;COLUMN()-COUNTBLANK($A$5:P5)&amp;"]"</f>
        <v>[16]</v>
      </c>
      <c r="R5" s="221" t="str">
        <f>"["&amp;COLUMN()-COUNTBLANK($A$5:Q5)&amp;"]"</f>
        <v>[17]</v>
      </c>
      <c r="S5" s="221" t="str">
        <f>"["&amp;COLUMN()-COUNTBLANK($A$5:R5)&amp;"]"</f>
        <v>[18]</v>
      </c>
      <c r="U5" s="221" t="str">
        <f>"["&amp;COLUMN()-COUNTBLANK($A$5:T5)&amp;"]"</f>
        <v>[19]</v>
      </c>
      <c r="V5" s="221" t="str">
        <f>"["&amp;COLUMN()-COUNTBLANK($A$5:U5)&amp;"]"</f>
        <v>[20]</v>
      </c>
    </row>
    <row r="6" spans="1:22" s="2" customFormat="1" ht="34" collapsed="1">
      <c r="A6" s="6"/>
      <c r="B6" s="174">
        <v>1</v>
      </c>
      <c r="C6" s="175"/>
      <c r="D6" s="261" t="str">
        <f>VLOOKUP(B6,$C$29:$E$46,2,0)</f>
        <v>ID-001</v>
      </c>
      <c r="E6" s="211" cm="1">
        <f t="array" ref="E6:I6">(_xlfn.XLOOKUP($D6,'B-1. THKL THEO ID'!$B:$B,('B-1. THKL THEO ID'!C:G),"N/A",0))</f>
        <v>0</v>
      </c>
      <c r="F6" s="211" t="str">
        <v>BOQ-001</v>
      </c>
      <c r="G6" s="211">
        <v>0</v>
      </c>
      <c r="H6" s="183" t="str">
        <v>Đào đất</v>
      </c>
      <c r="I6" s="208" t="str">
        <v>100m3</v>
      </c>
      <c r="J6" s="174"/>
      <c r="K6" s="174"/>
      <c r="L6" s="174"/>
      <c r="M6" s="176"/>
      <c r="N6" s="174"/>
      <c r="O6" s="177"/>
      <c r="P6" s="177"/>
      <c r="Q6" s="177"/>
      <c r="R6" s="178">
        <f>SUBTOTAL(9,R7:R8)</f>
        <v>0</v>
      </c>
      <c r="S6" s="177"/>
      <c r="T6" s="177"/>
      <c r="U6" s="209">
        <f>SUBTOTAL(9,U7:U8)</f>
        <v>0</v>
      </c>
      <c r="V6" s="177"/>
    </row>
    <row r="7" spans="1:22" s="2" customFormat="1" ht="16" hidden="1" outlineLevel="1">
      <c r="A7" s="6"/>
      <c r="B7" s="179"/>
      <c r="C7" s="180"/>
      <c r="D7" s="239"/>
      <c r="E7" s="213"/>
      <c r="F7" s="212"/>
      <c r="G7" s="212"/>
      <c r="H7" s="184"/>
      <c r="I7" s="179"/>
      <c r="J7" s="179"/>
      <c r="K7" s="179"/>
      <c r="L7" s="179"/>
      <c r="M7" s="179"/>
      <c r="N7" s="179"/>
      <c r="O7" s="179"/>
      <c r="P7" s="179"/>
      <c r="Q7" s="179"/>
      <c r="R7" s="262"/>
      <c r="S7" s="179"/>
      <c r="T7" s="179"/>
      <c r="U7" s="179"/>
      <c r="V7" s="179"/>
    </row>
    <row r="8" spans="1:22" s="2" customFormat="1" ht="16" hidden="1" outlineLevel="1">
      <c r="A8" s="6"/>
      <c r="B8" s="181"/>
      <c r="C8" s="182"/>
      <c r="D8" s="181"/>
      <c r="E8" s="215"/>
      <c r="F8" s="214"/>
      <c r="G8" s="214"/>
      <c r="H8" s="185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</row>
    <row r="9" spans="1:22" s="2" customFormat="1" ht="17" collapsed="1">
      <c r="A9" s="6"/>
      <c r="B9" s="174">
        <v>2</v>
      </c>
      <c r="C9" s="175"/>
      <c r="D9" s="261" t="str">
        <f>VLOOKUP(B9,$C$29:$E$46,2,0)</f>
        <v>ID-001A</v>
      </c>
      <c r="E9" s="211" t="str" cm="1">
        <f t="array" ref="E9:I9">(_xlfn.XLOOKUP($D9,'B-1. THKL THEO ID'!$B:$B,('B-1. THKL THEO ID'!C:G),"N/A",0))</f>
        <v>CBS</v>
      </c>
      <c r="F9" s="211">
        <v>0</v>
      </c>
      <c r="G9" s="211">
        <v>0</v>
      </c>
      <c r="H9" s="183" t="str">
        <v>Đào đất ( m3)</v>
      </c>
      <c r="I9" s="208" t="str">
        <v>m3</v>
      </c>
      <c r="J9" s="174"/>
      <c r="K9" s="174"/>
      <c r="L9" s="174"/>
      <c r="M9" s="176"/>
      <c r="N9" s="174"/>
      <c r="O9" s="177"/>
      <c r="P9" s="177"/>
      <c r="Q9" s="177"/>
      <c r="R9" s="178">
        <f>SUBTOTAL(9,R10:R11)</f>
        <v>0</v>
      </c>
      <c r="S9" s="177"/>
      <c r="T9" s="177"/>
      <c r="U9" s="209">
        <f>SUBTOTAL(9,U10:U11)</f>
        <v>0</v>
      </c>
      <c r="V9" s="177"/>
    </row>
    <row r="10" spans="1:22" s="2" customFormat="1" ht="16" hidden="1" outlineLevel="1">
      <c r="A10" s="6"/>
      <c r="B10" s="179"/>
      <c r="C10" s="180"/>
      <c r="D10" s="239"/>
      <c r="E10" s="213"/>
      <c r="F10" s="212"/>
      <c r="G10" s="212"/>
      <c r="H10" s="184"/>
      <c r="I10" s="179"/>
      <c r="J10" s="179"/>
      <c r="K10" s="179"/>
      <c r="L10" s="179"/>
      <c r="M10" s="179"/>
      <c r="N10" s="179"/>
      <c r="O10" s="179"/>
      <c r="P10" s="179"/>
      <c r="Q10" s="179"/>
      <c r="R10" s="262"/>
      <c r="S10" s="179"/>
      <c r="T10" s="179"/>
      <c r="U10" s="179"/>
      <c r="V10" s="179"/>
    </row>
    <row r="11" spans="1:22" s="2" customFormat="1" ht="16" hidden="1" outlineLevel="1">
      <c r="A11" s="6"/>
      <c r="B11" s="181"/>
      <c r="C11" s="182"/>
      <c r="D11" s="181"/>
      <c r="E11" s="215"/>
      <c r="F11" s="214"/>
      <c r="G11" s="214"/>
      <c r="H11" s="185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</row>
    <row r="12" spans="1:22" s="2" customFormat="1" ht="34" collapsed="1">
      <c r="A12" s="6"/>
      <c r="B12" s="174">
        <v>3</v>
      </c>
      <c r="C12" s="175"/>
      <c r="D12" s="261" t="str">
        <f>VLOOKUP(B12,$C$29:$E$46,2,0)</f>
        <v>ID-002</v>
      </c>
      <c r="E12" s="211" cm="1">
        <f t="array" ref="E12:I12">(_xlfn.XLOOKUP($D12,'B-1. THKL THEO ID'!$B:$B,('B-1. THKL THEO ID'!C:G),"N/A",0))</f>
        <v>0</v>
      </c>
      <c r="F12" s="211" t="str">
        <v>BOQ-002</v>
      </c>
      <c r="G12" s="211">
        <v>0</v>
      </c>
      <c r="H12" s="183" t="str">
        <v>Đắp đất</v>
      </c>
      <c r="I12" s="208" t="str">
        <v>100m3</v>
      </c>
      <c r="J12" s="174"/>
      <c r="K12" s="174"/>
      <c r="L12" s="174"/>
      <c r="M12" s="176"/>
      <c r="N12" s="174"/>
      <c r="O12" s="177"/>
      <c r="P12" s="177"/>
      <c r="Q12" s="177"/>
      <c r="R12" s="178">
        <f>SUBTOTAL(9,R13:R14)</f>
        <v>0</v>
      </c>
      <c r="S12" s="177"/>
      <c r="T12" s="177"/>
      <c r="U12" s="209">
        <f>SUBTOTAL(9,U13:U14)</f>
        <v>0</v>
      </c>
      <c r="V12" s="177"/>
    </row>
    <row r="13" spans="1:22" s="2" customFormat="1" ht="16" hidden="1" outlineLevel="1">
      <c r="A13" s="6"/>
      <c r="B13" s="179"/>
      <c r="C13" s="180"/>
      <c r="D13" s="239"/>
      <c r="E13" s="213"/>
      <c r="F13" s="212"/>
      <c r="G13" s="212"/>
      <c r="H13" s="184"/>
      <c r="I13" s="179"/>
      <c r="J13" s="179"/>
      <c r="K13" s="179"/>
      <c r="L13" s="179"/>
      <c r="M13" s="179"/>
      <c r="N13" s="179"/>
      <c r="O13" s="179"/>
      <c r="P13" s="179"/>
      <c r="Q13" s="179"/>
      <c r="R13" s="262"/>
      <c r="S13" s="179"/>
      <c r="T13" s="179"/>
      <c r="U13" s="179"/>
      <c r="V13" s="179"/>
    </row>
    <row r="14" spans="1:22" s="2" customFormat="1" ht="16" hidden="1" outlineLevel="1">
      <c r="A14" s="6"/>
      <c r="B14" s="181"/>
      <c r="C14" s="182"/>
      <c r="D14" s="181"/>
      <c r="E14" s="215"/>
      <c r="F14" s="214"/>
      <c r="G14" s="214"/>
      <c r="H14" s="185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</row>
    <row r="15" spans="1:22" s="2" customFormat="1" ht="17" collapsed="1">
      <c r="A15" s="6"/>
      <c r="B15" s="174">
        <v>4</v>
      </c>
      <c r="C15" s="175"/>
      <c r="D15" s="261" t="str">
        <f>VLOOKUP(B15,$C$29:$E$46,2,0)</f>
        <v>ID-002A</v>
      </c>
      <c r="E15" s="211" t="str" cm="1">
        <f t="array" ref="E15:I15">(_xlfn.XLOOKUP($D15,'B-1. THKL THEO ID'!$B:$B,('B-1. THKL THEO ID'!C:G),"N/A",0))</f>
        <v>CBS</v>
      </c>
      <c r="F15" s="211">
        <v>0</v>
      </c>
      <c r="G15" s="211">
        <v>0</v>
      </c>
      <c r="H15" s="183" t="str">
        <v>Đắp đất ( m3)</v>
      </c>
      <c r="I15" s="208" t="str">
        <v>m3</v>
      </c>
      <c r="J15" s="174"/>
      <c r="K15" s="174"/>
      <c r="L15" s="174"/>
      <c r="M15" s="176"/>
      <c r="N15" s="174"/>
      <c r="O15" s="177"/>
      <c r="P15" s="177"/>
      <c r="Q15" s="177"/>
      <c r="R15" s="178">
        <f>SUBTOTAL(9,R16:R17)</f>
        <v>0</v>
      </c>
      <c r="S15" s="177"/>
      <c r="T15" s="177"/>
      <c r="U15" s="209">
        <f>SUBTOTAL(9,U16:U17)</f>
        <v>0</v>
      </c>
      <c r="V15" s="177"/>
    </row>
    <row r="16" spans="1:22" s="2" customFormat="1" ht="16" hidden="1" outlineLevel="1">
      <c r="A16" s="6"/>
      <c r="B16" s="179"/>
      <c r="C16" s="180"/>
      <c r="D16" s="239"/>
      <c r="E16" s="213"/>
      <c r="F16" s="212"/>
      <c r="G16" s="212"/>
      <c r="H16" s="184"/>
      <c r="I16" s="179"/>
      <c r="J16" s="179"/>
      <c r="K16" s="179"/>
      <c r="L16" s="179"/>
      <c r="M16" s="179"/>
      <c r="N16" s="179"/>
      <c r="O16" s="179"/>
      <c r="P16" s="179"/>
      <c r="Q16" s="179"/>
      <c r="R16" s="262"/>
      <c r="S16" s="179"/>
      <c r="T16" s="179"/>
      <c r="U16" s="179"/>
      <c r="V16" s="179"/>
    </row>
    <row r="17" spans="1:22" s="2" customFormat="1" ht="16" hidden="1" outlineLevel="1">
      <c r="A17" s="6"/>
      <c r="B17" s="181"/>
      <c r="C17" s="182"/>
      <c r="D17" s="181"/>
      <c r="E17" s="215"/>
      <c r="F17" s="214"/>
      <c r="G17" s="214"/>
      <c r="H17" s="185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</row>
    <row r="18" spans="1:22" s="2" customFormat="1" ht="34" collapsed="1">
      <c r="A18" s="6"/>
      <c r="B18" s="174">
        <v>5</v>
      </c>
      <c r="C18" s="175"/>
      <c r="D18" s="261" t="str">
        <f>VLOOKUP(B18,$C$29:$E$46,2,0)</f>
        <v>ID-003</v>
      </c>
      <c r="E18" s="211" cm="1">
        <f t="array" ref="E18:I18">(_xlfn.XLOOKUP($D18,'B-1. THKL THEO ID'!$B:$B,('B-1. THKL THEO ID'!C:G),"N/A",0))</f>
        <v>0</v>
      </c>
      <c r="F18" s="211" t="str">
        <v>BOQ-003</v>
      </c>
      <c r="G18" s="211">
        <v>0</v>
      </c>
      <c r="H18" s="183" t="str">
        <v>Vận chuyển đất đổ đi</v>
      </c>
      <c r="I18" s="208" t="str">
        <v>100m3</v>
      </c>
      <c r="J18" s="174"/>
      <c r="K18" s="174"/>
      <c r="L18" s="174"/>
      <c r="M18" s="176"/>
      <c r="N18" s="174"/>
      <c r="O18" s="177"/>
      <c r="P18" s="177"/>
      <c r="Q18" s="177"/>
      <c r="R18" s="178">
        <f>SUBTOTAL(9,R19:R20)</f>
        <v>0</v>
      </c>
      <c r="S18" s="177"/>
      <c r="T18" s="177"/>
      <c r="U18" s="209">
        <f>SUBTOTAL(9,U19:U20)</f>
        <v>0</v>
      </c>
      <c r="V18" s="177"/>
    </row>
    <row r="19" spans="1:22" s="2" customFormat="1" ht="16" hidden="1" outlineLevel="1">
      <c r="A19" s="6"/>
      <c r="B19" s="179"/>
      <c r="C19" s="180"/>
      <c r="D19" s="239"/>
      <c r="E19" s="213"/>
      <c r="F19" s="212"/>
      <c r="G19" s="212"/>
      <c r="H19" s="184"/>
      <c r="I19" s="179"/>
      <c r="J19" s="179"/>
      <c r="K19" s="179"/>
      <c r="L19" s="179"/>
      <c r="M19" s="179"/>
      <c r="N19" s="179"/>
      <c r="O19" s="179"/>
      <c r="P19" s="179"/>
      <c r="Q19" s="179"/>
      <c r="R19" s="262"/>
      <c r="S19" s="179"/>
      <c r="T19" s="179"/>
      <c r="U19" s="179"/>
      <c r="V19" s="179"/>
    </row>
    <row r="20" spans="1:22" s="2" customFormat="1" ht="16" hidden="1" outlineLevel="1">
      <c r="A20" s="6"/>
      <c r="B20" s="181"/>
      <c r="C20" s="182"/>
      <c r="D20" s="181"/>
      <c r="E20" s="215"/>
      <c r="F20" s="214"/>
      <c r="G20" s="214"/>
      <c r="H20" s="185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</row>
    <row r="21" spans="1:22" s="2" customFormat="1" ht="17" collapsed="1">
      <c r="A21" s="6"/>
      <c r="B21" s="174">
        <v>6</v>
      </c>
      <c r="C21" s="175"/>
      <c r="D21" s="261" t="str">
        <f>VLOOKUP(B21,$C$29:$E$46,2,0)</f>
        <v>ID-003A</v>
      </c>
      <c r="E21" s="211" t="str" cm="1">
        <f t="array" ref="E21:I21">(_xlfn.XLOOKUP($D21,'B-1. THKL THEO ID'!$B:$B,('B-1. THKL THEO ID'!C:G),"N/A",0))</f>
        <v>CBS</v>
      </c>
      <c r="F21" s="211">
        <v>0</v>
      </c>
      <c r="G21" s="211">
        <v>0</v>
      </c>
      <c r="H21" s="183" t="str">
        <v>Vận chuyển đất đổ đi ( m3)</v>
      </c>
      <c r="I21" s="208" t="str">
        <v>m3</v>
      </c>
      <c r="J21" s="174"/>
      <c r="K21" s="174"/>
      <c r="L21" s="174"/>
      <c r="M21" s="176"/>
      <c r="N21" s="174"/>
      <c r="O21" s="177"/>
      <c r="P21" s="177"/>
      <c r="Q21" s="177"/>
      <c r="R21" s="178">
        <f>SUBTOTAL(9,R22:R23)</f>
        <v>0</v>
      </c>
      <c r="S21" s="177"/>
      <c r="T21" s="177"/>
      <c r="U21" s="209">
        <f>SUBTOTAL(9,U22:U23)</f>
        <v>0</v>
      </c>
      <c r="V21" s="177"/>
    </row>
    <row r="22" spans="1:22" s="2" customFormat="1" ht="16" hidden="1" outlineLevel="1">
      <c r="A22" s="6"/>
      <c r="B22" s="179"/>
      <c r="C22" s="180"/>
      <c r="D22" s="239"/>
      <c r="E22" s="213"/>
      <c r="F22" s="212"/>
      <c r="G22" s="212"/>
      <c r="H22" s="184"/>
      <c r="I22" s="179"/>
      <c r="J22" s="179"/>
      <c r="K22" s="179"/>
      <c r="L22" s="179"/>
      <c r="M22" s="179"/>
      <c r="N22" s="179"/>
      <c r="O22" s="179"/>
      <c r="P22" s="179"/>
      <c r="Q22" s="179"/>
      <c r="R22" s="262"/>
      <c r="S22" s="179"/>
      <c r="T22" s="179"/>
      <c r="U22" s="179"/>
      <c r="V22" s="179"/>
    </row>
    <row r="23" spans="1:22" s="2" customFormat="1" ht="16" hidden="1" outlineLevel="1">
      <c r="A23" s="6"/>
      <c r="B23" s="181"/>
      <c r="C23" s="182"/>
      <c r="D23" s="181"/>
      <c r="E23" s="215"/>
      <c r="F23" s="214"/>
      <c r="G23" s="214"/>
      <c r="H23" s="185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</row>
    <row r="24" spans="1:22" ht="20" customHeight="1">
      <c r="A24" s="2"/>
      <c r="B24" s="50"/>
      <c r="C24" s="51"/>
      <c r="D24" s="52"/>
      <c r="E24" s="53"/>
      <c r="F24" s="52"/>
      <c r="G24" s="52"/>
      <c r="H24" s="54"/>
      <c r="I24" s="52"/>
      <c r="J24" s="52"/>
      <c r="K24" s="52"/>
      <c r="L24" s="52"/>
      <c r="M24" s="52"/>
      <c r="N24" s="52"/>
      <c r="O24" s="52"/>
      <c r="P24" s="52"/>
      <c r="Q24" s="52"/>
      <c r="R24" s="55"/>
      <c r="S24" s="52"/>
      <c r="T24" s="52"/>
      <c r="U24" s="52"/>
      <c r="V24" s="52"/>
    </row>
    <row r="25" spans="1:22" ht="20" customHeight="1">
      <c r="A25" s="2"/>
      <c r="B25" s="27" t="s">
        <v>20</v>
      </c>
      <c r="C25" s="28">
        <v>3</v>
      </c>
      <c r="D25" s="27"/>
      <c r="E25" s="29"/>
      <c r="F25" s="27"/>
      <c r="G25" s="27"/>
      <c r="H25" s="30" t="s">
        <v>29</v>
      </c>
      <c r="I25" s="31"/>
      <c r="J25" s="31"/>
      <c r="K25" s="31"/>
      <c r="L25" s="31"/>
      <c r="M25" s="31"/>
      <c r="N25" s="31"/>
      <c r="O25" s="31"/>
      <c r="P25" s="31"/>
      <c r="Q25" s="31"/>
      <c r="R25" s="32">
        <f>SUBTOTAL(9,R6:R24)</f>
        <v>0</v>
      </c>
      <c r="S25" s="31"/>
      <c r="T25" s="31"/>
      <c r="U25" s="31"/>
      <c r="V25" s="31"/>
    </row>
    <row r="26" spans="1:22" s="2" customFormat="1" ht="20" customHeight="1">
      <c r="E26" s="7"/>
    </row>
    <row r="29" spans="1:22" ht="20" customHeight="1">
      <c r="C29">
        <v>1</v>
      </c>
      <c r="D29" s="239" t="s">
        <v>353</v>
      </c>
    </row>
    <row r="30" spans="1:22" ht="20" customHeight="1">
      <c r="C30">
        <f>1+C29</f>
        <v>2</v>
      </c>
      <c r="D30" s="239" t="s">
        <v>581</v>
      </c>
    </row>
    <row r="31" spans="1:22" ht="20" customHeight="1">
      <c r="C31">
        <f t="shared" ref="C31:C47" si="0">1+C30</f>
        <v>3</v>
      </c>
      <c r="D31" s="239" t="s">
        <v>354</v>
      </c>
    </row>
    <row r="32" spans="1:22" ht="20" customHeight="1">
      <c r="C32">
        <f t="shared" si="0"/>
        <v>4</v>
      </c>
      <c r="D32" s="239" t="s">
        <v>582</v>
      </c>
    </row>
    <row r="33" spans="3:4" ht="20" customHeight="1">
      <c r="C33">
        <f t="shared" si="0"/>
        <v>5</v>
      </c>
      <c r="D33" s="239" t="s">
        <v>355</v>
      </c>
    </row>
    <row r="34" spans="3:4" ht="20" customHeight="1">
      <c r="C34">
        <f t="shared" si="0"/>
        <v>6</v>
      </c>
      <c r="D34" s="239" t="s">
        <v>583</v>
      </c>
    </row>
    <row r="35" spans="3:4" ht="20" customHeight="1">
      <c r="C35">
        <f t="shared" si="0"/>
        <v>7</v>
      </c>
      <c r="D35" s="239"/>
    </row>
    <row r="36" spans="3:4" ht="20" customHeight="1">
      <c r="C36">
        <f t="shared" si="0"/>
        <v>8</v>
      </c>
      <c r="D36" s="239"/>
    </row>
    <row r="37" spans="3:4" ht="20" customHeight="1">
      <c r="C37">
        <f t="shared" si="0"/>
        <v>9</v>
      </c>
      <c r="D37" s="239"/>
    </row>
    <row r="38" spans="3:4" ht="20" customHeight="1">
      <c r="C38">
        <f t="shared" si="0"/>
        <v>10</v>
      </c>
      <c r="D38" s="239"/>
    </row>
    <row r="39" spans="3:4" ht="20" customHeight="1">
      <c r="C39">
        <f t="shared" si="0"/>
        <v>11</v>
      </c>
      <c r="D39" s="239"/>
    </row>
    <row r="40" spans="3:4" ht="20" customHeight="1">
      <c r="C40">
        <f t="shared" si="0"/>
        <v>12</v>
      </c>
      <c r="D40" s="239"/>
    </row>
    <row r="41" spans="3:4" ht="20" customHeight="1">
      <c r="C41">
        <f t="shared" si="0"/>
        <v>13</v>
      </c>
      <c r="D41" s="239"/>
    </row>
    <row r="42" spans="3:4" ht="20" customHeight="1">
      <c r="C42">
        <f t="shared" si="0"/>
        <v>14</v>
      </c>
      <c r="D42" s="239"/>
    </row>
    <row r="43" spans="3:4" ht="20" customHeight="1">
      <c r="C43">
        <f t="shared" si="0"/>
        <v>15</v>
      </c>
      <c r="D43" s="239"/>
    </row>
    <row r="44" spans="3:4" ht="20" customHeight="1">
      <c r="C44">
        <f t="shared" si="0"/>
        <v>16</v>
      </c>
      <c r="D44" s="239"/>
    </row>
    <row r="45" spans="3:4" ht="20" customHeight="1">
      <c r="C45">
        <f t="shared" si="0"/>
        <v>17</v>
      </c>
      <c r="D45" s="239"/>
    </row>
    <row r="46" spans="3:4" ht="20" customHeight="1">
      <c r="C46">
        <f t="shared" si="0"/>
        <v>18</v>
      </c>
      <c r="D46" s="239"/>
    </row>
    <row r="47" spans="3:4" ht="20" customHeight="1">
      <c r="C47">
        <f t="shared" si="0"/>
        <v>19</v>
      </c>
      <c r="D47" s="239"/>
    </row>
  </sheetData>
  <autoFilter ref="B5:V24" xr:uid="{2E192EF6-EA72-4190-A2B1-926B00CF6DFC}"/>
  <mergeCells count="7">
    <mergeCell ref="S3:S4"/>
    <mergeCell ref="B3:B4"/>
    <mergeCell ref="C3:C4"/>
    <mergeCell ref="H3:H4"/>
    <mergeCell ref="I3:I4"/>
    <mergeCell ref="J3:J4"/>
    <mergeCell ref="R3:R4"/>
  </mergeCells>
  <conditionalFormatting sqref="R1:R26">
    <cfRule type="cellIs" dxfId="6" priority="8" operator="lessThan">
      <formula>0</formula>
    </cfRule>
  </conditionalFormatting>
  <conditionalFormatting sqref="U6">
    <cfRule type="cellIs" dxfId="5" priority="7" operator="lessThan">
      <formula>0</formula>
    </cfRule>
  </conditionalFormatting>
  <conditionalFormatting sqref="U9">
    <cfRule type="cellIs" dxfId="4" priority="6" operator="lessThan">
      <formula>0</formula>
    </cfRule>
  </conditionalFormatting>
  <conditionalFormatting sqref="U12">
    <cfRule type="cellIs" dxfId="3" priority="5" operator="lessThan">
      <formula>0</formula>
    </cfRule>
  </conditionalFormatting>
  <conditionalFormatting sqref="U15">
    <cfRule type="cellIs" dxfId="2" priority="4" operator="lessThan">
      <formula>0</formula>
    </cfRule>
  </conditionalFormatting>
  <conditionalFormatting sqref="U18">
    <cfRule type="cellIs" dxfId="1" priority="3" operator="lessThan">
      <formula>0</formula>
    </cfRule>
  </conditionalFormatting>
  <conditionalFormatting sqref="U21">
    <cfRule type="cellIs" dxfId="0" priority="1" operator="lessThan">
      <formula>0</formula>
    </cfRule>
  </conditionalFormatting>
  <printOptions horizontalCentered="1"/>
  <pageMargins left="0.51181102362204722" right="0" top="0.51181102362204722" bottom="0.51181102362204722" header="0.31496062992125984" footer="0.31496062992125984"/>
  <pageSetup paperSize="9" scale="62" fitToHeight="0" orientation="landscape" r:id="rId1"/>
  <headerFooter>
    <oddFooter>Page &amp;P&amp;R&amp;A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3F1D3-E100-4119-9D58-739A8A9DD54A}">
  <sheetPr codeName="Sheet5">
    <tabColor rgb="FFFF0000"/>
  </sheetPr>
  <dimension ref="A1:Z55"/>
  <sheetViews>
    <sheetView view="pageBreakPreview" topLeftCell="A3" zoomScale="70" zoomScaleNormal="60" zoomScaleSheetLayoutView="70" workbookViewId="0">
      <pane ySplit="5" topLeftCell="A8" activePane="bottomLeft" state="frozen"/>
      <selection activeCell="K51" sqref="K51"/>
      <selection pane="bottomLeft" activeCell="K51" sqref="K51"/>
    </sheetView>
  </sheetViews>
  <sheetFormatPr baseColWidth="10" defaultColWidth="8.83203125" defaultRowHeight="20" customHeight="1"/>
  <cols>
    <col min="1" max="1" width="4.1640625" style="292" customWidth="1"/>
    <col min="2" max="2" width="16.83203125" style="291" customWidth="1"/>
    <col min="3" max="3" width="8.1640625" style="292" bestFit="1" customWidth="1"/>
    <col min="4" max="5" width="8.1640625" style="292" customWidth="1"/>
    <col min="6" max="6" width="10.6640625" style="324" bestFit="1" customWidth="1"/>
    <col min="7" max="7" width="8.83203125" style="324" bestFit="1" customWidth="1"/>
    <col min="8" max="8" width="10.6640625" style="324" bestFit="1" customWidth="1"/>
    <col min="9" max="9" width="8.83203125" style="324" bestFit="1" customWidth="1"/>
    <col min="10" max="10" width="9.33203125" style="324" customWidth="1"/>
    <col min="11" max="14" width="8.83203125" style="324" bestFit="1" customWidth="1"/>
    <col min="15" max="15" width="9.33203125" style="324" customWidth="1"/>
    <col min="16" max="19" width="8.83203125" style="324" bestFit="1" customWidth="1"/>
    <col min="20" max="20" width="9.33203125" style="324" customWidth="1"/>
    <col min="21" max="23" width="8.83203125" style="324" bestFit="1" customWidth="1"/>
    <col min="24" max="24" width="9.83203125" style="324" bestFit="1" customWidth="1"/>
    <col min="25" max="25" width="9.83203125" style="324" customWidth="1"/>
    <col min="26" max="26" width="9.83203125" style="291" customWidth="1"/>
    <col min="27" max="16384" width="8.83203125" style="291"/>
  </cols>
  <sheetData>
    <row r="1" spans="1:26" ht="20" customHeight="1">
      <c r="A1" s="451" t="s">
        <v>434</v>
      </c>
      <c r="B1" s="451"/>
      <c r="C1" s="451"/>
      <c r="D1" s="451"/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1"/>
      <c r="P1" s="451"/>
      <c r="Q1" s="451"/>
      <c r="R1" s="451"/>
      <c r="S1" s="451"/>
      <c r="T1" s="451"/>
      <c r="U1" s="451"/>
      <c r="V1" s="451"/>
      <c r="W1" s="451"/>
      <c r="X1" s="451"/>
      <c r="Y1" s="451"/>
      <c r="Z1" s="451"/>
    </row>
    <row r="2" spans="1:26" s="292" customFormat="1" ht="20" customHeight="1"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</row>
    <row r="3" spans="1:26" s="290" customFormat="1" ht="20" customHeight="1">
      <c r="A3" s="452" t="s">
        <v>0</v>
      </c>
      <c r="B3" s="452" t="s">
        <v>399</v>
      </c>
      <c r="C3" s="452" t="s">
        <v>447</v>
      </c>
      <c r="D3" s="452" t="s">
        <v>448</v>
      </c>
      <c r="E3" s="452" t="s">
        <v>449</v>
      </c>
      <c r="F3" s="453" t="s">
        <v>435</v>
      </c>
      <c r="G3" s="453"/>
      <c r="H3" s="453"/>
      <c r="I3" s="453" t="s">
        <v>436</v>
      </c>
      <c r="J3" s="453" t="s">
        <v>437</v>
      </c>
      <c r="K3" s="453" t="s">
        <v>438</v>
      </c>
      <c r="L3" s="453"/>
      <c r="M3" s="453"/>
      <c r="N3" s="453"/>
      <c r="O3" s="453"/>
      <c r="P3" s="453" t="s">
        <v>439</v>
      </c>
      <c r="Q3" s="453"/>
      <c r="R3" s="453"/>
      <c r="S3" s="453"/>
      <c r="T3" s="453"/>
      <c r="U3" s="453" t="s">
        <v>440</v>
      </c>
      <c r="V3" s="453"/>
      <c r="W3" s="453"/>
      <c r="X3" s="453"/>
      <c r="Y3" s="453"/>
      <c r="Z3" s="453"/>
    </row>
    <row r="4" spans="1:26" s="290" customFormat="1" ht="35" customHeight="1">
      <c r="A4" s="452"/>
      <c r="B4" s="452"/>
      <c r="C4" s="452"/>
      <c r="D4" s="452"/>
      <c r="E4" s="452"/>
      <c r="F4" s="453" t="s">
        <v>41</v>
      </c>
      <c r="G4" s="453" t="s">
        <v>10</v>
      </c>
      <c r="H4" s="453" t="s">
        <v>11</v>
      </c>
      <c r="I4" s="453"/>
      <c r="J4" s="453"/>
      <c r="K4" s="453" t="s">
        <v>441</v>
      </c>
      <c r="L4" s="453"/>
      <c r="M4" s="453"/>
      <c r="N4" s="453"/>
      <c r="O4" s="453"/>
      <c r="P4" s="453" t="s">
        <v>442</v>
      </c>
      <c r="Q4" s="453"/>
      <c r="R4" s="453"/>
      <c r="S4" s="453"/>
      <c r="T4" s="453"/>
      <c r="U4" s="453" t="s">
        <v>450</v>
      </c>
      <c r="V4" s="453"/>
      <c r="W4" s="453"/>
      <c r="X4" s="453"/>
      <c r="Y4" s="453"/>
      <c r="Z4" s="453"/>
    </row>
    <row r="5" spans="1:26" s="290" customFormat="1" ht="20" customHeight="1">
      <c r="A5" s="452"/>
      <c r="B5" s="452"/>
      <c r="C5" s="452"/>
      <c r="D5" s="452"/>
      <c r="E5" s="452"/>
      <c r="F5" s="453"/>
      <c r="G5" s="453"/>
      <c r="H5" s="453"/>
      <c r="I5" s="453"/>
      <c r="J5" s="453"/>
      <c r="K5" s="453" t="s">
        <v>435</v>
      </c>
      <c r="L5" s="453"/>
      <c r="M5" s="453"/>
      <c r="N5" s="453" t="s">
        <v>436</v>
      </c>
      <c r="O5" s="453" t="s">
        <v>437</v>
      </c>
      <c r="P5" s="453" t="s">
        <v>435</v>
      </c>
      <c r="Q5" s="453"/>
      <c r="R5" s="453"/>
      <c r="S5" s="453" t="s">
        <v>436</v>
      </c>
      <c r="T5" s="453" t="s">
        <v>437</v>
      </c>
      <c r="U5" s="453" t="s">
        <v>443</v>
      </c>
      <c r="V5" s="453"/>
      <c r="W5" s="453"/>
      <c r="X5" s="453" t="s">
        <v>436</v>
      </c>
      <c r="Y5" s="453" t="s">
        <v>444</v>
      </c>
      <c r="Z5" s="452" t="s">
        <v>445</v>
      </c>
    </row>
    <row r="6" spans="1:26" s="290" customFormat="1" ht="20" customHeight="1">
      <c r="A6" s="452"/>
      <c r="B6" s="452"/>
      <c r="C6" s="452"/>
      <c r="D6" s="452"/>
      <c r="E6" s="452"/>
      <c r="F6" s="453"/>
      <c r="G6" s="453"/>
      <c r="H6" s="453"/>
      <c r="I6" s="453"/>
      <c r="J6" s="453"/>
      <c r="K6" s="322" t="s">
        <v>41</v>
      </c>
      <c r="L6" s="322" t="s">
        <v>10</v>
      </c>
      <c r="M6" s="322" t="s">
        <v>11</v>
      </c>
      <c r="N6" s="453"/>
      <c r="O6" s="453"/>
      <c r="P6" s="322" t="s">
        <v>41</v>
      </c>
      <c r="Q6" s="322" t="s">
        <v>10</v>
      </c>
      <c r="R6" s="322" t="s">
        <v>11</v>
      </c>
      <c r="S6" s="453"/>
      <c r="T6" s="453"/>
      <c r="U6" s="322" t="s">
        <v>41</v>
      </c>
      <c r="V6" s="322" t="s">
        <v>10</v>
      </c>
      <c r="W6" s="322" t="s">
        <v>11</v>
      </c>
      <c r="X6" s="453"/>
      <c r="Y6" s="453"/>
      <c r="Z6" s="452"/>
    </row>
    <row r="7" spans="1:26" s="290" customFormat="1" ht="20" customHeight="1">
      <c r="A7" s="293"/>
      <c r="B7" s="294">
        <v>1</v>
      </c>
      <c r="C7" s="294">
        <f>B7+1</f>
        <v>2</v>
      </c>
      <c r="D7" s="294">
        <f t="shared" ref="D7:Z7" si="0">C7+1</f>
        <v>3</v>
      </c>
      <c r="E7" s="294">
        <f t="shared" si="0"/>
        <v>4</v>
      </c>
      <c r="F7" s="294">
        <f t="shared" si="0"/>
        <v>5</v>
      </c>
      <c r="G7" s="294">
        <f t="shared" si="0"/>
        <v>6</v>
      </c>
      <c r="H7" s="294">
        <f t="shared" si="0"/>
        <v>7</v>
      </c>
      <c r="I7" s="294">
        <f t="shared" si="0"/>
        <v>8</v>
      </c>
      <c r="J7" s="294">
        <f t="shared" si="0"/>
        <v>9</v>
      </c>
      <c r="K7" s="294">
        <f t="shared" si="0"/>
        <v>10</v>
      </c>
      <c r="L7" s="294">
        <f t="shared" si="0"/>
        <v>11</v>
      </c>
      <c r="M7" s="294">
        <f t="shared" si="0"/>
        <v>12</v>
      </c>
      <c r="N7" s="294">
        <f t="shared" si="0"/>
        <v>13</v>
      </c>
      <c r="O7" s="294">
        <f t="shared" si="0"/>
        <v>14</v>
      </c>
      <c r="P7" s="294">
        <f t="shared" si="0"/>
        <v>15</v>
      </c>
      <c r="Q7" s="294">
        <f t="shared" si="0"/>
        <v>16</v>
      </c>
      <c r="R7" s="294">
        <f t="shared" si="0"/>
        <v>17</v>
      </c>
      <c r="S7" s="294">
        <f t="shared" si="0"/>
        <v>18</v>
      </c>
      <c r="T7" s="294">
        <f t="shared" si="0"/>
        <v>19</v>
      </c>
      <c r="U7" s="294">
        <f t="shared" si="0"/>
        <v>20</v>
      </c>
      <c r="V7" s="294">
        <f t="shared" si="0"/>
        <v>21</v>
      </c>
      <c r="W7" s="294">
        <f t="shared" si="0"/>
        <v>22</v>
      </c>
      <c r="X7" s="294">
        <f t="shared" si="0"/>
        <v>23</v>
      </c>
      <c r="Y7" s="294">
        <f t="shared" si="0"/>
        <v>24</v>
      </c>
      <c r="Z7" s="294">
        <f t="shared" si="0"/>
        <v>25</v>
      </c>
    </row>
    <row r="8" spans="1:26" s="290" customFormat="1" ht="20" customHeight="1">
      <c r="A8" s="293"/>
      <c r="B8" s="294"/>
      <c r="C8" s="293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294"/>
      <c r="S8" s="294"/>
      <c r="T8" s="294"/>
      <c r="U8" s="294"/>
      <c r="V8" s="294"/>
      <c r="W8" s="294"/>
      <c r="X8" s="294"/>
      <c r="Y8" s="294"/>
      <c r="Z8" s="294"/>
    </row>
    <row r="9" spans="1:26" s="295" customFormat="1" ht="20" customHeight="1">
      <c r="A9" s="293" t="s">
        <v>4</v>
      </c>
      <c r="B9" s="74" t="s">
        <v>534</v>
      </c>
      <c r="C9" s="293">
        <f>SUBTOTAL(9,C10)</f>
        <v>1</v>
      </c>
      <c r="D9" s="293"/>
      <c r="E9" s="29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3"/>
      <c r="W9" s="323"/>
      <c r="X9" s="323"/>
      <c r="Y9" s="323"/>
      <c r="Z9" s="74"/>
    </row>
    <row r="10" spans="1:26" ht="22.5" customHeight="1">
      <c r="A10" s="296">
        <v>1</v>
      </c>
      <c r="B10" s="271" t="s">
        <v>480</v>
      </c>
      <c r="C10" s="296">
        <v>1</v>
      </c>
      <c r="D10" s="296">
        <v>19</v>
      </c>
      <c r="E10" s="296"/>
      <c r="F10" s="297">
        <v>6.4</v>
      </c>
      <c r="G10" s="297">
        <v>13.664999999999999</v>
      </c>
      <c r="H10" s="297">
        <v>4.55</v>
      </c>
      <c r="I10" s="297"/>
      <c r="J10" s="297"/>
      <c r="K10" s="297">
        <f>IF(F10&gt;0,F10+2*0.1,"")</f>
        <v>6.6000000000000005</v>
      </c>
      <c r="L10" s="297">
        <f>IF(G10&gt;0,G10+2*0.1,"")</f>
        <v>13.864999999999998</v>
      </c>
      <c r="M10" s="297">
        <v>0.1</v>
      </c>
      <c r="N10" s="297">
        <f>2*(K10+L10)</f>
        <v>40.93</v>
      </c>
      <c r="O10" s="297">
        <f>K10*L10</f>
        <v>91.509</v>
      </c>
      <c r="P10" s="297">
        <f t="shared" ref="P10:Q14" si="1">F10</f>
        <v>6.4</v>
      </c>
      <c r="Q10" s="297">
        <f t="shared" si="1"/>
        <v>13.664999999999999</v>
      </c>
      <c r="R10" s="297">
        <f>H10-0.3</f>
        <v>4.25</v>
      </c>
      <c r="S10" s="297">
        <f>2*(P10+Q10)</f>
        <v>40.129999999999995</v>
      </c>
      <c r="T10" s="297">
        <f>P10*Q10</f>
        <v>87.456000000000003</v>
      </c>
      <c r="U10" s="297">
        <f>IF(F10&gt;0,F10+2*0.8,"")</f>
        <v>8</v>
      </c>
      <c r="V10" s="297">
        <f>IF(G10&gt;0,G10+2*0.8,"")</f>
        <v>15.264999999999999</v>
      </c>
      <c r="W10" s="297">
        <v>1.45</v>
      </c>
      <c r="X10" s="297"/>
      <c r="Y10" s="297">
        <f>U10*V10</f>
        <v>122.11999999999999</v>
      </c>
      <c r="Z10" s="271"/>
    </row>
    <row r="11" spans="1:26" ht="22.5" customHeight="1">
      <c r="A11" s="296">
        <f>A10+1</f>
        <v>2</v>
      </c>
      <c r="B11" s="271" t="s">
        <v>481</v>
      </c>
      <c r="C11" s="296">
        <v>1</v>
      </c>
      <c r="D11" s="296"/>
      <c r="E11" s="296"/>
      <c r="F11" s="297">
        <v>-2.2000000000000002</v>
      </c>
      <c r="G11" s="297">
        <v>-2.11</v>
      </c>
      <c r="H11" s="297">
        <v>-1.25</v>
      </c>
      <c r="I11" s="297"/>
      <c r="J11" s="297"/>
      <c r="K11" s="297"/>
      <c r="L11" s="297"/>
      <c r="M11" s="297"/>
      <c r="N11" s="297"/>
      <c r="O11" s="297"/>
      <c r="P11" s="297">
        <f t="shared" si="1"/>
        <v>-2.2000000000000002</v>
      </c>
      <c r="Q11" s="297">
        <f t="shared" si="1"/>
        <v>-2.11</v>
      </c>
      <c r="R11" s="297">
        <f>H11</f>
        <v>-1.25</v>
      </c>
      <c r="S11" s="297">
        <f>2*(P11+Q11)</f>
        <v>-8.620000000000001</v>
      </c>
      <c r="T11" s="297">
        <f>P11*Q11</f>
        <v>4.6420000000000003</v>
      </c>
      <c r="U11" s="297"/>
      <c r="V11" s="297"/>
      <c r="W11" s="297"/>
      <c r="X11" s="297"/>
      <c r="Y11" s="297"/>
      <c r="Z11" s="271"/>
    </row>
    <row r="12" spans="1:26" ht="22.5" customHeight="1">
      <c r="A12" s="296">
        <f t="shared" ref="A12:A14" si="2">A11+1</f>
        <v>3</v>
      </c>
      <c r="B12" s="271" t="s">
        <v>481</v>
      </c>
      <c r="C12" s="296">
        <v>1</v>
      </c>
      <c r="D12" s="296"/>
      <c r="E12" s="296"/>
      <c r="F12" s="297">
        <v>-0.8</v>
      </c>
      <c r="G12" s="297">
        <v>-0.8</v>
      </c>
      <c r="H12" s="297">
        <v>-0.6</v>
      </c>
      <c r="I12" s="297"/>
      <c r="J12" s="297"/>
      <c r="K12" s="297"/>
      <c r="L12" s="297"/>
      <c r="M12" s="297"/>
      <c r="N12" s="297"/>
      <c r="O12" s="297"/>
      <c r="P12" s="297">
        <f t="shared" si="1"/>
        <v>-0.8</v>
      </c>
      <c r="Q12" s="297">
        <f t="shared" si="1"/>
        <v>-0.8</v>
      </c>
      <c r="R12" s="297">
        <f>H12</f>
        <v>-0.6</v>
      </c>
      <c r="S12" s="297">
        <f>2*(P12+Q12)</f>
        <v>-3.2</v>
      </c>
      <c r="T12" s="297">
        <f>P12*Q12</f>
        <v>0.64000000000000012</v>
      </c>
      <c r="U12" s="297"/>
      <c r="V12" s="297"/>
      <c r="W12" s="297"/>
      <c r="X12" s="297"/>
      <c r="Y12" s="297"/>
      <c r="Z12" s="271"/>
    </row>
    <row r="13" spans="1:26" ht="22.5" customHeight="1">
      <c r="A13" s="296">
        <f t="shared" si="2"/>
        <v>4</v>
      </c>
      <c r="B13" s="271" t="s">
        <v>481</v>
      </c>
      <c r="C13" s="296">
        <v>1</v>
      </c>
      <c r="D13" s="296"/>
      <c r="E13" s="296"/>
      <c r="F13" s="297">
        <v>-2.06</v>
      </c>
      <c r="G13" s="297">
        <v>-6.4</v>
      </c>
      <c r="H13" s="297">
        <v>-1.25</v>
      </c>
      <c r="I13" s="297"/>
      <c r="J13" s="297"/>
      <c r="K13" s="297"/>
      <c r="L13" s="297"/>
      <c r="M13" s="297"/>
      <c r="N13" s="297"/>
      <c r="O13" s="297"/>
      <c r="P13" s="297">
        <f t="shared" si="1"/>
        <v>-2.06</v>
      </c>
      <c r="Q13" s="297">
        <f t="shared" si="1"/>
        <v>-6.4</v>
      </c>
      <c r="R13" s="297">
        <f>H13</f>
        <v>-1.25</v>
      </c>
      <c r="S13" s="297">
        <f>2*(P13+Q13)</f>
        <v>-16.920000000000002</v>
      </c>
      <c r="T13" s="297">
        <f>P13*Q13</f>
        <v>13.184000000000001</v>
      </c>
      <c r="U13" s="297"/>
      <c r="V13" s="297"/>
      <c r="W13" s="297"/>
      <c r="X13" s="297"/>
      <c r="Y13" s="297"/>
      <c r="Z13" s="271"/>
    </row>
    <row r="14" spans="1:26" ht="22.5" customHeight="1">
      <c r="A14" s="296">
        <f t="shared" si="2"/>
        <v>5</v>
      </c>
      <c r="B14" s="271" t="s">
        <v>482</v>
      </c>
      <c r="C14" s="296">
        <v>1</v>
      </c>
      <c r="D14" s="296"/>
      <c r="E14" s="296"/>
      <c r="F14" s="297"/>
      <c r="G14" s="297"/>
      <c r="H14" s="297">
        <v>3</v>
      </c>
      <c r="I14" s="297">
        <v>78</v>
      </c>
      <c r="J14" s="297">
        <v>165.99</v>
      </c>
      <c r="K14" s="297" t="str">
        <f>IF(F14&gt;0,F14+2*0.1,"")</f>
        <v/>
      </c>
      <c r="L14" s="297" t="str">
        <f>IF(G14&gt;0,G14+2*0.1,"")</f>
        <v/>
      </c>
      <c r="M14" s="297">
        <v>0.1</v>
      </c>
      <c r="N14" s="297">
        <v>79</v>
      </c>
      <c r="O14" s="297">
        <v>171.2</v>
      </c>
      <c r="P14" s="297">
        <f t="shared" si="1"/>
        <v>0</v>
      </c>
      <c r="Q14" s="297">
        <f t="shared" si="1"/>
        <v>0</v>
      </c>
      <c r="R14" s="297">
        <f>H14-0.3</f>
        <v>2.7</v>
      </c>
      <c r="S14" s="297">
        <f>I14</f>
        <v>78</v>
      </c>
      <c r="T14" s="297">
        <f>J14</f>
        <v>165.99</v>
      </c>
      <c r="U14" s="297">
        <v>12.8</v>
      </c>
      <c r="V14" s="297">
        <v>19.8</v>
      </c>
      <c r="W14" s="297">
        <f>H14-0.3</f>
        <v>2.7</v>
      </c>
      <c r="X14" s="297"/>
      <c r="Y14" s="297">
        <f>U14*V14</f>
        <v>253.44000000000003</v>
      </c>
      <c r="Z14" s="271"/>
    </row>
    <row r="15" spans="1:26" s="295" customFormat="1" ht="20" customHeight="1">
      <c r="A15" s="293" t="s">
        <v>6</v>
      </c>
      <c r="B15" s="74" t="s">
        <v>535</v>
      </c>
      <c r="C15" s="293">
        <f>SUBTOTAL(9,C16:C22)</f>
        <v>6</v>
      </c>
      <c r="D15" s="293"/>
      <c r="E15" s="293"/>
      <c r="F15" s="323"/>
      <c r="G15" s="323"/>
      <c r="H15" s="323"/>
      <c r="I15" s="323"/>
      <c r="J15" s="323"/>
      <c r="K15" s="323"/>
      <c r="L15" s="323"/>
      <c r="M15" s="323"/>
      <c r="N15" s="323"/>
      <c r="O15" s="323"/>
      <c r="P15" s="323"/>
      <c r="Q15" s="323"/>
      <c r="R15" s="323"/>
      <c r="S15" s="323"/>
      <c r="T15" s="323"/>
      <c r="U15" s="323"/>
      <c r="V15" s="323"/>
      <c r="W15" s="323"/>
      <c r="X15" s="323"/>
      <c r="Y15" s="323"/>
      <c r="Z15" s="74"/>
    </row>
    <row r="16" spans="1:26" ht="22.5" customHeight="1">
      <c r="A16" s="296">
        <v>1</v>
      </c>
      <c r="B16" s="271" t="s">
        <v>458</v>
      </c>
      <c r="C16" s="296">
        <v>2</v>
      </c>
      <c r="D16" s="296"/>
      <c r="E16" s="296">
        <v>1</v>
      </c>
      <c r="F16" s="297">
        <v>1.6</v>
      </c>
      <c r="G16" s="297">
        <v>1.81</v>
      </c>
      <c r="H16" s="297">
        <v>1.5</v>
      </c>
      <c r="I16" s="297"/>
      <c r="J16" s="297"/>
      <c r="K16" s="297">
        <f>IF(F16&gt;0,F16+2*0.1,"")</f>
        <v>1.8</v>
      </c>
      <c r="L16" s="297">
        <f>IF(G16&gt;0,G16+2*0.1,"")</f>
        <v>2.0100000000000002</v>
      </c>
      <c r="M16" s="297">
        <v>0.1</v>
      </c>
      <c r="N16" s="297">
        <f>2*(K16+L16)</f>
        <v>7.620000000000001</v>
      </c>
      <c r="O16" s="297">
        <f>K16*L16</f>
        <v>3.6180000000000003</v>
      </c>
      <c r="P16" s="297">
        <f t="shared" ref="P16:Q20" si="3">F16</f>
        <v>1.6</v>
      </c>
      <c r="Q16" s="297">
        <f t="shared" si="3"/>
        <v>1.81</v>
      </c>
      <c r="R16" s="297">
        <f>H16-0.3</f>
        <v>1.2</v>
      </c>
      <c r="S16" s="297">
        <f>2*(P16+Q16)</f>
        <v>6.82</v>
      </c>
      <c r="T16" s="297">
        <f>P16*Q16</f>
        <v>2.8960000000000004</v>
      </c>
      <c r="U16" s="297">
        <f>IF(F16&gt;0,F16+2*0.8,"")</f>
        <v>3.2</v>
      </c>
      <c r="V16" s="297">
        <f>IF(G16&gt;0,G16+2*0.8,"")</f>
        <v>3.41</v>
      </c>
      <c r="W16" s="297">
        <f>H16-0.3</f>
        <v>1.2</v>
      </c>
      <c r="X16" s="297"/>
      <c r="Y16" s="297">
        <f>U16*V16</f>
        <v>10.912000000000001</v>
      </c>
      <c r="Z16" s="271"/>
    </row>
    <row r="17" spans="1:26" ht="22.5" customHeight="1">
      <c r="A17" s="296">
        <f>A16+1</f>
        <v>2</v>
      </c>
      <c r="B17" s="271" t="s">
        <v>460</v>
      </c>
      <c r="C17" s="296">
        <v>1</v>
      </c>
      <c r="D17" s="296">
        <v>1</v>
      </c>
      <c r="E17" s="296"/>
      <c r="F17" s="297">
        <v>1.6</v>
      </c>
      <c r="G17" s="297">
        <v>1.6</v>
      </c>
      <c r="H17" s="297">
        <v>1.5</v>
      </c>
      <c r="I17" s="297"/>
      <c r="J17" s="297"/>
      <c r="K17" s="297">
        <f>IF(F17&gt;0,F17+2*0.1,"")</f>
        <v>1.8</v>
      </c>
      <c r="L17" s="297">
        <f>IF(G17&gt;0,G17+2*0.1,"")</f>
        <v>1.8</v>
      </c>
      <c r="M17" s="297">
        <v>0.1</v>
      </c>
      <c r="N17" s="297">
        <f>2*(K17+L17)</f>
        <v>7.2</v>
      </c>
      <c r="O17" s="297">
        <f>K17*L17</f>
        <v>3.24</v>
      </c>
      <c r="P17" s="297">
        <f t="shared" si="3"/>
        <v>1.6</v>
      </c>
      <c r="Q17" s="297">
        <f t="shared" si="3"/>
        <v>1.6</v>
      </c>
      <c r="R17" s="297">
        <f>H17-0.3</f>
        <v>1.2</v>
      </c>
      <c r="S17" s="297">
        <f>2*(P17+Q17)</f>
        <v>6.4</v>
      </c>
      <c r="T17" s="297">
        <f>P17*Q17</f>
        <v>2.5600000000000005</v>
      </c>
      <c r="U17" s="297">
        <f>IF(F17&gt;0,F17+2*0.8,"")</f>
        <v>3.2</v>
      </c>
      <c r="V17" s="297">
        <f>IF(G17&gt;0,G17+2*0.8,"")</f>
        <v>3.2</v>
      </c>
      <c r="W17" s="297">
        <f>H17-0.3+H18</f>
        <v>2.8499999999999996</v>
      </c>
      <c r="X17" s="297"/>
      <c r="Y17" s="297">
        <f>U17*V17</f>
        <v>10.240000000000002</v>
      </c>
      <c r="Z17" s="271"/>
    </row>
    <row r="18" spans="1:26" ht="22.5" customHeight="1">
      <c r="A18" s="296">
        <f t="shared" ref="A18:A22" si="4">A17+1</f>
        <v>3</v>
      </c>
      <c r="B18" s="271" t="s">
        <v>459</v>
      </c>
      <c r="C18" s="296"/>
      <c r="D18" s="296"/>
      <c r="E18" s="296"/>
      <c r="F18" s="297">
        <v>1.6</v>
      </c>
      <c r="G18" s="297">
        <v>0.8</v>
      </c>
      <c r="H18" s="297">
        <v>1.65</v>
      </c>
      <c r="I18" s="297"/>
      <c r="J18" s="297"/>
      <c r="K18" s="297"/>
      <c r="L18" s="297"/>
      <c r="M18" s="297"/>
      <c r="N18" s="297"/>
      <c r="O18" s="297"/>
      <c r="P18" s="297">
        <f t="shared" si="3"/>
        <v>1.6</v>
      </c>
      <c r="Q18" s="297">
        <f t="shared" si="3"/>
        <v>0.8</v>
      </c>
      <c r="R18" s="297">
        <f>H18</f>
        <v>1.65</v>
      </c>
      <c r="S18" s="297">
        <f>2*(P18+Q18)</f>
        <v>4.8000000000000007</v>
      </c>
      <c r="T18" s="297">
        <f>P18*Q18</f>
        <v>1.2800000000000002</v>
      </c>
      <c r="U18" s="297"/>
      <c r="V18" s="297"/>
      <c r="W18" s="297"/>
      <c r="X18" s="297"/>
      <c r="Y18" s="297"/>
      <c r="Z18" s="271"/>
    </row>
    <row r="19" spans="1:26" ht="22.5" customHeight="1">
      <c r="A19" s="296">
        <f t="shared" si="4"/>
        <v>4</v>
      </c>
      <c r="B19" s="271" t="s">
        <v>451</v>
      </c>
      <c r="C19" s="296">
        <v>1</v>
      </c>
      <c r="D19" s="296">
        <v>1</v>
      </c>
      <c r="E19" s="296"/>
      <c r="F19" s="297">
        <v>2</v>
      </c>
      <c r="G19" s="297">
        <v>2</v>
      </c>
      <c r="H19" s="297">
        <v>1.5</v>
      </c>
      <c r="I19" s="297"/>
      <c r="J19" s="297"/>
      <c r="K19" s="297">
        <f>IF(F19&gt;0,F19+2*0.1,"")</f>
        <v>2.2000000000000002</v>
      </c>
      <c r="L19" s="297">
        <f>IF(G19&gt;0,G19+2*0.1,"")</f>
        <v>2.2000000000000002</v>
      </c>
      <c r="M19" s="297">
        <v>0.1</v>
      </c>
      <c r="N19" s="297">
        <f>2*(K19+L19)</f>
        <v>8.8000000000000007</v>
      </c>
      <c r="O19" s="297">
        <f>K19*L19</f>
        <v>4.8400000000000007</v>
      </c>
      <c r="P19" s="297">
        <f t="shared" si="3"/>
        <v>2</v>
      </c>
      <c r="Q19" s="297">
        <f t="shared" si="3"/>
        <v>2</v>
      </c>
      <c r="R19" s="297">
        <f>H19-0.3</f>
        <v>1.2</v>
      </c>
      <c r="S19" s="297">
        <f>2*(P19+Q19)</f>
        <v>8</v>
      </c>
      <c r="T19" s="297">
        <f>P19*Q19</f>
        <v>4</v>
      </c>
      <c r="U19" s="297">
        <f>IF(F19&gt;0,F19+2*0.8,"")</f>
        <v>3.6</v>
      </c>
      <c r="V19" s="297">
        <f>IF(G19&gt;0,G19+2*0.8,"")</f>
        <v>3.6</v>
      </c>
      <c r="W19" s="297">
        <f>H19-0.3+1.65</f>
        <v>2.8499999999999996</v>
      </c>
      <c r="X19" s="297"/>
      <c r="Y19" s="297">
        <f>U19*V19</f>
        <v>12.96</v>
      </c>
      <c r="Z19" s="271"/>
    </row>
    <row r="20" spans="1:26" ht="22.5" customHeight="1">
      <c r="A20" s="296">
        <f t="shared" si="4"/>
        <v>5</v>
      </c>
      <c r="B20" s="271" t="s">
        <v>452</v>
      </c>
      <c r="C20" s="296"/>
      <c r="D20" s="296"/>
      <c r="E20" s="296"/>
      <c r="F20" s="297">
        <v>2</v>
      </c>
      <c r="G20" s="297">
        <v>1</v>
      </c>
      <c r="H20" s="297">
        <v>1.65</v>
      </c>
      <c r="I20" s="297"/>
      <c r="J20" s="297"/>
      <c r="K20" s="297"/>
      <c r="L20" s="297"/>
      <c r="M20" s="297"/>
      <c r="N20" s="297"/>
      <c r="O20" s="297"/>
      <c r="P20" s="297">
        <f t="shared" si="3"/>
        <v>2</v>
      </c>
      <c r="Q20" s="297">
        <f t="shared" si="3"/>
        <v>1</v>
      </c>
      <c r="R20" s="297">
        <f>H20</f>
        <v>1.65</v>
      </c>
      <c r="S20" s="297">
        <f>2*(P20+Q20)</f>
        <v>6</v>
      </c>
      <c r="T20" s="297">
        <f>P20*Q20</f>
        <v>2</v>
      </c>
      <c r="U20" s="297"/>
      <c r="V20" s="297"/>
      <c r="W20" s="297"/>
      <c r="X20" s="297"/>
      <c r="Y20" s="297"/>
      <c r="Z20" s="271"/>
    </row>
    <row r="21" spans="1:26" s="301" customFormat="1" ht="45">
      <c r="A21" s="298">
        <f t="shared" si="4"/>
        <v>6</v>
      </c>
      <c r="B21" s="299" t="s">
        <v>483</v>
      </c>
      <c r="C21" s="298">
        <v>1</v>
      </c>
      <c r="D21" s="298"/>
      <c r="E21" s="298"/>
      <c r="F21" s="300"/>
      <c r="G21" s="300"/>
      <c r="H21" s="300"/>
      <c r="I21" s="300"/>
      <c r="J21" s="300"/>
      <c r="K21" s="300"/>
      <c r="L21" s="300"/>
      <c r="M21" s="300"/>
      <c r="N21" s="300"/>
      <c r="O21" s="300"/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299"/>
    </row>
    <row r="22" spans="1:26" ht="22.5" customHeight="1">
      <c r="A22" s="296">
        <f t="shared" si="4"/>
        <v>7</v>
      </c>
      <c r="B22" s="271" t="s">
        <v>457</v>
      </c>
      <c r="C22" s="296">
        <v>1</v>
      </c>
      <c r="D22" s="296"/>
      <c r="E22" s="296">
        <v>1</v>
      </c>
      <c r="F22" s="297">
        <v>1.6</v>
      </c>
      <c r="G22" s="297">
        <v>1.6</v>
      </c>
      <c r="H22" s="297">
        <v>2.4</v>
      </c>
      <c r="I22" s="297"/>
      <c r="J22" s="297"/>
      <c r="K22" s="297">
        <f t="shared" ref="K22:L22" si="5">IF(F22&gt;0,F22+2*0.1,"")</f>
        <v>1.8</v>
      </c>
      <c r="L22" s="297">
        <f t="shared" si="5"/>
        <v>1.8</v>
      </c>
      <c r="M22" s="297">
        <v>0.1</v>
      </c>
      <c r="N22" s="297">
        <f>2*(K22+L22)</f>
        <v>7.2</v>
      </c>
      <c r="O22" s="297">
        <f>K22*L22</f>
        <v>3.24</v>
      </c>
      <c r="P22" s="297">
        <f t="shared" ref="P22:Q22" si="6">F22</f>
        <v>1.6</v>
      </c>
      <c r="Q22" s="297">
        <f t="shared" si="6"/>
        <v>1.6</v>
      </c>
      <c r="R22" s="297">
        <f>H22-0.3</f>
        <v>2.1</v>
      </c>
      <c r="S22" s="297">
        <f t="shared" ref="S22" si="7">2*(P22+Q22)</f>
        <v>6.4</v>
      </c>
      <c r="T22" s="297">
        <f t="shared" ref="T22" si="8">P22*Q22</f>
        <v>2.5600000000000005</v>
      </c>
      <c r="U22" s="297">
        <f t="shared" ref="U22:V22" si="9">IF(F22&gt;0,F22+2*0.8,"")</f>
        <v>3.2</v>
      </c>
      <c r="V22" s="297">
        <f t="shared" si="9"/>
        <v>3.2</v>
      </c>
      <c r="W22" s="297">
        <f>H22-0.3</f>
        <v>2.1</v>
      </c>
      <c r="X22" s="297"/>
      <c r="Y22" s="297">
        <f>U22*V22</f>
        <v>10.240000000000002</v>
      </c>
      <c r="Z22" s="271"/>
    </row>
    <row r="23" spans="1:26" s="295" customFormat="1" ht="20" customHeight="1">
      <c r="A23" s="293" t="s">
        <v>7</v>
      </c>
      <c r="B23" s="74" t="s">
        <v>536</v>
      </c>
      <c r="C23" s="293">
        <f>SUBTOTAL(9,C24:C29)</f>
        <v>8</v>
      </c>
      <c r="D23" s="293"/>
      <c r="E23" s="29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74"/>
    </row>
    <row r="24" spans="1:26" ht="22.5" customHeight="1">
      <c r="A24" s="296">
        <v>1</v>
      </c>
      <c r="B24" s="271" t="s">
        <v>454</v>
      </c>
      <c r="C24" s="296">
        <v>2</v>
      </c>
      <c r="D24" s="296">
        <v>1</v>
      </c>
      <c r="E24" s="296"/>
      <c r="F24" s="297">
        <v>2</v>
      </c>
      <c r="G24" s="297">
        <v>2</v>
      </c>
      <c r="H24" s="297">
        <v>1.5</v>
      </c>
      <c r="I24" s="297"/>
      <c r="J24" s="297"/>
      <c r="K24" s="297">
        <f>IF(F24&gt;0,F24+2*0.1,"")</f>
        <v>2.2000000000000002</v>
      </c>
      <c r="L24" s="297">
        <f>IF(G24&gt;0,G24+2*0.1,"")</f>
        <v>2.2000000000000002</v>
      </c>
      <c r="M24" s="297">
        <v>0.1</v>
      </c>
      <c r="N24" s="297">
        <f>2*(K24+L24)</f>
        <v>8.8000000000000007</v>
      </c>
      <c r="O24" s="297">
        <f>K24*L24</f>
        <v>4.8400000000000007</v>
      </c>
      <c r="P24" s="297">
        <f t="shared" ref="P24:Q29" si="10">F24</f>
        <v>2</v>
      </c>
      <c r="Q24" s="297">
        <f t="shared" si="10"/>
        <v>2</v>
      </c>
      <c r="R24" s="297">
        <f>H24-0.3</f>
        <v>1.2</v>
      </c>
      <c r="S24" s="297">
        <f t="shared" ref="S24:S29" si="11">2*(P24+Q24)</f>
        <v>8</v>
      </c>
      <c r="T24" s="297">
        <f t="shared" ref="T24:T29" si="12">P24*Q24</f>
        <v>4</v>
      </c>
      <c r="U24" s="297">
        <f>IF(F24&gt;0,F24+2*0.8,"")</f>
        <v>3.6</v>
      </c>
      <c r="V24" s="297">
        <f>IF(G24&gt;0,G24+2*0.8,"")</f>
        <v>3.6</v>
      </c>
      <c r="W24" s="297">
        <f>H24-0.3+H25</f>
        <v>2.1399999999999997</v>
      </c>
      <c r="X24" s="297"/>
      <c r="Y24" s="297">
        <f>U24*V24</f>
        <v>12.96</v>
      </c>
      <c r="Z24" s="271"/>
    </row>
    <row r="25" spans="1:26" ht="22.5" customHeight="1">
      <c r="A25" s="296">
        <f t="shared" ref="A25:A29" si="13">A24+1</f>
        <v>2</v>
      </c>
      <c r="B25" s="271" t="s">
        <v>453</v>
      </c>
      <c r="C25" s="296"/>
      <c r="D25" s="296"/>
      <c r="E25" s="296"/>
      <c r="F25" s="297">
        <v>2</v>
      </c>
      <c r="G25" s="297">
        <f>2-0.35</f>
        <v>1.65</v>
      </c>
      <c r="H25" s="297">
        <v>0.94</v>
      </c>
      <c r="I25" s="297"/>
      <c r="J25" s="297"/>
      <c r="K25" s="297"/>
      <c r="L25" s="297"/>
      <c r="M25" s="297"/>
      <c r="N25" s="297"/>
      <c r="O25" s="297"/>
      <c r="P25" s="297">
        <f t="shared" si="10"/>
        <v>2</v>
      </c>
      <c r="Q25" s="297">
        <f t="shared" si="10"/>
        <v>1.65</v>
      </c>
      <c r="R25" s="297">
        <f>H25</f>
        <v>0.94</v>
      </c>
      <c r="S25" s="297">
        <f t="shared" si="11"/>
        <v>7.3</v>
      </c>
      <c r="T25" s="297">
        <f t="shared" si="12"/>
        <v>3.3</v>
      </c>
      <c r="U25" s="297"/>
      <c r="V25" s="297"/>
      <c r="W25" s="297"/>
      <c r="X25" s="297"/>
      <c r="Y25" s="297"/>
      <c r="Z25" s="271"/>
    </row>
    <row r="26" spans="1:26" ht="22.5" customHeight="1">
      <c r="A26" s="296">
        <f t="shared" si="13"/>
        <v>3</v>
      </c>
      <c r="B26" s="271" t="s">
        <v>455</v>
      </c>
      <c r="C26" s="296">
        <v>2</v>
      </c>
      <c r="D26" s="296">
        <v>1</v>
      </c>
      <c r="E26" s="296"/>
      <c r="F26" s="297">
        <v>2</v>
      </c>
      <c r="G26" s="297">
        <v>2</v>
      </c>
      <c r="H26" s="297">
        <v>1.5</v>
      </c>
      <c r="I26" s="297"/>
      <c r="J26" s="297"/>
      <c r="K26" s="297">
        <f t="shared" ref="K26:L28" si="14">IF(F26&gt;0,F26+2*0.1,"")</f>
        <v>2.2000000000000002</v>
      </c>
      <c r="L26" s="297">
        <f t="shared" si="14"/>
        <v>2.2000000000000002</v>
      </c>
      <c r="M26" s="297">
        <v>0.1</v>
      </c>
      <c r="N26" s="297">
        <f>2*(K26+L26)</f>
        <v>8.8000000000000007</v>
      </c>
      <c r="O26" s="297">
        <f>K26*L26</f>
        <v>4.8400000000000007</v>
      </c>
      <c r="P26" s="297">
        <f t="shared" si="10"/>
        <v>2</v>
      </c>
      <c r="Q26" s="297">
        <f t="shared" si="10"/>
        <v>2</v>
      </c>
      <c r="R26" s="297">
        <f>H26-0.3</f>
        <v>1.2</v>
      </c>
      <c r="S26" s="297">
        <f t="shared" si="11"/>
        <v>8</v>
      </c>
      <c r="T26" s="297">
        <f t="shared" si="12"/>
        <v>4</v>
      </c>
      <c r="U26" s="297">
        <f t="shared" ref="U26:V28" si="15">IF(F26&gt;0,F26+2*0.8,"")</f>
        <v>3.6</v>
      </c>
      <c r="V26" s="297">
        <f t="shared" si="15"/>
        <v>3.6</v>
      </c>
      <c r="W26" s="297">
        <f>H26-0.3</f>
        <v>1.2</v>
      </c>
      <c r="X26" s="297"/>
      <c r="Y26" s="297">
        <f>U26*V26</f>
        <v>12.96</v>
      </c>
      <c r="Z26" s="271"/>
    </row>
    <row r="27" spans="1:26" ht="22.5" customHeight="1">
      <c r="A27" s="296">
        <f t="shared" si="13"/>
        <v>4</v>
      </c>
      <c r="B27" s="271" t="s">
        <v>456</v>
      </c>
      <c r="C27" s="296">
        <v>3</v>
      </c>
      <c r="D27" s="296"/>
      <c r="E27" s="296">
        <v>1</v>
      </c>
      <c r="F27" s="297">
        <v>1.6</v>
      </c>
      <c r="G27" s="297">
        <v>1.6</v>
      </c>
      <c r="H27" s="297">
        <v>1.5</v>
      </c>
      <c r="I27" s="297"/>
      <c r="J27" s="297"/>
      <c r="K27" s="297">
        <f t="shared" si="14"/>
        <v>1.8</v>
      </c>
      <c r="L27" s="297">
        <f t="shared" si="14"/>
        <v>1.8</v>
      </c>
      <c r="M27" s="297">
        <v>0.1</v>
      </c>
      <c r="N27" s="297">
        <f>2*(K27+L27)</f>
        <v>7.2</v>
      </c>
      <c r="O27" s="297">
        <f>K27*L27</f>
        <v>3.24</v>
      </c>
      <c r="P27" s="297">
        <f t="shared" si="10"/>
        <v>1.6</v>
      </c>
      <c r="Q27" s="297">
        <f t="shared" si="10"/>
        <v>1.6</v>
      </c>
      <c r="R27" s="297">
        <f>H27-0.3</f>
        <v>1.2</v>
      </c>
      <c r="S27" s="297">
        <f t="shared" si="11"/>
        <v>6.4</v>
      </c>
      <c r="T27" s="297">
        <f t="shared" si="12"/>
        <v>2.5600000000000005</v>
      </c>
      <c r="U27" s="297">
        <f t="shared" si="15"/>
        <v>3.2</v>
      </c>
      <c r="V27" s="297">
        <f t="shared" si="15"/>
        <v>3.2</v>
      </c>
      <c r="W27" s="297">
        <f>H27-0.3</f>
        <v>1.2</v>
      </c>
      <c r="X27" s="297"/>
      <c r="Y27" s="297">
        <f>U27*V27</f>
        <v>10.240000000000002</v>
      </c>
      <c r="Z27" s="271"/>
    </row>
    <row r="28" spans="1:26" ht="22.5" customHeight="1">
      <c r="A28" s="296">
        <f t="shared" si="13"/>
        <v>5</v>
      </c>
      <c r="B28" s="271" t="s">
        <v>471</v>
      </c>
      <c r="C28" s="296">
        <v>1</v>
      </c>
      <c r="D28" s="296"/>
      <c r="E28" s="296">
        <v>2</v>
      </c>
      <c r="F28" s="297">
        <v>4</v>
      </c>
      <c r="G28" s="297">
        <v>1.6</v>
      </c>
      <c r="H28" s="297">
        <v>1.5</v>
      </c>
      <c r="I28" s="297"/>
      <c r="J28" s="297"/>
      <c r="K28" s="297">
        <f t="shared" si="14"/>
        <v>4.2</v>
      </c>
      <c r="L28" s="297">
        <f t="shared" si="14"/>
        <v>1.8</v>
      </c>
      <c r="M28" s="297">
        <v>0.1</v>
      </c>
      <c r="N28" s="297">
        <f>2*(K28+L28)</f>
        <v>12</v>
      </c>
      <c r="O28" s="297">
        <f>K28*L28</f>
        <v>7.5600000000000005</v>
      </c>
      <c r="P28" s="297">
        <f t="shared" si="10"/>
        <v>4</v>
      </c>
      <c r="Q28" s="297">
        <f t="shared" si="10"/>
        <v>1.6</v>
      </c>
      <c r="R28" s="297">
        <f>H28-0.3</f>
        <v>1.2</v>
      </c>
      <c r="S28" s="297">
        <f t="shared" si="11"/>
        <v>11.2</v>
      </c>
      <c r="T28" s="297">
        <f t="shared" si="12"/>
        <v>6.4</v>
      </c>
      <c r="U28" s="297">
        <f t="shared" si="15"/>
        <v>5.6</v>
      </c>
      <c r="V28" s="297">
        <f t="shared" si="15"/>
        <v>3.2</v>
      </c>
      <c r="W28" s="297">
        <f>H28-0.3+H29</f>
        <v>2.1399999999999997</v>
      </c>
      <c r="X28" s="297"/>
      <c r="Y28" s="297">
        <f>U28*V28</f>
        <v>17.919999999999998</v>
      </c>
      <c r="Z28" s="271"/>
    </row>
    <row r="29" spans="1:26" ht="22.5" customHeight="1">
      <c r="A29" s="296">
        <f t="shared" si="13"/>
        <v>6</v>
      </c>
      <c r="B29" s="271" t="s">
        <v>470</v>
      </c>
      <c r="C29" s="296"/>
      <c r="D29" s="296"/>
      <c r="E29" s="296"/>
      <c r="F29" s="297">
        <v>2.6</v>
      </c>
      <c r="G29" s="297">
        <v>1.6</v>
      </c>
      <c r="H29" s="297">
        <v>0.94</v>
      </c>
      <c r="I29" s="297"/>
      <c r="J29" s="297"/>
      <c r="K29" s="297"/>
      <c r="L29" s="297"/>
      <c r="M29" s="297"/>
      <c r="N29" s="297"/>
      <c r="O29" s="297"/>
      <c r="P29" s="297">
        <f t="shared" si="10"/>
        <v>2.6</v>
      </c>
      <c r="Q29" s="297">
        <f t="shared" si="10"/>
        <v>1.6</v>
      </c>
      <c r="R29" s="297">
        <f>H29</f>
        <v>0.94</v>
      </c>
      <c r="S29" s="297">
        <f t="shared" si="11"/>
        <v>8.4</v>
      </c>
      <c r="T29" s="297">
        <f t="shared" si="12"/>
        <v>4.16</v>
      </c>
      <c r="U29" s="297"/>
      <c r="V29" s="297"/>
      <c r="W29" s="297"/>
      <c r="X29" s="297"/>
      <c r="Y29" s="297"/>
      <c r="Z29" s="271"/>
    </row>
    <row r="30" spans="1:26" s="295" customFormat="1" ht="20" customHeight="1">
      <c r="A30" s="293" t="s">
        <v>4</v>
      </c>
      <c r="B30" s="74" t="s">
        <v>537</v>
      </c>
      <c r="C30" s="293">
        <f>SUBTOTAL(9,C31:C34)</f>
        <v>15</v>
      </c>
      <c r="D30" s="293"/>
      <c r="E30" s="29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323"/>
      <c r="S30" s="323"/>
      <c r="T30" s="323"/>
      <c r="U30" s="323"/>
      <c r="V30" s="323"/>
      <c r="W30" s="323"/>
      <c r="X30" s="323"/>
      <c r="Y30" s="323"/>
      <c r="Z30" s="74"/>
    </row>
    <row r="31" spans="1:26" ht="22.5" customHeight="1">
      <c r="A31" s="296">
        <v>1</v>
      </c>
      <c r="B31" s="271" t="s">
        <v>446</v>
      </c>
      <c r="C31" s="296">
        <v>1</v>
      </c>
      <c r="D31" s="296">
        <v>1</v>
      </c>
      <c r="E31" s="296"/>
      <c r="F31" s="297">
        <v>2</v>
      </c>
      <c r="G31" s="297">
        <v>2</v>
      </c>
      <c r="H31" s="297">
        <v>1.5</v>
      </c>
      <c r="I31" s="297"/>
      <c r="J31" s="297"/>
      <c r="K31" s="297">
        <f t="shared" ref="K31:L34" si="16">IF(F31&gt;0,F31+2*0.1,"")</f>
        <v>2.2000000000000002</v>
      </c>
      <c r="L31" s="297">
        <f t="shared" si="16"/>
        <v>2.2000000000000002</v>
      </c>
      <c r="M31" s="297">
        <v>0.1</v>
      </c>
      <c r="N31" s="297">
        <f>2*(K31+L31)</f>
        <v>8.8000000000000007</v>
      </c>
      <c r="O31" s="297">
        <f>K31*L31</f>
        <v>4.8400000000000007</v>
      </c>
      <c r="P31" s="297">
        <f t="shared" ref="P31:Q34" si="17">F31</f>
        <v>2</v>
      </c>
      <c r="Q31" s="297">
        <f t="shared" si="17"/>
        <v>2</v>
      </c>
      <c r="R31" s="297">
        <f>H31-0.3</f>
        <v>1.2</v>
      </c>
      <c r="S31" s="297">
        <f>2*(P31+Q31)</f>
        <v>8</v>
      </c>
      <c r="T31" s="297">
        <f>P31*Q31</f>
        <v>4</v>
      </c>
      <c r="U31" s="297">
        <f t="shared" ref="U31:V34" si="18">IF(F31&gt;0,F31+2*0.8,"")</f>
        <v>3.6</v>
      </c>
      <c r="V31" s="297">
        <f t="shared" si="18"/>
        <v>3.6</v>
      </c>
      <c r="W31" s="297">
        <f>H31-0.3</f>
        <v>1.2</v>
      </c>
      <c r="X31" s="297"/>
      <c r="Y31" s="297">
        <f>U31*V31</f>
        <v>12.96</v>
      </c>
      <c r="Z31" s="271"/>
    </row>
    <row r="32" spans="1:26" ht="22.5" customHeight="1">
      <c r="A32" s="296">
        <f t="shared" ref="A32:A34" si="19">A31+1</f>
        <v>2</v>
      </c>
      <c r="B32" s="271" t="s">
        <v>462</v>
      </c>
      <c r="C32" s="296">
        <v>12</v>
      </c>
      <c r="D32" s="296"/>
      <c r="E32" s="296">
        <v>1</v>
      </c>
      <c r="F32" s="297">
        <v>1.6</v>
      </c>
      <c r="G32" s="297">
        <v>1.81</v>
      </c>
      <c r="H32" s="297">
        <v>1.5</v>
      </c>
      <c r="I32" s="297"/>
      <c r="J32" s="297"/>
      <c r="K32" s="297">
        <f t="shared" si="16"/>
        <v>1.8</v>
      </c>
      <c r="L32" s="297">
        <f t="shared" si="16"/>
        <v>2.0100000000000002</v>
      </c>
      <c r="M32" s="297">
        <v>0.1</v>
      </c>
      <c r="N32" s="297">
        <f>2*(K32+L32)</f>
        <v>7.620000000000001</v>
      </c>
      <c r="O32" s="297">
        <f>K32*L32</f>
        <v>3.6180000000000003</v>
      </c>
      <c r="P32" s="297">
        <f t="shared" si="17"/>
        <v>1.6</v>
      </c>
      <c r="Q32" s="297">
        <f t="shared" si="17"/>
        <v>1.81</v>
      </c>
      <c r="R32" s="297">
        <f>H32-0.3</f>
        <v>1.2</v>
      </c>
      <c r="S32" s="297">
        <f>2*(P32+Q32)</f>
        <v>6.82</v>
      </c>
      <c r="T32" s="297">
        <f>P32*Q32</f>
        <v>2.8960000000000004</v>
      </c>
      <c r="U32" s="297">
        <f t="shared" si="18"/>
        <v>3.2</v>
      </c>
      <c r="V32" s="297">
        <f t="shared" si="18"/>
        <v>3.41</v>
      </c>
      <c r="W32" s="297">
        <f>H32-0.3</f>
        <v>1.2</v>
      </c>
      <c r="X32" s="297"/>
      <c r="Y32" s="297">
        <f>U32*V32</f>
        <v>10.912000000000001</v>
      </c>
      <c r="Z32" s="271"/>
    </row>
    <row r="33" spans="1:26" ht="22.5" customHeight="1">
      <c r="A33" s="296">
        <f t="shared" si="19"/>
        <v>3</v>
      </c>
      <c r="B33" s="271" t="s">
        <v>464</v>
      </c>
      <c r="C33" s="296">
        <v>1</v>
      </c>
      <c r="D33" s="296"/>
      <c r="E33" s="296">
        <v>1</v>
      </c>
      <c r="F33" s="297"/>
      <c r="G33" s="297"/>
      <c r="H33" s="297">
        <v>1.5</v>
      </c>
      <c r="I33" s="297">
        <v>9.36</v>
      </c>
      <c r="J33" s="297">
        <v>4.3499999999999996</v>
      </c>
      <c r="K33" s="297" t="str">
        <f t="shared" si="16"/>
        <v/>
      </c>
      <c r="L33" s="297" t="str">
        <f t="shared" si="16"/>
        <v/>
      </c>
      <c r="M33" s="297">
        <v>0.1</v>
      </c>
      <c r="N33" s="297">
        <v>9.94</v>
      </c>
      <c r="O33" s="297">
        <v>5.3</v>
      </c>
      <c r="P33" s="297">
        <f t="shared" si="17"/>
        <v>0</v>
      </c>
      <c r="Q33" s="297">
        <f t="shared" si="17"/>
        <v>0</v>
      </c>
      <c r="R33" s="297">
        <f>H33-0.3</f>
        <v>1.2</v>
      </c>
      <c r="S33" s="297">
        <f>I33</f>
        <v>9.36</v>
      </c>
      <c r="T33" s="297">
        <f>J33</f>
        <v>4.3499999999999996</v>
      </c>
      <c r="U33" s="297" t="str">
        <f t="shared" si="18"/>
        <v/>
      </c>
      <c r="V33" s="297" t="str">
        <f t="shared" si="18"/>
        <v/>
      </c>
      <c r="W33" s="297">
        <f>H33-0.3</f>
        <v>1.2</v>
      </c>
      <c r="X33" s="297"/>
      <c r="Y33" s="297">
        <v>14.46</v>
      </c>
      <c r="Z33" s="271">
        <v>40.43</v>
      </c>
    </row>
    <row r="34" spans="1:26" ht="22.5" customHeight="1">
      <c r="A34" s="296">
        <f t="shared" si="19"/>
        <v>4</v>
      </c>
      <c r="B34" s="271" t="s">
        <v>463</v>
      </c>
      <c r="C34" s="296">
        <v>1</v>
      </c>
      <c r="D34" s="296"/>
      <c r="E34" s="296">
        <v>1</v>
      </c>
      <c r="F34" s="297"/>
      <c r="G34" s="297"/>
      <c r="H34" s="297">
        <v>1.5</v>
      </c>
      <c r="I34" s="297">
        <v>8.4600000000000009</v>
      </c>
      <c r="J34" s="297">
        <v>4.16</v>
      </c>
      <c r="K34" s="297" t="str">
        <f t="shared" si="16"/>
        <v/>
      </c>
      <c r="L34" s="297" t="str">
        <f t="shared" si="16"/>
        <v/>
      </c>
      <c r="M34" s="297">
        <v>0.1</v>
      </c>
      <c r="N34" s="297">
        <v>9.2799999999999994</v>
      </c>
      <c r="O34" s="297">
        <v>5.04</v>
      </c>
      <c r="P34" s="297">
        <f t="shared" si="17"/>
        <v>0</v>
      </c>
      <c r="Q34" s="297">
        <f t="shared" si="17"/>
        <v>0</v>
      </c>
      <c r="R34" s="297">
        <f>H34-0.3</f>
        <v>1.2</v>
      </c>
      <c r="S34" s="297">
        <f>I34</f>
        <v>8.4600000000000009</v>
      </c>
      <c r="T34" s="297">
        <f>J34</f>
        <v>4.16</v>
      </c>
      <c r="U34" s="297" t="str">
        <f t="shared" si="18"/>
        <v/>
      </c>
      <c r="V34" s="297" t="str">
        <f t="shared" si="18"/>
        <v/>
      </c>
      <c r="W34" s="297">
        <f>H34-0.3</f>
        <v>1.2</v>
      </c>
      <c r="X34" s="297"/>
      <c r="Y34" s="297">
        <v>13.54</v>
      </c>
      <c r="Z34" s="271">
        <v>37.4</v>
      </c>
    </row>
    <row r="35" spans="1:26" s="295" customFormat="1" ht="20" customHeight="1">
      <c r="A35" s="293" t="s">
        <v>4</v>
      </c>
      <c r="B35" s="74" t="s">
        <v>538</v>
      </c>
      <c r="C35" s="293">
        <f>SUBTOTAL(9,C36:C55)</f>
        <v>93</v>
      </c>
      <c r="D35" s="293"/>
      <c r="E35" s="293"/>
      <c r="F35" s="323"/>
      <c r="G35" s="323"/>
      <c r="H35" s="323"/>
      <c r="I35" s="323"/>
      <c r="J35" s="323"/>
      <c r="K35" s="323"/>
      <c r="L35" s="323"/>
      <c r="M35" s="323"/>
      <c r="N35" s="323"/>
      <c r="O35" s="323"/>
      <c r="P35" s="323"/>
      <c r="Q35" s="323"/>
      <c r="R35" s="323"/>
      <c r="S35" s="323"/>
      <c r="T35" s="323"/>
      <c r="U35" s="323"/>
      <c r="V35" s="323"/>
      <c r="W35" s="323"/>
      <c r="X35" s="323"/>
      <c r="Y35" s="323"/>
      <c r="Z35" s="74"/>
    </row>
    <row r="36" spans="1:26" ht="22.5" customHeight="1">
      <c r="A36" s="296">
        <v>1</v>
      </c>
      <c r="B36" s="271" t="s">
        <v>446</v>
      </c>
      <c r="C36" s="296">
        <v>36</v>
      </c>
      <c r="D36" s="296">
        <v>1</v>
      </c>
      <c r="E36" s="296"/>
      <c r="F36" s="297">
        <v>2</v>
      </c>
      <c r="G36" s="297">
        <v>2</v>
      </c>
      <c r="H36" s="297">
        <v>1.5</v>
      </c>
      <c r="I36" s="297"/>
      <c r="J36" s="297"/>
      <c r="K36" s="297">
        <f t="shared" ref="K36:L36" si="20">IF(F36&gt;0,F36+2*0.1,"")</f>
        <v>2.2000000000000002</v>
      </c>
      <c r="L36" s="297">
        <f t="shared" si="20"/>
        <v>2.2000000000000002</v>
      </c>
      <c r="M36" s="297">
        <v>0.1</v>
      </c>
      <c r="N36" s="297">
        <f t="shared" ref="N36:N43" si="21">2*(K36+L36)</f>
        <v>8.8000000000000007</v>
      </c>
      <c r="O36" s="297">
        <f t="shared" ref="O36:O43" si="22">K36*L36</f>
        <v>4.8400000000000007</v>
      </c>
      <c r="P36" s="297">
        <f t="shared" ref="P36:Q36" si="23">F36</f>
        <v>2</v>
      </c>
      <c r="Q36" s="297">
        <f t="shared" si="23"/>
        <v>2</v>
      </c>
      <c r="R36" s="297">
        <f>H36-0.3</f>
        <v>1.2</v>
      </c>
      <c r="S36" s="297">
        <f t="shared" ref="S36" si="24">2*(P36+Q36)</f>
        <v>8</v>
      </c>
      <c r="T36" s="297">
        <f t="shared" ref="T36" si="25">P36*Q36</f>
        <v>4</v>
      </c>
      <c r="U36" s="297">
        <f t="shared" ref="U36:V36" si="26">IF(F36&gt;0,F36+2*0.8,"")</f>
        <v>3.6</v>
      </c>
      <c r="V36" s="297">
        <f t="shared" si="26"/>
        <v>3.6</v>
      </c>
      <c r="W36" s="297">
        <f>H36-0.3</f>
        <v>1.2</v>
      </c>
      <c r="X36" s="297"/>
      <c r="Y36" s="297">
        <f t="shared" ref="Y36:Y43" si="27">U36*V36</f>
        <v>12.96</v>
      </c>
      <c r="Z36" s="271"/>
    </row>
    <row r="37" spans="1:26" ht="22.5" customHeight="1">
      <c r="A37" s="296">
        <f t="shared" ref="A37:A55" si="28">A36+1</f>
        <v>2</v>
      </c>
      <c r="B37" s="271" t="s">
        <v>462</v>
      </c>
      <c r="C37" s="296">
        <v>37</v>
      </c>
      <c r="D37" s="296"/>
      <c r="E37" s="296">
        <v>1</v>
      </c>
      <c r="F37" s="297">
        <v>1.6</v>
      </c>
      <c r="G37" s="297">
        <v>1.81</v>
      </c>
      <c r="H37" s="297">
        <v>1.5</v>
      </c>
      <c r="I37" s="297"/>
      <c r="J37" s="297"/>
      <c r="K37" s="297">
        <f>IF(F37&gt;0,F37+2*0.1,"")</f>
        <v>1.8</v>
      </c>
      <c r="L37" s="297">
        <f>IF(G37&gt;0,G37+2*0.1,"")</f>
        <v>2.0100000000000002</v>
      </c>
      <c r="M37" s="297">
        <v>0.1</v>
      </c>
      <c r="N37" s="297">
        <f t="shared" si="21"/>
        <v>7.620000000000001</v>
      </c>
      <c r="O37" s="297">
        <f t="shared" si="22"/>
        <v>3.6180000000000003</v>
      </c>
      <c r="P37" s="297">
        <f>F37</f>
        <v>1.6</v>
      </c>
      <c r="Q37" s="297">
        <f>G37</f>
        <v>1.81</v>
      </c>
      <c r="R37" s="297">
        <f>H37-0.3</f>
        <v>1.2</v>
      </c>
      <c r="S37" s="297">
        <f>2*(P37+Q37)</f>
        <v>6.82</v>
      </c>
      <c r="T37" s="297">
        <f>P37*Q37</f>
        <v>2.8960000000000004</v>
      </c>
      <c r="U37" s="297">
        <f>IF(F37&gt;0,F37+2*0.8,"")</f>
        <v>3.2</v>
      </c>
      <c r="V37" s="297">
        <f>IF(G37&gt;0,G37+2*0.8,"")</f>
        <v>3.41</v>
      </c>
      <c r="W37" s="297">
        <f>H37-0.3</f>
        <v>1.2</v>
      </c>
      <c r="X37" s="297"/>
      <c r="Y37" s="297">
        <f t="shared" si="27"/>
        <v>10.912000000000001</v>
      </c>
      <c r="Z37" s="271"/>
    </row>
    <row r="38" spans="1:26" ht="22.5" customHeight="1">
      <c r="A38" s="296">
        <f t="shared" si="28"/>
        <v>3</v>
      </c>
      <c r="B38" s="271" t="s">
        <v>461</v>
      </c>
      <c r="C38" s="296">
        <v>5</v>
      </c>
      <c r="D38" s="296"/>
      <c r="E38" s="296">
        <v>1</v>
      </c>
      <c r="F38" s="297">
        <v>1.6</v>
      </c>
      <c r="G38" s="297">
        <v>1.81</v>
      </c>
      <c r="H38" s="297">
        <v>1.5</v>
      </c>
      <c r="I38" s="297"/>
      <c r="J38" s="297"/>
      <c r="K38" s="297">
        <f t="shared" ref="K38:L43" si="29">IF(F38&gt;0,F38+2*0.1,"")</f>
        <v>1.8</v>
      </c>
      <c r="L38" s="297">
        <f t="shared" si="29"/>
        <v>2.0100000000000002</v>
      </c>
      <c r="M38" s="297">
        <v>0.1</v>
      </c>
      <c r="N38" s="297">
        <f t="shared" si="21"/>
        <v>7.620000000000001</v>
      </c>
      <c r="O38" s="297">
        <f t="shared" si="22"/>
        <v>3.6180000000000003</v>
      </c>
      <c r="P38" s="297">
        <f t="shared" ref="P38:Q44" si="30">F38</f>
        <v>1.6</v>
      </c>
      <c r="Q38" s="297">
        <f t="shared" si="30"/>
        <v>1.81</v>
      </c>
      <c r="R38" s="297">
        <f>H38-0.3</f>
        <v>1.2</v>
      </c>
      <c r="S38" s="297">
        <f>2*(P38+Q38)</f>
        <v>6.82</v>
      </c>
      <c r="T38" s="297">
        <f>P38*Q38</f>
        <v>2.8960000000000004</v>
      </c>
      <c r="U38" s="297">
        <f t="shared" ref="U38:V43" si="31">IF(F38&gt;0,F38+2*0.8,"")</f>
        <v>3.2</v>
      </c>
      <c r="V38" s="297">
        <f t="shared" si="31"/>
        <v>3.41</v>
      </c>
      <c r="W38" s="297">
        <f>H38-0.3</f>
        <v>1.2</v>
      </c>
      <c r="X38" s="297"/>
      <c r="Y38" s="297">
        <f t="shared" si="27"/>
        <v>10.912000000000001</v>
      </c>
      <c r="Z38" s="271"/>
    </row>
    <row r="39" spans="1:26" ht="22.5" customHeight="1">
      <c r="A39" s="296">
        <f t="shared" si="28"/>
        <v>4</v>
      </c>
      <c r="B39" s="271" t="s">
        <v>465</v>
      </c>
      <c r="C39" s="296">
        <v>1</v>
      </c>
      <c r="D39" s="296">
        <v>1</v>
      </c>
      <c r="E39" s="296"/>
      <c r="F39" s="297">
        <v>3</v>
      </c>
      <c r="G39" s="297">
        <v>2</v>
      </c>
      <c r="H39" s="297">
        <v>1.5</v>
      </c>
      <c r="I39" s="297"/>
      <c r="J39" s="297"/>
      <c r="K39" s="297">
        <f t="shared" si="29"/>
        <v>3.2</v>
      </c>
      <c r="L39" s="297">
        <f t="shared" si="29"/>
        <v>2.2000000000000002</v>
      </c>
      <c r="M39" s="297">
        <v>0.1</v>
      </c>
      <c r="N39" s="297">
        <f t="shared" si="21"/>
        <v>10.8</v>
      </c>
      <c r="O39" s="297">
        <f t="shared" si="22"/>
        <v>7.0400000000000009</v>
      </c>
      <c r="P39" s="297">
        <f t="shared" si="30"/>
        <v>3</v>
      </c>
      <c r="Q39" s="297">
        <f t="shared" si="30"/>
        <v>2</v>
      </c>
      <c r="R39" s="297">
        <f t="shared" ref="R39" si="32">H39-0.3</f>
        <v>1.2</v>
      </c>
      <c r="S39" s="297">
        <f t="shared" ref="S39:S54" si="33">2*(P39+Q39)</f>
        <v>10</v>
      </c>
      <c r="T39" s="297">
        <f t="shared" ref="T39:T54" si="34">P39*Q39</f>
        <v>6</v>
      </c>
      <c r="U39" s="297">
        <f t="shared" si="31"/>
        <v>4.5999999999999996</v>
      </c>
      <c r="V39" s="297">
        <f t="shared" si="31"/>
        <v>3.6</v>
      </c>
      <c r="W39" s="297">
        <f t="shared" ref="W39" si="35">H39-0.3</f>
        <v>1.2</v>
      </c>
      <c r="X39" s="297"/>
      <c r="Y39" s="297">
        <f t="shared" si="27"/>
        <v>16.559999999999999</v>
      </c>
      <c r="Z39" s="271"/>
    </row>
    <row r="40" spans="1:26" ht="22.5" customHeight="1">
      <c r="A40" s="296">
        <f t="shared" si="28"/>
        <v>5</v>
      </c>
      <c r="B40" s="271" t="s">
        <v>457</v>
      </c>
      <c r="C40" s="296">
        <v>1</v>
      </c>
      <c r="D40" s="296"/>
      <c r="E40" s="296">
        <v>1</v>
      </c>
      <c r="F40" s="297">
        <v>1.6</v>
      </c>
      <c r="G40" s="297">
        <v>1.6</v>
      </c>
      <c r="H40" s="297">
        <v>2.4</v>
      </c>
      <c r="I40" s="297"/>
      <c r="J40" s="297"/>
      <c r="K40" s="297">
        <f t="shared" si="29"/>
        <v>1.8</v>
      </c>
      <c r="L40" s="297">
        <f t="shared" si="29"/>
        <v>1.8</v>
      </c>
      <c r="M40" s="297">
        <v>0.1</v>
      </c>
      <c r="N40" s="297">
        <f t="shared" si="21"/>
        <v>7.2</v>
      </c>
      <c r="O40" s="297">
        <f t="shared" si="22"/>
        <v>3.24</v>
      </c>
      <c r="P40" s="297">
        <f t="shared" si="30"/>
        <v>1.6</v>
      </c>
      <c r="Q40" s="297">
        <f t="shared" si="30"/>
        <v>1.6</v>
      </c>
      <c r="R40" s="297">
        <f>H40-0.3</f>
        <v>2.1</v>
      </c>
      <c r="S40" s="297">
        <f t="shared" si="33"/>
        <v>6.4</v>
      </c>
      <c r="T40" s="297">
        <f t="shared" si="34"/>
        <v>2.5600000000000005</v>
      </c>
      <c r="U40" s="297">
        <f t="shared" si="31"/>
        <v>3.2</v>
      </c>
      <c r="V40" s="297">
        <f t="shared" si="31"/>
        <v>3.2</v>
      </c>
      <c r="W40" s="297">
        <f>H40-0.3</f>
        <v>2.1</v>
      </c>
      <c r="X40" s="297"/>
      <c r="Y40" s="297">
        <f t="shared" si="27"/>
        <v>10.240000000000002</v>
      </c>
      <c r="Z40" s="271"/>
    </row>
    <row r="41" spans="1:26" ht="22.5" customHeight="1">
      <c r="A41" s="296">
        <f t="shared" si="28"/>
        <v>6</v>
      </c>
      <c r="B41" s="271" t="s">
        <v>467</v>
      </c>
      <c r="C41" s="296">
        <v>1</v>
      </c>
      <c r="D41" s="296">
        <v>2</v>
      </c>
      <c r="E41" s="296"/>
      <c r="F41" s="297">
        <v>5.6</v>
      </c>
      <c r="G41" s="297">
        <v>2</v>
      </c>
      <c r="H41" s="297">
        <v>3</v>
      </c>
      <c r="I41" s="297"/>
      <c r="J41" s="297"/>
      <c r="K41" s="297">
        <f t="shared" si="29"/>
        <v>5.8</v>
      </c>
      <c r="L41" s="297">
        <f t="shared" si="29"/>
        <v>2.2000000000000002</v>
      </c>
      <c r="M41" s="297">
        <v>0.1</v>
      </c>
      <c r="N41" s="297">
        <f t="shared" si="21"/>
        <v>16</v>
      </c>
      <c r="O41" s="297">
        <f t="shared" si="22"/>
        <v>12.76</v>
      </c>
      <c r="P41" s="297">
        <f t="shared" si="30"/>
        <v>5.6</v>
      </c>
      <c r="Q41" s="297">
        <f t="shared" si="30"/>
        <v>2</v>
      </c>
      <c r="R41" s="297">
        <f t="shared" ref="R41:R43" si="36">H41-0.3</f>
        <v>2.7</v>
      </c>
      <c r="S41" s="297">
        <f t="shared" si="33"/>
        <v>15.2</v>
      </c>
      <c r="T41" s="297">
        <f t="shared" si="34"/>
        <v>11.2</v>
      </c>
      <c r="U41" s="297">
        <f t="shared" si="31"/>
        <v>7.1999999999999993</v>
      </c>
      <c r="V41" s="297">
        <f t="shared" si="31"/>
        <v>3.6</v>
      </c>
      <c r="W41" s="297">
        <f t="shared" ref="W41:W43" si="37">H41-0.3</f>
        <v>2.7</v>
      </c>
      <c r="X41" s="297"/>
      <c r="Y41" s="297">
        <f t="shared" si="27"/>
        <v>25.919999999999998</v>
      </c>
      <c r="Z41" s="271"/>
    </row>
    <row r="42" spans="1:26" ht="22.5" customHeight="1">
      <c r="A42" s="296">
        <f t="shared" si="28"/>
        <v>7</v>
      </c>
      <c r="B42" s="271" t="s">
        <v>466</v>
      </c>
      <c r="C42" s="296">
        <v>1</v>
      </c>
      <c r="D42" s="296"/>
      <c r="E42" s="296">
        <v>2</v>
      </c>
      <c r="F42" s="297">
        <v>4</v>
      </c>
      <c r="G42" s="297">
        <v>1.6</v>
      </c>
      <c r="H42" s="297">
        <v>1.5</v>
      </c>
      <c r="I42" s="297"/>
      <c r="J42" s="297"/>
      <c r="K42" s="297">
        <f t="shared" si="29"/>
        <v>4.2</v>
      </c>
      <c r="L42" s="297">
        <f t="shared" si="29"/>
        <v>1.8</v>
      </c>
      <c r="M42" s="297">
        <v>0.1</v>
      </c>
      <c r="N42" s="297">
        <f t="shared" si="21"/>
        <v>12</v>
      </c>
      <c r="O42" s="297">
        <f t="shared" si="22"/>
        <v>7.5600000000000005</v>
      </c>
      <c r="P42" s="297">
        <f t="shared" si="30"/>
        <v>4</v>
      </c>
      <c r="Q42" s="297">
        <f t="shared" si="30"/>
        <v>1.6</v>
      </c>
      <c r="R42" s="297">
        <f t="shared" si="36"/>
        <v>1.2</v>
      </c>
      <c r="S42" s="297">
        <f t="shared" si="33"/>
        <v>11.2</v>
      </c>
      <c r="T42" s="297">
        <f t="shared" si="34"/>
        <v>6.4</v>
      </c>
      <c r="U42" s="297">
        <f t="shared" si="31"/>
        <v>5.6</v>
      </c>
      <c r="V42" s="297">
        <f t="shared" si="31"/>
        <v>3.2</v>
      </c>
      <c r="W42" s="297">
        <f t="shared" si="37"/>
        <v>1.2</v>
      </c>
      <c r="X42" s="297"/>
      <c r="Y42" s="297">
        <f t="shared" si="27"/>
        <v>17.919999999999998</v>
      </c>
      <c r="Z42" s="271"/>
    </row>
    <row r="43" spans="1:26" ht="22.5" customHeight="1">
      <c r="A43" s="296">
        <f t="shared" si="28"/>
        <v>8</v>
      </c>
      <c r="B43" s="271" t="s">
        <v>468</v>
      </c>
      <c r="C43" s="296">
        <v>1</v>
      </c>
      <c r="D43" s="296">
        <v>2</v>
      </c>
      <c r="E43" s="296"/>
      <c r="F43" s="297">
        <v>5.05</v>
      </c>
      <c r="G43" s="297">
        <v>5.01</v>
      </c>
      <c r="H43" s="297">
        <v>3.05</v>
      </c>
      <c r="I43" s="297"/>
      <c r="J43" s="297"/>
      <c r="K43" s="297">
        <f t="shared" si="29"/>
        <v>5.25</v>
      </c>
      <c r="L43" s="297">
        <f t="shared" si="29"/>
        <v>5.21</v>
      </c>
      <c r="M43" s="297">
        <v>0.1</v>
      </c>
      <c r="N43" s="297">
        <f t="shared" si="21"/>
        <v>20.92</v>
      </c>
      <c r="O43" s="297">
        <f t="shared" si="22"/>
        <v>27.352499999999999</v>
      </c>
      <c r="P43" s="297">
        <f t="shared" si="30"/>
        <v>5.05</v>
      </c>
      <c r="Q43" s="297">
        <f t="shared" si="30"/>
        <v>5.01</v>
      </c>
      <c r="R43" s="297">
        <f t="shared" si="36"/>
        <v>2.75</v>
      </c>
      <c r="S43" s="297">
        <f t="shared" si="33"/>
        <v>20.119999999999997</v>
      </c>
      <c r="T43" s="297">
        <f t="shared" si="34"/>
        <v>25.3005</v>
      </c>
      <c r="U43" s="297">
        <f t="shared" si="31"/>
        <v>6.65</v>
      </c>
      <c r="V43" s="297">
        <f t="shared" si="31"/>
        <v>6.6099999999999994</v>
      </c>
      <c r="W43" s="297">
        <f t="shared" si="37"/>
        <v>2.75</v>
      </c>
      <c r="X43" s="297"/>
      <c r="Y43" s="297">
        <f t="shared" si="27"/>
        <v>43.956499999999998</v>
      </c>
      <c r="Z43" s="271"/>
    </row>
    <row r="44" spans="1:26" ht="22.5" customHeight="1">
      <c r="A44" s="296">
        <f t="shared" si="28"/>
        <v>9</v>
      </c>
      <c r="B44" s="271" t="s">
        <v>469</v>
      </c>
      <c r="C44" s="296"/>
      <c r="D44" s="296"/>
      <c r="E44" s="296"/>
      <c r="F44" s="297">
        <v>-2.5</v>
      </c>
      <c r="G44" s="297">
        <v>-2.95</v>
      </c>
      <c r="H44" s="297">
        <v>-1.25</v>
      </c>
      <c r="I44" s="297"/>
      <c r="J44" s="297"/>
      <c r="K44" s="297"/>
      <c r="L44" s="297"/>
      <c r="M44" s="297"/>
      <c r="N44" s="297"/>
      <c r="O44" s="297"/>
      <c r="P44" s="297">
        <f t="shared" si="30"/>
        <v>-2.5</v>
      </c>
      <c r="Q44" s="297">
        <f t="shared" si="30"/>
        <v>-2.95</v>
      </c>
      <c r="R44" s="297">
        <f>H44</f>
        <v>-1.25</v>
      </c>
      <c r="S44" s="297">
        <f t="shared" si="33"/>
        <v>-10.9</v>
      </c>
      <c r="T44" s="297">
        <f t="shared" si="34"/>
        <v>7.375</v>
      </c>
      <c r="U44" s="297"/>
      <c r="V44" s="297"/>
      <c r="W44" s="297"/>
      <c r="X44" s="297"/>
      <c r="Y44" s="297"/>
      <c r="Z44" s="271"/>
    </row>
    <row r="45" spans="1:26" ht="22.5" customHeight="1">
      <c r="A45" s="296">
        <f t="shared" si="28"/>
        <v>10</v>
      </c>
      <c r="B45" s="271" t="s">
        <v>484</v>
      </c>
      <c r="C45" s="296">
        <v>1</v>
      </c>
      <c r="D45" s="296">
        <v>3</v>
      </c>
      <c r="E45" s="296"/>
      <c r="F45" s="297"/>
      <c r="G45" s="297"/>
      <c r="H45" s="297">
        <v>3</v>
      </c>
      <c r="I45" s="297">
        <v>18.22</v>
      </c>
      <c r="J45" s="297">
        <v>20.27</v>
      </c>
      <c r="K45" s="297"/>
      <c r="L45" s="297"/>
      <c r="M45" s="297">
        <v>0.1</v>
      </c>
      <c r="N45" s="297">
        <v>18.95</v>
      </c>
      <c r="O45" s="297">
        <v>22.13</v>
      </c>
      <c r="P45" s="297"/>
      <c r="Q45" s="297"/>
      <c r="R45" s="297">
        <f t="shared" ref="R45:R51" si="38">H45-0.3</f>
        <v>2.7</v>
      </c>
      <c r="S45" s="297">
        <f>I45</f>
        <v>18.22</v>
      </c>
      <c r="T45" s="297">
        <f>J45</f>
        <v>20.27</v>
      </c>
      <c r="U45" s="297"/>
      <c r="V45" s="297"/>
      <c r="W45" s="297"/>
      <c r="X45" s="297"/>
      <c r="Y45" s="297">
        <v>37.200000000000003</v>
      </c>
      <c r="Z45" s="271">
        <v>129.19999999999999</v>
      </c>
    </row>
    <row r="46" spans="1:26" ht="22.5" customHeight="1">
      <c r="A46" s="296">
        <f t="shared" si="28"/>
        <v>11</v>
      </c>
      <c r="B46" s="271" t="s">
        <v>485</v>
      </c>
      <c r="C46" s="296">
        <v>2</v>
      </c>
      <c r="D46" s="296">
        <v>3</v>
      </c>
      <c r="E46" s="296"/>
      <c r="F46" s="297"/>
      <c r="G46" s="297"/>
      <c r="H46" s="297">
        <v>3</v>
      </c>
      <c r="I46" s="297">
        <v>21.8</v>
      </c>
      <c r="J46" s="297">
        <v>22.83</v>
      </c>
      <c r="K46" s="297"/>
      <c r="L46" s="297"/>
      <c r="M46" s="297">
        <v>0.1</v>
      </c>
      <c r="N46" s="297">
        <v>18.95</v>
      </c>
      <c r="O46" s="297">
        <v>22.13</v>
      </c>
      <c r="P46" s="297"/>
      <c r="Q46" s="297"/>
      <c r="R46" s="297">
        <f t="shared" si="38"/>
        <v>2.7</v>
      </c>
      <c r="S46" s="297">
        <f>I46</f>
        <v>21.8</v>
      </c>
      <c r="T46" s="297">
        <f>J46</f>
        <v>22.83</v>
      </c>
      <c r="U46" s="297"/>
      <c r="V46" s="297"/>
      <c r="W46" s="297"/>
      <c r="X46" s="297"/>
      <c r="Y46" s="297">
        <v>42.82</v>
      </c>
      <c r="Z46" s="271">
        <v>148.1</v>
      </c>
    </row>
    <row r="47" spans="1:26" ht="22.5" customHeight="1">
      <c r="A47" s="296">
        <f t="shared" si="28"/>
        <v>12</v>
      </c>
      <c r="B47" s="271" t="s">
        <v>472</v>
      </c>
      <c r="C47" s="296">
        <v>1</v>
      </c>
      <c r="D47" s="296">
        <v>6</v>
      </c>
      <c r="E47" s="296"/>
      <c r="F47" s="297">
        <v>21.5</v>
      </c>
      <c r="G47" s="297">
        <v>2</v>
      </c>
      <c r="H47" s="297">
        <v>3</v>
      </c>
      <c r="I47" s="297"/>
      <c r="J47" s="297"/>
      <c r="K47" s="297">
        <f t="shared" ref="K47:L51" si="39">IF(F47&gt;0,F47+2*0.1,"")</f>
        <v>21.7</v>
      </c>
      <c r="L47" s="297">
        <f t="shared" si="39"/>
        <v>2.2000000000000002</v>
      </c>
      <c r="M47" s="297">
        <v>0.1</v>
      </c>
      <c r="N47" s="297">
        <f>2*(K47+L47)</f>
        <v>47.8</v>
      </c>
      <c r="O47" s="297">
        <f>K47*L47</f>
        <v>47.74</v>
      </c>
      <c r="P47" s="297">
        <f t="shared" ref="P47:Q55" si="40">F47</f>
        <v>21.5</v>
      </c>
      <c r="Q47" s="297">
        <f t="shared" si="40"/>
        <v>2</v>
      </c>
      <c r="R47" s="297">
        <f t="shared" si="38"/>
        <v>2.7</v>
      </c>
      <c r="S47" s="297">
        <f t="shared" si="33"/>
        <v>47</v>
      </c>
      <c r="T47" s="297">
        <f t="shared" si="34"/>
        <v>43</v>
      </c>
      <c r="U47" s="297">
        <f t="shared" ref="U47:V51" si="41">IF(F47&gt;0,F47+2*0.8,"")</f>
        <v>23.1</v>
      </c>
      <c r="V47" s="297">
        <f t="shared" si="41"/>
        <v>3.6</v>
      </c>
      <c r="W47" s="297">
        <f>H47-0.3</f>
        <v>2.7</v>
      </c>
      <c r="X47" s="297"/>
      <c r="Y47" s="297">
        <f>U47*V47</f>
        <v>83.160000000000011</v>
      </c>
      <c r="Z47" s="271"/>
    </row>
    <row r="48" spans="1:26" ht="22.5" customHeight="1">
      <c r="A48" s="296">
        <f t="shared" si="28"/>
        <v>13</v>
      </c>
      <c r="B48" s="271" t="s">
        <v>473</v>
      </c>
      <c r="C48" s="296">
        <v>1</v>
      </c>
      <c r="D48" s="296"/>
      <c r="E48" s="296">
        <v>3</v>
      </c>
      <c r="F48" s="297">
        <v>6.62</v>
      </c>
      <c r="G48" s="297">
        <v>1.6</v>
      </c>
      <c r="H48" s="297">
        <v>1.5</v>
      </c>
      <c r="I48" s="297"/>
      <c r="J48" s="297"/>
      <c r="K48" s="297">
        <f t="shared" si="39"/>
        <v>6.82</v>
      </c>
      <c r="L48" s="297">
        <f t="shared" si="39"/>
        <v>1.8</v>
      </c>
      <c r="M48" s="297">
        <v>0.1</v>
      </c>
      <c r="N48" s="297">
        <f>2*(K48+L48)</f>
        <v>17.240000000000002</v>
      </c>
      <c r="O48" s="297">
        <f>K48*L48</f>
        <v>12.276000000000002</v>
      </c>
      <c r="P48" s="297">
        <f t="shared" si="40"/>
        <v>6.62</v>
      </c>
      <c r="Q48" s="297">
        <f t="shared" si="40"/>
        <v>1.6</v>
      </c>
      <c r="R48" s="297">
        <f t="shared" si="38"/>
        <v>1.2</v>
      </c>
      <c r="S48" s="297">
        <f t="shared" si="33"/>
        <v>16.440000000000001</v>
      </c>
      <c r="T48" s="297">
        <f t="shared" si="34"/>
        <v>10.592000000000001</v>
      </c>
      <c r="U48" s="297">
        <f t="shared" si="41"/>
        <v>8.2200000000000006</v>
      </c>
      <c r="V48" s="297">
        <f t="shared" si="41"/>
        <v>3.2</v>
      </c>
      <c r="W48" s="297">
        <f>H48-0.3</f>
        <v>1.2</v>
      </c>
      <c r="X48" s="297"/>
      <c r="Y48" s="297">
        <f>U48*V48</f>
        <v>26.304000000000002</v>
      </c>
      <c r="Z48" s="271"/>
    </row>
    <row r="49" spans="1:26" ht="22.5" customHeight="1">
      <c r="A49" s="296">
        <f t="shared" si="28"/>
        <v>14</v>
      </c>
      <c r="B49" s="271" t="s">
        <v>474</v>
      </c>
      <c r="C49" s="296">
        <v>1</v>
      </c>
      <c r="D49" s="296">
        <v>3</v>
      </c>
      <c r="E49" s="296"/>
      <c r="F49" s="297">
        <v>9.1999999999999993</v>
      </c>
      <c r="G49" s="297">
        <v>2</v>
      </c>
      <c r="H49" s="297">
        <v>3</v>
      </c>
      <c r="I49" s="297"/>
      <c r="J49" s="297"/>
      <c r="K49" s="297">
        <f t="shared" si="39"/>
        <v>9.3999999999999986</v>
      </c>
      <c r="L49" s="297">
        <f t="shared" si="39"/>
        <v>2.2000000000000002</v>
      </c>
      <c r="M49" s="297">
        <v>0.1</v>
      </c>
      <c r="N49" s="297">
        <f>2*(K49+L49)</f>
        <v>23.199999999999996</v>
      </c>
      <c r="O49" s="297">
        <f>K49*L49</f>
        <v>20.68</v>
      </c>
      <c r="P49" s="297">
        <f t="shared" si="40"/>
        <v>9.1999999999999993</v>
      </c>
      <c r="Q49" s="297">
        <f t="shared" si="40"/>
        <v>2</v>
      </c>
      <c r="R49" s="297">
        <f t="shared" si="38"/>
        <v>2.7</v>
      </c>
      <c r="S49" s="297">
        <f t="shared" si="33"/>
        <v>22.4</v>
      </c>
      <c r="T49" s="297">
        <f t="shared" si="34"/>
        <v>18.399999999999999</v>
      </c>
      <c r="U49" s="297">
        <f t="shared" si="41"/>
        <v>10.799999999999999</v>
      </c>
      <c r="V49" s="297">
        <f t="shared" si="41"/>
        <v>3.6</v>
      </c>
      <c r="W49" s="297">
        <f>H49-0.3</f>
        <v>2.7</v>
      </c>
      <c r="X49" s="297"/>
      <c r="Y49" s="297">
        <f>U49*V49</f>
        <v>38.879999999999995</v>
      </c>
      <c r="Z49" s="271"/>
    </row>
    <row r="50" spans="1:26" ht="22.5" customHeight="1">
      <c r="A50" s="296">
        <f t="shared" si="28"/>
        <v>15</v>
      </c>
      <c r="B50" s="271" t="s">
        <v>475</v>
      </c>
      <c r="C50" s="296">
        <v>1</v>
      </c>
      <c r="D50" s="296">
        <v>3</v>
      </c>
      <c r="E50" s="296"/>
      <c r="F50" s="297">
        <v>8</v>
      </c>
      <c r="G50" s="297">
        <v>2</v>
      </c>
      <c r="H50" s="297">
        <v>3</v>
      </c>
      <c r="I50" s="297"/>
      <c r="J50" s="297"/>
      <c r="K50" s="297">
        <f t="shared" si="39"/>
        <v>8.1999999999999993</v>
      </c>
      <c r="L50" s="297">
        <f t="shared" si="39"/>
        <v>2.2000000000000002</v>
      </c>
      <c r="M50" s="297">
        <v>0.1</v>
      </c>
      <c r="N50" s="297">
        <f>2*(K50+L50)</f>
        <v>20.799999999999997</v>
      </c>
      <c r="O50" s="297">
        <f>K50*L50</f>
        <v>18.04</v>
      </c>
      <c r="P50" s="297">
        <f t="shared" si="40"/>
        <v>8</v>
      </c>
      <c r="Q50" s="297">
        <f t="shared" si="40"/>
        <v>2</v>
      </c>
      <c r="R50" s="297">
        <f t="shared" si="38"/>
        <v>2.7</v>
      </c>
      <c r="S50" s="297">
        <f t="shared" si="33"/>
        <v>20</v>
      </c>
      <c r="T50" s="297">
        <f t="shared" si="34"/>
        <v>16</v>
      </c>
      <c r="U50" s="297">
        <f t="shared" si="41"/>
        <v>9.6</v>
      </c>
      <c r="V50" s="297">
        <f t="shared" si="41"/>
        <v>3.6</v>
      </c>
      <c r="W50" s="297">
        <f>H50-0.3</f>
        <v>2.7</v>
      </c>
      <c r="X50" s="297"/>
      <c r="Y50" s="297">
        <f>U50*V50</f>
        <v>34.56</v>
      </c>
      <c r="Z50" s="271"/>
    </row>
    <row r="51" spans="1:26" ht="22.5" customHeight="1">
      <c r="A51" s="296">
        <f t="shared" si="28"/>
        <v>16</v>
      </c>
      <c r="B51" s="271" t="s">
        <v>476</v>
      </c>
      <c r="C51" s="296">
        <v>1</v>
      </c>
      <c r="D51" s="296"/>
      <c r="E51" s="296">
        <v>3</v>
      </c>
      <c r="F51" s="297">
        <v>3.81</v>
      </c>
      <c r="G51" s="297">
        <v>3.91</v>
      </c>
      <c r="H51" s="297">
        <v>3.05</v>
      </c>
      <c r="I51" s="297"/>
      <c r="J51" s="297"/>
      <c r="K51" s="297">
        <f t="shared" si="39"/>
        <v>4.01</v>
      </c>
      <c r="L51" s="297">
        <f t="shared" si="39"/>
        <v>4.1100000000000003</v>
      </c>
      <c r="M51" s="297">
        <v>0.1</v>
      </c>
      <c r="N51" s="297">
        <f>2*(K51+L51)</f>
        <v>16.240000000000002</v>
      </c>
      <c r="O51" s="297">
        <f>K51*L51</f>
        <v>16.481100000000001</v>
      </c>
      <c r="P51" s="297">
        <f t="shared" si="40"/>
        <v>3.81</v>
      </c>
      <c r="Q51" s="297">
        <f t="shared" si="40"/>
        <v>3.91</v>
      </c>
      <c r="R51" s="297">
        <f t="shared" si="38"/>
        <v>2.75</v>
      </c>
      <c r="S51" s="297">
        <f t="shared" si="33"/>
        <v>15.440000000000001</v>
      </c>
      <c r="T51" s="297">
        <f t="shared" si="34"/>
        <v>14.8971</v>
      </c>
      <c r="U51" s="297">
        <f t="shared" si="41"/>
        <v>5.41</v>
      </c>
      <c r="V51" s="297">
        <f t="shared" si="41"/>
        <v>5.51</v>
      </c>
      <c r="W51" s="297">
        <f>H51-0.3</f>
        <v>2.75</v>
      </c>
      <c r="X51" s="297"/>
      <c r="Y51" s="297">
        <f>U51*V51</f>
        <v>29.809100000000001</v>
      </c>
      <c r="Z51" s="271"/>
    </row>
    <row r="52" spans="1:26" ht="22.5" customHeight="1">
      <c r="A52" s="296">
        <f t="shared" si="28"/>
        <v>17</v>
      </c>
      <c r="B52" s="271" t="s">
        <v>477</v>
      </c>
      <c r="C52" s="296"/>
      <c r="D52" s="296"/>
      <c r="E52" s="296"/>
      <c r="F52" s="297">
        <v>-1.94</v>
      </c>
      <c r="G52" s="297">
        <v>-2.5099999999999998</v>
      </c>
      <c r="H52" s="297">
        <v>-1.25</v>
      </c>
      <c r="I52" s="297"/>
      <c r="J52" s="297"/>
      <c r="K52" s="297"/>
      <c r="L52" s="297"/>
      <c r="M52" s="297"/>
      <c r="N52" s="297"/>
      <c r="O52" s="297"/>
      <c r="P52" s="297">
        <f t="shared" si="40"/>
        <v>-1.94</v>
      </c>
      <c r="Q52" s="297">
        <f t="shared" si="40"/>
        <v>-2.5099999999999998</v>
      </c>
      <c r="R52" s="297">
        <f>H52</f>
        <v>-1.25</v>
      </c>
      <c r="S52" s="297">
        <f t="shared" si="33"/>
        <v>-8.8999999999999986</v>
      </c>
      <c r="T52" s="297">
        <f t="shared" si="34"/>
        <v>4.8693999999999997</v>
      </c>
      <c r="U52" s="297"/>
      <c r="V52" s="297"/>
      <c r="W52" s="297"/>
      <c r="X52" s="297"/>
      <c r="Y52" s="297"/>
      <c r="Z52" s="271"/>
    </row>
    <row r="53" spans="1:26" ht="22.5" customHeight="1">
      <c r="A53" s="296">
        <f t="shared" si="28"/>
        <v>18</v>
      </c>
      <c r="B53" s="271" t="s">
        <v>478</v>
      </c>
      <c r="C53" s="296">
        <v>1</v>
      </c>
      <c r="D53" s="296">
        <v>4</v>
      </c>
      <c r="E53" s="296"/>
      <c r="F53" s="297">
        <v>8.6</v>
      </c>
      <c r="G53" s="297">
        <v>5.6</v>
      </c>
      <c r="H53" s="297">
        <v>3.05</v>
      </c>
      <c r="I53" s="297"/>
      <c r="J53" s="297"/>
      <c r="K53" s="297">
        <f>IF(F53&gt;0,F53+2*0.1,"")</f>
        <v>8.7999999999999989</v>
      </c>
      <c r="L53" s="297">
        <f>IF(G53&gt;0,G53+2*0.1,"")</f>
        <v>5.8</v>
      </c>
      <c r="M53" s="297">
        <v>0.1</v>
      </c>
      <c r="N53" s="297">
        <f>2*(K53+L53)</f>
        <v>29.199999999999996</v>
      </c>
      <c r="O53" s="297">
        <f>K53*L53</f>
        <v>51.039999999999992</v>
      </c>
      <c r="P53" s="297">
        <f t="shared" si="40"/>
        <v>8.6</v>
      </c>
      <c r="Q53" s="297">
        <f t="shared" si="40"/>
        <v>5.6</v>
      </c>
      <c r="R53" s="297">
        <f>H53-0.3</f>
        <v>2.75</v>
      </c>
      <c r="S53" s="297">
        <f t="shared" si="33"/>
        <v>28.4</v>
      </c>
      <c r="T53" s="297">
        <f t="shared" si="34"/>
        <v>48.16</v>
      </c>
      <c r="U53" s="297">
        <f>IF(F53&gt;0,F53+2*0.8,"")</f>
        <v>10.199999999999999</v>
      </c>
      <c r="V53" s="297">
        <f>IF(G53&gt;0,G53+2*0.8,"")</f>
        <v>7.1999999999999993</v>
      </c>
      <c r="W53" s="297">
        <f>H53-0.3</f>
        <v>2.75</v>
      </c>
      <c r="X53" s="297"/>
      <c r="Y53" s="297">
        <f>U53*V53</f>
        <v>73.439999999999984</v>
      </c>
      <c r="Z53" s="271"/>
    </row>
    <row r="54" spans="1:26" ht="22.5" customHeight="1">
      <c r="A54" s="296">
        <f t="shared" si="28"/>
        <v>19</v>
      </c>
      <c r="B54" s="271" t="s">
        <v>479</v>
      </c>
      <c r="C54" s="296"/>
      <c r="D54" s="296"/>
      <c r="E54" s="296"/>
      <c r="F54" s="297">
        <v>-2.4</v>
      </c>
      <c r="G54" s="297">
        <v>-5.2</v>
      </c>
      <c r="H54" s="297">
        <v>-1.25</v>
      </c>
      <c r="I54" s="297"/>
      <c r="J54" s="297"/>
      <c r="K54" s="297"/>
      <c r="L54" s="297"/>
      <c r="M54" s="297"/>
      <c r="N54" s="297"/>
      <c r="O54" s="297"/>
      <c r="P54" s="297">
        <f t="shared" si="40"/>
        <v>-2.4</v>
      </c>
      <c r="Q54" s="297">
        <f t="shared" si="40"/>
        <v>-5.2</v>
      </c>
      <c r="R54" s="297">
        <f>H54</f>
        <v>-1.25</v>
      </c>
      <c r="S54" s="297">
        <f t="shared" si="33"/>
        <v>-15.2</v>
      </c>
      <c r="T54" s="297">
        <f t="shared" si="34"/>
        <v>12.48</v>
      </c>
      <c r="U54" s="297"/>
      <c r="V54" s="297"/>
      <c r="W54" s="297"/>
      <c r="X54" s="297"/>
      <c r="Y54" s="297"/>
      <c r="Z54" s="271"/>
    </row>
    <row r="55" spans="1:26" ht="22.5" customHeight="1">
      <c r="A55" s="296">
        <f t="shared" si="28"/>
        <v>20</v>
      </c>
      <c r="B55" s="271" t="s">
        <v>486</v>
      </c>
      <c r="C55" s="296">
        <v>1</v>
      </c>
      <c r="D55" s="296">
        <v>5</v>
      </c>
      <c r="E55" s="296"/>
      <c r="F55" s="297"/>
      <c r="G55" s="297"/>
      <c r="H55" s="297">
        <v>3</v>
      </c>
      <c r="I55" s="297">
        <v>29.7</v>
      </c>
      <c r="J55" s="297">
        <v>48.2</v>
      </c>
      <c r="K55" s="297" t="str">
        <f>IF(F55&gt;0,F55+2*0.1,"")</f>
        <v/>
      </c>
      <c r="L55" s="297" t="str">
        <f>IF(G55&gt;0,G55+2*0.1,"")</f>
        <v/>
      </c>
      <c r="M55" s="297">
        <v>0.1</v>
      </c>
      <c r="N55" s="297">
        <v>30.47</v>
      </c>
      <c r="O55" s="297">
        <v>51.2</v>
      </c>
      <c r="P55" s="297">
        <f t="shared" si="40"/>
        <v>0</v>
      </c>
      <c r="Q55" s="297">
        <f t="shared" si="40"/>
        <v>0</v>
      </c>
      <c r="R55" s="297">
        <f>H55-0.3</f>
        <v>2.7</v>
      </c>
      <c r="S55" s="297">
        <f>I55</f>
        <v>29.7</v>
      </c>
      <c r="T55" s="297">
        <f>J55</f>
        <v>48.2</v>
      </c>
      <c r="U55" s="297" t="str">
        <f>IF(F55&gt;0,F55+2*0.8,"")</f>
        <v/>
      </c>
      <c r="V55" s="297" t="str">
        <f>IF(G55&gt;0,G55+2*0.8,"")</f>
        <v/>
      </c>
      <c r="W55" s="297">
        <f>H55-0.3</f>
        <v>2.7</v>
      </c>
      <c r="X55" s="297"/>
      <c r="Y55" s="297">
        <v>74.430000000000007</v>
      </c>
      <c r="Z55" s="271">
        <v>199.15</v>
      </c>
    </row>
  </sheetData>
  <mergeCells count="28">
    <mergeCell ref="P4:T4"/>
    <mergeCell ref="U4:Z4"/>
    <mergeCell ref="K5:M5"/>
    <mergeCell ref="N5:N6"/>
    <mergeCell ref="O5:O6"/>
    <mergeCell ref="P5:R5"/>
    <mergeCell ref="S5:S6"/>
    <mergeCell ref="T5:T6"/>
    <mergeCell ref="U5:W5"/>
    <mergeCell ref="X5:X6"/>
    <mergeCell ref="Y5:Y6"/>
    <mergeCell ref="Z5:Z6"/>
    <mergeCell ref="A1:Z1"/>
    <mergeCell ref="A3:A6"/>
    <mergeCell ref="B3:B6"/>
    <mergeCell ref="C3:C6"/>
    <mergeCell ref="F3:H3"/>
    <mergeCell ref="I3:I6"/>
    <mergeCell ref="J3:J6"/>
    <mergeCell ref="K3:O3"/>
    <mergeCell ref="P3:T3"/>
    <mergeCell ref="D3:D6"/>
    <mergeCell ref="E3:E6"/>
    <mergeCell ref="U3:Z3"/>
    <mergeCell ref="F4:F6"/>
    <mergeCell ref="G4:G6"/>
    <mergeCell ref="H4:H6"/>
    <mergeCell ref="K4:O4"/>
  </mergeCells>
  <phoneticPr fontId="19" type="noConversion"/>
  <pageMargins left="0.7" right="0.7" top="0.75" bottom="0.75" header="0.3" footer="0.3"/>
  <pageSetup paperSize="9" scale="33" orientation="portrait" r:id="rId1"/>
</worksheet>
</file>

<file path=customUI/customUI14.xml><?xml version="1.0" encoding="utf-8"?>
<customUI xmlns="http://schemas.microsoft.com/office/2006/01/customui">
  <ribbon>
    <tabs>
      <tab id="CustomTab" label="ToanR'sTab" insertAfterMso="TabHome">
        <group id="customGroup1" label="New Group" insertAfterMso="GroupMacros">
          <button id="Button1" label="ThemBang" imageMso="QueryShowTable" size="large" onAction="ThemBangUI"/>
          <button id="Button2" label="KeBang" imageMso="TableDesign" size="large" onAction="KeBangUI"/>
          <button id="Button3" label="Danhsothutu" imageMso="SortUp" size="large" onAction="DanhSoThuTuUI"/>
          <button id="Button4" label="Xoadongthua" imageMso="Consolidate" size="large" onAction="XoaDongThuaUI"/>
          <button id="Button5" label="Thongtin" imageMso="DirectRepliesTo" size="large" onAction="Tacgia"/>
        </group>
        <group id="customGroup2" label="ChangeTextCase" insertAfterMso="GroupMacros">
          <button id="Button6" label="UPPER CASE" imageMso="TextEffectTracking" size="large" onAction="ChangeUcaseUI"/>
          <button id="Button7" label="Proper Case" imageMso="TextEffectTracking" size="large" onAction="ChangePcaseUI"/>
          <button id="Button8" label="Sentense case" imageMso="TextEffectTracking" size="large" onAction="ChangeScaseUI"/>
          <button id="Button9" label="lower case" imageMso="TextEffectTracking" size="large" onAction="ChangeLcaseUI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100</vt:i4>
      </vt:variant>
    </vt:vector>
  </HeadingPairs>
  <TitlesOfParts>
    <vt:vector size="133" baseType="lpstr">
      <vt:lpstr>EIE Drawing List</vt:lpstr>
      <vt:lpstr>Quy tắc tính KL</vt:lpstr>
      <vt:lpstr>BM01</vt:lpstr>
      <vt:lpstr>BM-02</vt:lpstr>
      <vt:lpstr>DM_CKDH</vt:lpstr>
      <vt:lpstr>Matran</vt:lpstr>
      <vt:lpstr>B-1. THKL THEO ID</vt:lpstr>
      <vt:lpstr>B-2.THKL THEO WBS</vt:lpstr>
      <vt:lpstr>B3. THKL THEO CKHD</vt:lpstr>
      <vt:lpstr>SCAN BOQ</vt:lpstr>
      <vt:lpstr>S21.11</vt:lpstr>
      <vt:lpstr>S21.12</vt:lpstr>
      <vt:lpstr>S22.11</vt:lpstr>
      <vt:lpstr>S33.13</vt:lpstr>
      <vt:lpstr>S23.11</vt:lpstr>
      <vt:lpstr>S24.11</vt:lpstr>
      <vt:lpstr>S24.12</vt:lpstr>
      <vt:lpstr>S25.11</vt:lpstr>
      <vt:lpstr>S25.12</vt:lpstr>
      <vt:lpstr>S25.13</vt:lpstr>
      <vt:lpstr>S25.14</vt:lpstr>
      <vt:lpstr>S31.11</vt:lpstr>
      <vt:lpstr>S32.11</vt:lpstr>
      <vt:lpstr>S33.11</vt:lpstr>
      <vt:lpstr>S33.12</vt:lpstr>
      <vt:lpstr>S21.21</vt:lpstr>
      <vt:lpstr>S22.21</vt:lpstr>
      <vt:lpstr>S23.21 </vt:lpstr>
      <vt:lpstr>S24.21</vt:lpstr>
      <vt:lpstr>S25.21</vt:lpstr>
      <vt:lpstr>X11.11</vt:lpstr>
      <vt:lpstr>X11.12</vt:lpstr>
      <vt:lpstr>Dữ liệu đầu vào</vt:lpstr>
      <vt:lpstr>'BM-02'!_FilterDatabase</vt:lpstr>
      <vt:lpstr>S21.11!_Start</vt:lpstr>
      <vt:lpstr>S21.12!_Start</vt:lpstr>
      <vt:lpstr>S21.21!_Start</vt:lpstr>
      <vt:lpstr>S22.11!_Start</vt:lpstr>
      <vt:lpstr>S22.21!_Start</vt:lpstr>
      <vt:lpstr>S23.11!_Start</vt:lpstr>
      <vt:lpstr>'S23.21 '!_Start</vt:lpstr>
      <vt:lpstr>S24.11!_Start</vt:lpstr>
      <vt:lpstr>S24.12!_Start</vt:lpstr>
      <vt:lpstr>S24.21!_Start</vt:lpstr>
      <vt:lpstr>S25.11!_Start</vt:lpstr>
      <vt:lpstr>S25.12!_Start</vt:lpstr>
      <vt:lpstr>S25.13!_Start</vt:lpstr>
      <vt:lpstr>S25.14!_Start</vt:lpstr>
      <vt:lpstr>S25.21!_Start</vt:lpstr>
      <vt:lpstr>S31.11!_Start</vt:lpstr>
      <vt:lpstr>S32.11!_Start</vt:lpstr>
      <vt:lpstr>S33.11!_Start</vt:lpstr>
      <vt:lpstr>S33.12!_Start</vt:lpstr>
      <vt:lpstr>S33.13!_Start</vt:lpstr>
      <vt:lpstr>X11.11!_Start</vt:lpstr>
      <vt:lpstr>X11.12!_Start</vt:lpstr>
      <vt:lpstr>Matran!_WBSMP</vt:lpstr>
      <vt:lpstr>S21.11!diemchen</vt:lpstr>
      <vt:lpstr>S21.12!diemchen</vt:lpstr>
      <vt:lpstr>S21.21!diemchen</vt:lpstr>
      <vt:lpstr>S22.11!diemchen</vt:lpstr>
      <vt:lpstr>S22.21!diemchen</vt:lpstr>
      <vt:lpstr>S23.11!diemchen</vt:lpstr>
      <vt:lpstr>'S23.21 '!diemchen</vt:lpstr>
      <vt:lpstr>S24.11!diemchen</vt:lpstr>
      <vt:lpstr>S24.12!diemchen</vt:lpstr>
      <vt:lpstr>S24.21!diemchen</vt:lpstr>
      <vt:lpstr>S25.11!diemchen</vt:lpstr>
      <vt:lpstr>S25.12!diemchen</vt:lpstr>
      <vt:lpstr>S25.13!diemchen</vt:lpstr>
      <vt:lpstr>S25.14!diemchen</vt:lpstr>
      <vt:lpstr>S25.21!diemchen</vt:lpstr>
      <vt:lpstr>S31.11!diemchen</vt:lpstr>
      <vt:lpstr>S32.11!diemchen</vt:lpstr>
      <vt:lpstr>S33.11!diemchen</vt:lpstr>
      <vt:lpstr>S33.12!diemchen</vt:lpstr>
      <vt:lpstr>S33.13!diemchen</vt:lpstr>
      <vt:lpstr>X11.11!diemchen</vt:lpstr>
      <vt:lpstr>X11.12!diemchen</vt:lpstr>
      <vt:lpstr>'B-1. THKL THEO ID'!Print_Area</vt:lpstr>
      <vt:lpstr>'B3. THKL THEO CKHD'!Print_Area</vt:lpstr>
      <vt:lpstr>'BM-02'!Print_Area</vt:lpstr>
      <vt:lpstr>'BM01'!Print_Area</vt:lpstr>
      <vt:lpstr>DM_CKDH!Print_Area</vt:lpstr>
      <vt:lpstr>'EIE Drawing List'!Print_Area</vt:lpstr>
      <vt:lpstr>Matran!Print_Area</vt:lpstr>
      <vt:lpstr>'Quy tắc tính KL'!Print_Area</vt:lpstr>
      <vt:lpstr>S21.11!Print_Area</vt:lpstr>
      <vt:lpstr>S21.12!Print_Area</vt:lpstr>
      <vt:lpstr>S21.21!Print_Area</vt:lpstr>
      <vt:lpstr>S22.11!Print_Area</vt:lpstr>
      <vt:lpstr>S22.21!Print_Area</vt:lpstr>
      <vt:lpstr>S23.11!Print_Area</vt:lpstr>
      <vt:lpstr>'S23.21 '!Print_Area</vt:lpstr>
      <vt:lpstr>S24.11!Print_Area</vt:lpstr>
      <vt:lpstr>S24.12!Print_Area</vt:lpstr>
      <vt:lpstr>S24.21!Print_Area</vt:lpstr>
      <vt:lpstr>S25.11!Print_Area</vt:lpstr>
      <vt:lpstr>S25.12!Print_Area</vt:lpstr>
      <vt:lpstr>S25.13!Print_Area</vt:lpstr>
      <vt:lpstr>S25.14!Print_Area</vt:lpstr>
      <vt:lpstr>S25.21!Print_Area</vt:lpstr>
      <vt:lpstr>S31.11!Print_Area</vt:lpstr>
      <vt:lpstr>S32.11!Print_Area</vt:lpstr>
      <vt:lpstr>S33.11!Print_Area</vt:lpstr>
      <vt:lpstr>S33.12!Print_Area</vt:lpstr>
      <vt:lpstr>S33.13!Print_Area</vt:lpstr>
      <vt:lpstr>'SCAN BOQ'!Print_Area</vt:lpstr>
      <vt:lpstr>X11.11!Print_Area</vt:lpstr>
      <vt:lpstr>X11.12!Print_Area</vt:lpstr>
      <vt:lpstr>'EIE Drawing List'!Print_Titles</vt:lpstr>
      <vt:lpstr>S21.11!Print_Titles</vt:lpstr>
      <vt:lpstr>S21.12!Print_Titles</vt:lpstr>
      <vt:lpstr>S21.21!Print_Titles</vt:lpstr>
      <vt:lpstr>S22.11!Print_Titles</vt:lpstr>
      <vt:lpstr>S22.21!Print_Titles</vt:lpstr>
      <vt:lpstr>S23.11!Print_Titles</vt:lpstr>
      <vt:lpstr>'S23.21 '!Print_Titles</vt:lpstr>
      <vt:lpstr>S24.11!Print_Titles</vt:lpstr>
      <vt:lpstr>S24.12!Print_Titles</vt:lpstr>
      <vt:lpstr>S24.21!Print_Titles</vt:lpstr>
      <vt:lpstr>S25.11!Print_Titles</vt:lpstr>
      <vt:lpstr>S25.12!Print_Titles</vt:lpstr>
      <vt:lpstr>S25.13!Print_Titles</vt:lpstr>
      <vt:lpstr>S25.14!Print_Titles</vt:lpstr>
      <vt:lpstr>S25.21!Print_Titles</vt:lpstr>
      <vt:lpstr>S31.11!Print_Titles</vt:lpstr>
      <vt:lpstr>S32.11!Print_Titles</vt:lpstr>
      <vt:lpstr>S33.11!Print_Titles</vt:lpstr>
      <vt:lpstr>S33.12!Print_Titles</vt:lpstr>
      <vt:lpstr>S33.13!Print_Titles</vt:lpstr>
      <vt:lpstr>X11.11!Print_Titles</vt:lpstr>
      <vt:lpstr>X11.12!Print_Titles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Nguyễn Việt Dũng</cp:lastModifiedBy>
  <cp:revision/>
  <cp:lastPrinted>2022-10-15T02:10:34Z</cp:lastPrinted>
  <dcterms:created xsi:type="dcterms:W3CDTF">2006-09-16T00:00:00Z</dcterms:created>
  <dcterms:modified xsi:type="dcterms:W3CDTF">2023-07-18T03:06:57Z</dcterms:modified>
  <cp:category/>
  <cp:contentStatus/>
</cp:coreProperties>
</file>